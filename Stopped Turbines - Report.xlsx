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6.xml" ContentType="application/vnd.openxmlformats-officedocument.spreadsheetml.pivotCacheDefinition+xml"/>
  <Override PartName="/xl/pivotCache/pivotCacheRecords6.xml" ContentType="application/vnd.openxmlformats-officedocument.spreadsheetml.pivotCacheRecords+xml"/>
  <Override PartName="/xl/pivotCache/pivotCacheDefinition7.xml" ContentType="application/vnd.openxmlformats-officedocument.spreadsheetml.pivotCacheDefinition+xml"/>
  <Override PartName="/xl/pivotCache/pivotCacheRecords7.xml" ContentType="application/vnd.openxmlformats-officedocument.spreadsheetml.pivotCacheRecords+xml"/>
  <Override PartName="/xl/pivotCache/pivotCacheDefinition8.xml" ContentType="application/vnd.openxmlformats-officedocument.spreadsheetml.pivotCacheDefinition+xml"/>
  <Override PartName="/xl/pivotCache/pivotCacheRecords8.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drawings/drawing7.xml" ContentType="application/vnd.openxmlformats-officedocument.drawing+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drawings/drawing8.xml" ContentType="application/vnd.openxmlformats-officedocument.drawing+xml"/>
  <Override PartName="/xl/comments1.xml" ContentType="application/vnd.openxmlformats-officedocument.spreadsheetml.comments+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9.xml" ContentType="application/vnd.openxmlformats-officedocument.drawing+xml"/>
  <Override PartName="/xl/charts/chart11.xml" ContentType="application/vnd.openxmlformats-officedocument.drawingml.chart+xml"/>
  <Override PartName="/xl/charts/chart12.xml" ContentType="application/vnd.openxmlformats-officedocument.drawingml.chart+xml"/>
  <Override PartName="/xl/charts/style10.xml" ContentType="application/vnd.ms-office.chartstyle+xml"/>
  <Override PartName="/xl/charts/colors10.xml" ContentType="application/vnd.ms-office.chartcolorstyle+xml"/>
  <Override PartName="/xl/charts/chart13.xml" ContentType="application/vnd.openxmlformats-officedocument.drawingml.chart+xml"/>
  <Override PartName="/xl/charts/style11.xml" ContentType="application/vnd.ms-office.chartstyle+xml"/>
  <Override PartName="/xl/charts/colors11.xml" ContentType="application/vnd.ms-office.chartcolorstyle+xml"/>
  <Override PartName="/xl/charts/chart14.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10.xml" ContentType="application/vnd.openxmlformats-officedocument.drawing+xml"/>
  <Override PartName="/xl/pivotTables/pivotTable10.xml" ContentType="application/vnd.openxmlformats-officedocument.spreadsheetml.pivotTable+xml"/>
  <Override PartName="/xl/drawings/drawing11.xml" ContentType="application/vnd.openxmlformats-officedocument.drawing+xml"/>
  <Override PartName="/xl/charts/chart15.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2.xml" ContentType="application/vnd.openxmlformats-officedocument.drawing+xml"/>
  <Override PartName="/xl/charts/chart16.xml" ContentType="application/vnd.openxmlformats-officedocument.drawingml.chart+xml"/>
  <Override PartName="/xl/charts/chart17.xml" ContentType="application/vnd.openxmlformats-officedocument.drawingml.chart+xml"/>
  <Override PartName="/xl/charts/style14.xml" ContentType="application/vnd.ms-office.chartstyle+xml"/>
  <Override PartName="/xl/charts/colors14.xml" ContentType="application/vnd.ms-office.chartcolorstyle+xml"/>
  <Override PartName="/xl/charts/chart18.xml" ContentType="application/vnd.openxmlformats-officedocument.drawingml.chart+xml"/>
  <Override PartName="/xl/charts/style15.xml" ContentType="application/vnd.ms-office.chartstyle+xml"/>
  <Override PartName="/xl/charts/colors15.xml" ContentType="application/vnd.ms-office.chartcolorstyle+xml"/>
  <Override PartName="/xl/charts/chart19.xml" ContentType="application/vnd.openxmlformats-officedocument.drawingml.chart+xml"/>
  <Override PartName="/xl/charts/style16.xml" ContentType="application/vnd.ms-office.chartstyle+xml"/>
  <Override PartName="/xl/charts/colors16.xml" ContentType="application/vnd.ms-office.chartcolorstyle+xml"/>
  <Override PartName="/xl/comments2.xml" ContentType="application/vnd.openxmlformats-officedocument.spreadsheetml.comments+xml"/>
  <Override PartName="/xl/pivotTables/pivotTable13.xml" ContentType="application/vnd.openxmlformats-officedocument.spreadsheetml.pivot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EstaPastaDeTrabalho" hidePivotFieldList="1" defaultThemeVersion="202300"/>
  <mc:AlternateContent xmlns:mc="http://schemas.openxmlformats.org/markup-compatibility/2006">
    <mc:Choice Requires="x15">
      <x15ac:absPath xmlns:x15ac="http://schemas.microsoft.com/office/spreadsheetml/2010/11/ac" url="C:\Users\GCantarelli\Downloads\"/>
    </mc:Choice>
  </mc:AlternateContent>
  <xr:revisionPtr revIDLastSave="0" documentId="13_ncr:1_{C038A148-7538-4686-9D97-11B721015188}" xr6:coauthVersionLast="47" xr6:coauthVersionMax="47" xr10:uidLastSave="{00000000-0000-0000-0000-000000000000}"/>
  <bookViews>
    <workbookView xWindow="0" yWindow="360" windowWidth="29040" windowHeight="15720" firstSheet="2" activeTab="7" xr2:uid="{A520B3C9-1E6B-4AEE-964C-2F7D34A6532D}"/>
  </bookViews>
  <sheets>
    <sheet name="Relatório Executivo" sheetId="31" state="hidden" r:id="rId1"/>
    <sheet name="Dashboard" sheetId="3" state="hidden" r:id="rId2"/>
    <sheet name="Dashboard_Essentia" sheetId="11" r:id="rId3"/>
    <sheet name="Horas DTs" sheetId="7" state="hidden" r:id="rId4"/>
    <sheet name="Disp. YTD" sheetId="8" state="hidden" r:id="rId5"/>
    <sheet name="WTGs paradas" sheetId="9" state="hidden" r:id="rId6"/>
    <sheet name="Historic" sheetId="10" state="hidden" r:id="rId7"/>
    <sheet name="Fonte de Dados - Essentia" sheetId="1" r:id="rId8"/>
    <sheet name="Planilha4" sheetId="22" state="hidden" r:id="rId9"/>
    <sheet name="Dashboard_Auren" sheetId="28" r:id="rId10"/>
    <sheet name="Fonte de Dados - Auren" sheetId="23" r:id="rId11"/>
    <sheet name="Planilha4 - Auren" sheetId="27" state="hidden" r:id="rId12"/>
    <sheet name="Historic - Auren" sheetId="24" state="hidden" r:id="rId13"/>
    <sheet name="Dashboard_V02 (2)" sheetId="25" state="hidden" r:id="rId14"/>
    <sheet name="YTD Hours" sheetId="6" state="hidden" r:id="rId15"/>
    <sheet name="Planilha3" sheetId="14" state="hidden" r:id="rId16"/>
    <sheet name="Planilha5" sheetId="16" state="hidden" r:id="rId17"/>
    <sheet name="Planilha8" sheetId="19" state="hidden" r:id="rId18"/>
  </sheets>
  <definedNames>
    <definedName name="_xlnm._FilterDatabase" localSheetId="10" hidden="1">'Fonte de Dados - Auren'!$A$5:$R$184</definedName>
    <definedName name="_xlnm._FilterDatabase" localSheetId="7" hidden="1">'Fonte de Dados - Essentia'!$A$3:$M$237</definedName>
    <definedName name="_xlnm._FilterDatabase" localSheetId="6" hidden="1">Historic!$A$1:$N$119</definedName>
    <definedName name="_xlnm._FilterDatabase" localSheetId="12" hidden="1">'Historic - Auren'!$A$1:$M$49</definedName>
    <definedName name="_xlnm._FilterDatabase" localSheetId="15" hidden="1">Planilha3!$A$2:$S$111</definedName>
    <definedName name="_xlnm.Print_Area" localSheetId="0">'Relatório Executivo'!$A$1:$L$67</definedName>
    <definedName name="SegmentaçãodeDados_Site">#N/A</definedName>
    <definedName name="SegmentaçãodeDados_Site1">#N/A</definedName>
  </definedNames>
  <calcPr calcId="191028"/>
  <pivotCaches>
    <pivotCache cacheId="31" r:id="rId19"/>
    <pivotCache cacheId="32" r:id="rId20"/>
    <pivotCache cacheId="33" r:id="rId21"/>
    <pivotCache cacheId="34" r:id="rId22"/>
    <pivotCache cacheId="38" r:id="rId23"/>
    <pivotCache cacheId="41" r:id="rId24"/>
    <pivotCache cacheId="46" r:id="rId25"/>
    <pivotCache cacheId="49" r:id="rId26"/>
  </pivotCaches>
  <extLst>
    <ext xmlns:x14="http://schemas.microsoft.com/office/spreadsheetml/2009/9/main" uri="{BBE1A952-AA13-448e-AADC-164F8A28A991}">
      <x14:slicerCaches>
        <x14:slicerCache r:id="rId27"/>
        <x14:slicerCache r:id="rId2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37" i="1" l="1"/>
  <c r="F235" i="1"/>
  <c r="F236" i="1"/>
  <c r="F25" i="23"/>
  <c r="F21" i="23"/>
  <c r="F24" i="23"/>
  <c r="F20" i="23"/>
  <c r="F222" i="1"/>
  <c r="F234" i="1"/>
  <c r="F223" i="1"/>
  <c r="F221" i="1"/>
  <c r="F217" i="1"/>
  <c r="F220" i="1"/>
  <c r="F18" i="23"/>
  <c r="F219" i="1"/>
  <c r="F216" i="1"/>
  <c r="F215" i="1"/>
  <c r="F16" i="23"/>
  <c r="F17" i="23"/>
  <c r="F213" i="1"/>
  <c r="F210" i="1"/>
  <c r="F214" i="1"/>
  <c r="F15" i="23"/>
  <c r="F19" i="23"/>
  <c r="B3" i="31"/>
  <c r="F13" i="23"/>
  <c r="F23" i="23"/>
  <c r="F205" i="1"/>
  <c r="F211" i="1"/>
  <c r="F206" i="1"/>
  <c r="F9" i="23"/>
  <c r="F203" i="1"/>
  <c r="F218" i="1"/>
  <c r="F208" i="1"/>
  <c r="F204" i="1"/>
  <c r="F12" i="23"/>
  <c r="F11" i="23"/>
  <c r="F201" i="1"/>
  <c r="F10" i="23"/>
  <c r="F14" i="23"/>
  <c r="F8" i="23"/>
  <c r="F6" i="23"/>
  <c r="F7" i="23"/>
  <c r="F22" i="23"/>
  <c r="I95" i="10"/>
  <c r="J95" i="10"/>
  <c r="K95" i="10"/>
  <c r="I96" i="10"/>
  <c r="J96" i="10"/>
  <c r="K96" i="10"/>
  <c r="F202" i="1"/>
  <c r="F207" i="1"/>
  <c r="F196" i="1"/>
  <c r="F200" i="1"/>
  <c r="F212" i="1"/>
  <c r="F195" i="1"/>
  <c r="F197" i="1"/>
  <c r="F199" i="1"/>
  <c r="F209" i="1"/>
  <c r="K93" i="10"/>
  <c r="K94" i="10"/>
  <c r="I93" i="10"/>
  <c r="I94" i="10"/>
  <c r="F194" i="1"/>
  <c r="F192" i="1"/>
  <c r="F191" i="1"/>
  <c r="K89" i="10"/>
  <c r="K90" i="10"/>
  <c r="K91" i="10"/>
  <c r="K92" i="10"/>
  <c r="K88" i="10"/>
  <c r="I89" i="10"/>
  <c r="I90" i="10"/>
  <c r="I91" i="10"/>
  <c r="I92" i="10"/>
  <c r="I88" i="10"/>
  <c r="F225" i="1"/>
  <c r="F198" i="1"/>
  <c r="F190" i="1"/>
  <c r="F186" i="1"/>
  <c r="F187" i="1"/>
  <c r="F193" i="1"/>
  <c r="F189" i="1"/>
  <c r="F188" i="1"/>
  <c r="K86" i="10"/>
  <c r="K87" i="10"/>
  <c r="I86" i="10"/>
  <c r="I87" i="10"/>
  <c r="F180" i="1"/>
  <c r="F185" i="1"/>
  <c r="F181" i="1"/>
  <c r="F183" i="1"/>
  <c r="F176" i="1"/>
  <c r="F182" i="1"/>
  <c r="F179" i="1"/>
  <c r="F177" i="1"/>
  <c r="F184" i="1"/>
  <c r="F174" i="1"/>
  <c r="K85" i="10"/>
  <c r="I85" i="10"/>
  <c r="F175" i="1"/>
  <c r="F172" i="1"/>
  <c r="F178" i="1"/>
  <c r="I84" i="10"/>
  <c r="I79" i="10"/>
  <c r="I80" i="10"/>
  <c r="I81" i="10"/>
  <c r="I82" i="10"/>
  <c r="I83" i="10"/>
  <c r="K80" i="10"/>
  <c r="K81" i="10"/>
  <c r="K82" i="10"/>
  <c r="K83" i="10"/>
  <c r="K84" i="10"/>
  <c r="K74" i="10"/>
  <c r="K75" i="10"/>
  <c r="K76" i="10"/>
  <c r="K77" i="10"/>
  <c r="K78" i="10"/>
  <c r="K79" i="10"/>
  <c r="K72" i="10"/>
  <c r="K73" i="10"/>
  <c r="K71" i="10"/>
  <c r="K70" i="10"/>
  <c r="K69" i="10"/>
  <c r="K3" i="24"/>
  <c r="K4" i="24"/>
  <c r="K5" i="24"/>
  <c r="K6" i="24"/>
  <c r="K7" i="24"/>
  <c r="K8" i="24"/>
  <c r="K9" i="24"/>
  <c r="K10" i="24"/>
  <c r="K11" i="24"/>
  <c r="K12" i="24"/>
  <c r="K13" i="24"/>
  <c r="K14" i="24"/>
  <c r="K15" i="24"/>
  <c r="K16" i="24"/>
  <c r="K17" i="24"/>
  <c r="K18" i="24"/>
  <c r="K19" i="24"/>
  <c r="K20" i="24"/>
  <c r="K21" i="24"/>
  <c r="K22" i="24"/>
  <c r="K23" i="24"/>
  <c r="K24" i="24"/>
  <c r="K25" i="24"/>
  <c r="K26" i="24"/>
  <c r="K27" i="24"/>
  <c r="K28" i="24"/>
  <c r="K29" i="24"/>
  <c r="K30" i="24"/>
  <c r="K31" i="24"/>
  <c r="K32" i="24"/>
  <c r="K33" i="24"/>
  <c r="K34" i="24"/>
  <c r="K35" i="24"/>
  <c r="K36" i="24"/>
  <c r="K37" i="24"/>
  <c r="K38" i="24"/>
  <c r="K39" i="24"/>
  <c r="K40" i="24"/>
  <c r="K41" i="24"/>
  <c r="K42" i="24"/>
  <c r="K43" i="24"/>
  <c r="K44" i="24"/>
  <c r="K45" i="24"/>
  <c r="K46" i="24"/>
  <c r="K47" i="24"/>
  <c r="K48" i="24"/>
  <c r="K49" i="24"/>
  <c r="K2" i="24"/>
  <c r="J49" i="24"/>
  <c r="H49" i="24"/>
  <c r="C49" i="24"/>
  <c r="B49" i="24"/>
  <c r="J48" i="24"/>
  <c r="H48" i="24"/>
  <c r="C48" i="24"/>
  <c r="B48" i="24"/>
  <c r="J47" i="24"/>
  <c r="H47" i="24"/>
  <c r="C47" i="24"/>
  <c r="B47" i="24"/>
  <c r="J46" i="24"/>
  <c r="H46" i="24"/>
  <c r="C46" i="24"/>
  <c r="B46" i="24"/>
  <c r="J45" i="24"/>
  <c r="H45" i="24"/>
  <c r="C45" i="24"/>
  <c r="B45" i="24"/>
  <c r="J44" i="24"/>
  <c r="H44" i="24"/>
  <c r="C44" i="24"/>
  <c r="B44" i="24"/>
  <c r="J43" i="24"/>
  <c r="H43" i="24"/>
  <c r="C43" i="24"/>
  <c r="B43" i="24"/>
  <c r="J42" i="24"/>
  <c r="H42" i="24"/>
  <c r="C42" i="24"/>
  <c r="B42" i="24"/>
  <c r="J41" i="24"/>
  <c r="H41" i="24"/>
  <c r="C41" i="24"/>
  <c r="B41" i="24"/>
  <c r="J40" i="24"/>
  <c r="H40" i="24"/>
  <c r="C40" i="24"/>
  <c r="B40" i="24"/>
  <c r="J39" i="24"/>
  <c r="H39" i="24"/>
  <c r="C39" i="24"/>
  <c r="B39" i="24"/>
  <c r="J38" i="24"/>
  <c r="H38" i="24"/>
  <c r="C38" i="24"/>
  <c r="B38" i="24"/>
  <c r="J37" i="24"/>
  <c r="H37" i="24"/>
  <c r="C37" i="24"/>
  <c r="B37" i="24"/>
  <c r="J36" i="24"/>
  <c r="H36" i="24"/>
  <c r="C36" i="24"/>
  <c r="B36" i="24"/>
  <c r="J35" i="24"/>
  <c r="H35" i="24"/>
  <c r="C35" i="24"/>
  <c r="B35" i="24"/>
  <c r="J34" i="24"/>
  <c r="H34" i="24"/>
  <c r="C34" i="24"/>
  <c r="B34" i="24"/>
  <c r="J33" i="24"/>
  <c r="H33" i="24"/>
  <c r="C33" i="24"/>
  <c r="B33" i="24"/>
  <c r="J32" i="24"/>
  <c r="H32" i="24"/>
  <c r="C32" i="24"/>
  <c r="B32" i="24"/>
  <c r="J31" i="24"/>
  <c r="H31" i="24"/>
  <c r="C31" i="24"/>
  <c r="B31" i="24"/>
  <c r="J30" i="24"/>
  <c r="H30" i="24"/>
  <c r="C30" i="24"/>
  <c r="B30" i="24"/>
  <c r="J29" i="24"/>
  <c r="H29" i="24"/>
  <c r="C29" i="24"/>
  <c r="B29" i="24"/>
  <c r="J28" i="24"/>
  <c r="H28" i="24"/>
  <c r="C28" i="24"/>
  <c r="B28" i="24"/>
  <c r="J27" i="24"/>
  <c r="H27" i="24"/>
  <c r="C27" i="24"/>
  <c r="B27" i="24"/>
  <c r="J26" i="24"/>
  <c r="H26" i="24"/>
  <c r="C26" i="24"/>
  <c r="B26" i="24"/>
  <c r="J25" i="24"/>
  <c r="H25" i="24"/>
  <c r="C25" i="24"/>
  <c r="B25" i="24"/>
  <c r="J24" i="24"/>
  <c r="H24" i="24"/>
  <c r="C24" i="24"/>
  <c r="B24" i="24"/>
  <c r="J23" i="24"/>
  <c r="H23" i="24"/>
  <c r="C23" i="24"/>
  <c r="B23" i="24"/>
  <c r="J22" i="24"/>
  <c r="H22" i="24"/>
  <c r="C22" i="24"/>
  <c r="B22" i="24"/>
  <c r="J21" i="24"/>
  <c r="H21" i="24"/>
  <c r="C21" i="24"/>
  <c r="B21" i="24"/>
  <c r="J20" i="24"/>
  <c r="H20" i="24"/>
  <c r="C20" i="24"/>
  <c r="B20" i="24"/>
  <c r="J19" i="24"/>
  <c r="H19" i="24"/>
  <c r="C19" i="24"/>
  <c r="B19" i="24"/>
  <c r="J18" i="24"/>
  <c r="H18" i="24"/>
  <c r="C18" i="24"/>
  <c r="B18" i="24"/>
  <c r="J17" i="24"/>
  <c r="H17" i="24"/>
  <c r="C17" i="24"/>
  <c r="B17" i="24"/>
  <c r="J16" i="24"/>
  <c r="H16" i="24"/>
  <c r="C16" i="24"/>
  <c r="B16" i="24"/>
  <c r="J15" i="24"/>
  <c r="H15" i="24"/>
  <c r="C15" i="24"/>
  <c r="B15" i="24"/>
  <c r="J14" i="24"/>
  <c r="H14" i="24"/>
  <c r="C14" i="24"/>
  <c r="B14" i="24"/>
  <c r="J13" i="24"/>
  <c r="H13" i="24"/>
  <c r="C13" i="24"/>
  <c r="B13" i="24"/>
  <c r="J12" i="24"/>
  <c r="H12" i="24"/>
  <c r="C12" i="24"/>
  <c r="B12" i="24"/>
  <c r="J11" i="24"/>
  <c r="H11" i="24"/>
  <c r="C11" i="24"/>
  <c r="B11" i="24"/>
  <c r="J10" i="24"/>
  <c r="H10" i="24"/>
  <c r="C10" i="24"/>
  <c r="B10" i="24"/>
  <c r="J9" i="24"/>
  <c r="H9" i="24"/>
  <c r="C9" i="24"/>
  <c r="B9" i="24"/>
  <c r="J8" i="24"/>
  <c r="H8" i="24"/>
  <c r="C8" i="24"/>
  <c r="B8" i="24"/>
  <c r="J7" i="24"/>
  <c r="H7" i="24"/>
  <c r="C7" i="24"/>
  <c r="B7" i="24"/>
  <c r="J6" i="24"/>
  <c r="H6" i="24"/>
  <c r="C6" i="24"/>
  <c r="B6" i="24"/>
  <c r="J5" i="24"/>
  <c r="H5" i="24"/>
  <c r="C5" i="24"/>
  <c r="B5" i="24"/>
  <c r="J4" i="24"/>
  <c r="H4" i="24"/>
  <c r="C4" i="24"/>
  <c r="B4" i="24"/>
  <c r="J3" i="24"/>
  <c r="H3" i="24"/>
  <c r="C3" i="24"/>
  <c r="B3" i="24"/>
  <c r="J2" i="24"/>
  <c r="H2" i="24"/>
  <c r="C2" i="24"/>
  <c r="B2" i="24"/>
  <c r="F4" i="23"/>
  <c r="F173" i="1"/>
  <c r="F170" i="1"/>
  <c r="F169" i="1"/>
  <c r="F167" i="1"/>
  <c r="F163" i="1"/>
  <c r="F161" i="1"/>
  <c r="F171" i="1"/>
  <c r="F165" i="1"/>
  <c r="F166" i="1"/>
  <c r="F164" i="1"/>
  <c r="F160" i="1"/>
  <c r="F162" i="1"/>
  <c r="F157" i="1"/>
  <c r="F168" i="1"/>
  <c r="F159" i="1"/>
  <c r="F156" i="1"/>
  <c r="F155" i="1"/>
  <c r="F151" i="1"/>
  <c r="F149" i="1"/>
  <c r="F154" i="1"/>
  <c r="F148" i="1"/>
  <c r="F147" i="1"/>
  <c r="B52" i="31" l="1" a="1"/>
  <c r="H12" i="31"/>
  <c r="H13" i="31"/>
  <c r="H11" i="31"/>
  <c r="H8" i="31"/>
  <c r="H10" i="31"/>
  <c r="H9" i="31"/>
  <c r="D9" i="31"/>
  <c r="C9" i="31"/>
  <c r="D8" i="31"/>
  <c r="B49" i="31" s="1"/>
  <c r="C8" i="31"/>
  <c r="B33" i="31" s="1"/>
  <c r="L39" i="28"/>
  <c r="L40" i="28" s="1"/>
  <c r="J35" i="28"/>
  <c r="J36" i="28" s="1"/>
  <c r="J39" i="28"/>
  <c r="J40" i="28" s="1"/>
  <c r="B36" i="25"/>
  <c r="B37" i="25" s="1"/>
  <c r="B32" i="25"/>
  <c r="B33" i="25" s="1"/>
  <c r="D36" i="25"/>
  <c r="D37" i="25" s="1"/>
  <c r="F146" i="1"/>
  <c r="F153" i="1"/>
  <c r="F150" i="1"/>
  <c r="F152" i="1"/>
  <c r="F144" i="1"/>
  <c r="F137" i="1"/>
  <c r="F136" i="1"/>
  <c r="F139" i="1"/>
  <c r="F145" i="1"/>
  <c r="F143" i="1"/>
  <c r="F142" i="1"/>
  <c r="F138" i="1"/>
  <c r="E8" i="31" l="1"/>
  <c r="E9" i="31" s="1"/>
  <c r="K68" i="10"/>
  <c r="K67" i="10"/>
  <c r="K66" i="10"/>
  <c r="K65" i="10"/>
  <c r="K64" i="10"/>
  <c r="K63" i="10"/>
  <c r="K62" i="10"/>
  <c r="K61" i="10"/>
  <c r="F135" i="1"/>
  <c r="F140" i="1"/>
  <c r="F131" i="1" l="1"/>
  <c r="F129" i="1"/>
  <c r="F132" i="1"/>
  <c r="F158" i="1"/>
  <c r="F127" i="1"/>
  <c r="F133" i="1" l="1"/>
  <c r="F134" i="1"/>
  <c r="F128" i="1"/>
  <c r="F126" i="1"/>
  <c r="F124" i="1"/>
  <c r="P119" i="1"/>
  <c r="P120" i="1"/>
  <c r="P123" i="1"/>
  <c r="F123" i="1"/>
  <c r="F120" i="1"/>
  <c r="R119" i="1"/>
  <c r="F119" i="1"/>
  <c r="P130" i="1"/>
  <c r="P118" i="1"/>
  <c r="F130" i="1"/>
  <c r="R130" i="1"/>
  <c r="R118" i="1" l="1"/>
  <c r="F118" i="1"/>
  <c r="F116" i="1"/>
  <c r="R116" i="1"/>
  <c r="F112" i="1"/>
  <c r="R112" i="1"/>
  <c r="R114" i="1"/>
  <c r="F114" i="1"/>
  <c r="P141" i="1"/>
  <c r="F141" i="1"/>
  <c r="J35" i="11" s="1"/>
  <c r="R141" i="1"/>
  <c r="P111" i="1"/>
  <c r="F111" i="1"/>
  <c r="R111" i="1"/>
  <c r="H3" i="10"/>
  <c r="H4" i="10"/>
  <c r="H5" i="10"/>
  <c r="H6" i="10"/>
  <c r="H7" i="10"/>
  <c r="H8" i="10"/>
  <c r="H9" i="10"/>
  <c r="H10" i="10"/>
  <c r="H11" i="10"/>
  <c r="H12" i="10"/>
  <c r="H13" i="10"/>
  <c r="H14" i="10"/>
  <c r="H15" i="10"/>
  <c r="H16" i="10"/>
  <c r="H17" i="10"/>
  <c r="H18" i="10"/>
  <c r="H19" i="10"/>
  <c r="H20" i="10"/>
  <c r="H21" i="10"/>
  <c r="H22" i="10"/>
  <c r="H23" i="10"/>
  <c r="H24" i="10"/>
  <c r="H25" i="10"/>
  <c r="H26" i="10"/>
  <c r="H27" i="10"/>
  <c r="H28" i="10"/>
  <c r="H29" i="10"/>
  <c r="H30" i="10"/>
  <c r="H31" i="10"/>
  <c r="H32" i="10"/>
  <c r="H33" i="10"/>
  <c r="H34" i="10"/>
  <c r="H35" i="10"/>
  <c r="H36" i="10"/>
  <c r="P4" i="31" s="1"/>
  <c r="H37" i="10"/>
  <c r="P5" i="31" s="1"/>
  <c r="H38" i="10"/>
  <c r="P6" i="31" s="1"/>
  <c r="H39" i="10"/>
  <c r="P7" i="31" s="1"/>
  <c r="H40" i="10"/>
  <c r="P8" i="31" s="1"/>
  <c r="H41" i="10"/>
  <c r="P9" i="31" s="1"/>
  <c r="H42" i="10"/>
  <c r="P10" i="31" s="1"/>
  <c r="H43" i="10"/>
  <c r="P11" i="31" s="1"/>
  <c r="H44" i="10"/>
  <c r="P12" i="31" s="1"/>
  <c r="H45" i="10"/>
  <c r="P13" i="31" s="1"/>
  <c r="H46" i="10"/>
  <c r="P14" i="31" s="1"/>
  <c r="H47" i="10"/>
  <c r="P15" i="31" s="1"/>
  <c r="H48" i="10"/>
  <c r="H49" i="10"/>
  <c r="H50" i="10"/>
  <c r="H51" i="10"/>
  <c r="H52" i="10"/>
  <c r="H53" i="10"/>
  <c r="H54" i="10"/>
  <c r="H55" i="10"/>
  <c r="H56" i="10"/>
  <c r="H57" i="10"/>
  <c r="H58" i="10"/>
  <c r="H59" i="10"/>
  <c r="H60" i="10"/>
  <c r="H61" i="10"/>
  <c r="H62" i="10"/>
  <c r="H63" i="10"/>
  <c r="H64" i="10"/>
  <c r="H65" i="10"/>
  <c r="H66" i="10"/>
  <c r="H67" i="10"/>
  <c r="H68" i="10"/>
  <c r="H69" i="10"/>
  <c r="H70" i="10"/>
  <c r="H71" i="10"/>
  <c r="H72" i="10"/>
  <c r="H73" i="10"/>
  <c r="H74" i="10"/>
  <c r="H75" i="10"/>
  <c r="H76" i="10"/>
  <c r="H77" i="10"/>
  <c r="H78" i="10"/>
  <c r="H79" i="10"/>
  <c r="H80" i="10"/>
  <c r="H81" i="10"/>
  <c r="H82" i="10"/>
  <c r="H83" i="10"/>
  <c r="H84" i="10"/>
  <c r="H85" i="10"/>
  <c r="H86" i="10"/>
  <c r="H87" i="10"/>
  <c r="H88" i="10"/>
  <c r="Q4" i="31" s="1"/>
  <c r="H89" i="10"/>
  <c r="Q5" i="31" s="1"/>
  <c r="H90" i="10"/>
  <c r="Q6" i="31" s="1"/>
  <c r="H91" i="10"/>
  <c r="Q7" i="31" s="1"/>
  <c r="H92" i="10"/>
  <c r="Q8" i="31" s="1"/>
  <c r="H93" i="10"/>
  <c r="Q9" i="31" s="1"/>
  <c r="H94" i="10"/>
  <c r="Q10" i="31" s="1"/>
  <c r="H95" i="10"/>
  <c r="Q11" i="31" s="1"/>
  <c r="H96" i="10"/>
  <c r="Q12" i="31" s="1"/>
  <c r="H97" i="10"/>
  <c r="Q13" i="31" s="1"/>
  <c r="H98" i="10"/>
  <c r="Q14" i="31" s="1"/>
  <c r="H99" i="10"/>
  <c r="Q15" i="31" s="1"/>
  <c r="H100" i="10"/>
  <c r="H101" i="10"/>
  <c r="H102" i="10"/>
  <c r="H103" i="10"/>
  <c r="H104" i="10"/>
  <c r="H105" i="10"/>
  <c r="H106" i="10"/>
  <c r="H107" i="10"/>
  <c r="H108" i="10"/>
  <c r="H109" i="10"/>
  <c r="H110" i="10"/>
  <c r="H111" i="10"/>
  <c r="H112" i="10"/>
  <c r="H113" i="10"/>
  <c r="H114" i="10"/>
  <c r="H115" i="10"/>
  <c r="H116" i="10"/>
  <c r="H117" i="10"/>
  <c r="H118" i="10"/>
  <c r="H119" i="10"/>
  <c r="H2" i="10"/>
  <c r="B3" i="10"/>
  <c r="B4" i="10"/>
  <c r="B5" i="10"/>
  <c r="B6" i="10"/>
  <c r="B7" i="10"/>
  <c r="B8" i="10"/>
  <c r="B9" i="10"/>
  <c r="B10" i="10"/>
  <c r="B11" i="10"/>
  <c r="B12" i="10"/>
  <c r="B13" i="10"/>
  <c r="B14" i="10"/>
  <c r="B15" i="10"/>
  <c r="B16" i="10"/>
  <c r="B17" i="10"/>
  <c r="B18" i="10"/>
  <c r="B19" i="10"/>
  <c r="B20" i="10"/>
  <c r="B21" i="10"/>
  <c r="B22" i="10"/>
  <c r="B23" i="10"/>
  <c r="B24" i="10"/>
  <c r="B25" i="10"/>
  <c r="B26" i="10"/>
  <c r="B27" i="10"/>
  <c r="B28" i="10"/>
  <c r="B29" i="10"/>
  <c r="B30" i="10"/>
  <c r="B31" i="10"/>
  <c r="B32" i="10"/>
  <c r="B33" i="10"/>
  <c r="B34" i="10"/>
  <c r="B35" i="10"/>
  <c r="B36" i="10"/>
  <c r="B37" i="10"/>
  <c r="B38" i="10"/>
  <c r="B39" i="10"/>
  <c r="B40" i="10"/>
  <c r="B41" i="10"/>
  <c r="B42" i="10"/>
  <c r="B43" i="10"/>
  <c r="B44" i="10"/>
  <c r="B45" i="10"/>
  <c r="B46" i="10"/>
  <c r="B47" i="10"/>
  <c r="B48" i="10"/>
  <c r="B49" i="10"/>
  <c r="B50" i="10"/>
  <c r="B51" i="10"/>
  <c r="B52" i="10"/>
  <c r="B53" i="10"/>
  <c r="B54" i="10"/>
  <c r="B55" i="10"/>
  <c r="B56" i="10"/>
  <c r="B57" i="10"/>
  <c r="B58" i="10"/>
  <c r="B59" i="10"/>
  <c r="B60" i="10"/>
  <c r="B61" i="10"/>
  <c r="B62" i="10"/>
  <c r="B63" i="10"/>
  <c r="B64" i="10"/>
  <c r="B65" i="10"/>
  <c r="B66" i="10"/>
  <c r="B67" i="10"/>
  <c r="B68" i="10"/>
  <c r="B69" i="10"/>
  <c r="B70" i="10"/>
  <c r="B71" i="10"/>
  <c r="B72" i="10"/>
  <c r="B73" i="10"/>
  <c r="B74" i="10"/>
  <c r="B75" i="10"/>
  <c r="B76" i="10"/>
  <c r="B77" i="10"/>
  <c r="B78" i="10"/>
  <c r="B79" i="10"/>
  <c r="B80" i="10"/>
  <c r="B81" i="10"/>
  <c r="B82" i="10"/>
  <c r="B83" i="10"/>
  <c r="B84" i="10"/>
  <c r="B85" i="10"/>
  <c r="B86" i="10"/>
  <c r="B87" i="10"/>
  <c r="B88" i="10"/>
  <c r="B89" i="10"/>
  <c r="B90" i="10"/>
  <c r="B91" i="10"/>
  <c r="B92" i="10"/>
  <c r="B93" i="10"/>
  <c r="B94" i="10"/>
  <c r="B95" i="10"/>
  <c r="B96" i="10"/>
  <c r="B97" i="10"/>
  <c r="B98" i="10"/>
  <c r="B99" i="10"/>
  <c r="B100" i="10"/>
  <c r="B101" i="10"/>
  <c r="B102" i="10"/>
  <c r="B103" i="10"/>
  <c r="B104" i="10"/>
  <c r="B105" i="10"/>
  <c r="B106" i="10"/>
  <c r="B107" i="10"/>
  <c r="B108" i="10"/>
  <c r="B109" i="10"/>
  <c r="B110" i="10"/>
  <c r="B111" i="10"/>
  <c r="B112" i="10"/>
  <c r="B113" i="10"/>
  <c r="B114" i="10"/>
  <c r="B115" i="10"/>
  <c r="B116" i="10"/>
  <c r="B117" i="10"/>
  <c r="B118" i="10"/>
  <c r="B119" i="10"/>
  <c r="B2" i="10"/>
  <c r="C3" i="10"/>
  <c r="C4" i="10"/>
  <c r="C5" i="10"/>
  <c r="C6" i="10"/>
  <c r="C7" i="10"/>
  <c r="C8" i="10"/>
  <c r="C9" i="10"/>
  <c r="C10" i="10"/>
  <c r="C11" i="10"/>
  <c r="C12" i="10"/>
  <c r="C13" i="10"/>
  <c r="C14" i="10"/>
  <c r="C15" i="10"/>
  <c r="C16" i="10"/>
  <c r="C17" i="10"/>
  <c r="C18" i="10"/>
  <c r="C19" i="10"/>
  <c r="C20" i="10"/>
  <c r="C21" i="10"/>
  <c r="C22" i="10"/>
  <c r="C23" i="10"/>
  <c r="C24" i="10"/>
  <c r="C25" i="10"/>
  <c r="C26" i="10"/>
  <c r="C27" i="10"/>
  <c r="C28" i="10"/>
  <c r="C29" i="10"/>
  <c r="C30" i="10"/>
  <c r="C31" i="10"/>
  <c r="C32" i="10"/>
  <c r="C33" i="10"/>
  <c r="C34" i="10"/>
  <c r="C35" i="10"/>
  <c r="C36" i="10"/>
  <c r="C37" i="10"/>
  <c r="C38" i="10"/>
  <c r="C39" i="10"/>
  <c r="C40" i="10"/>
  <c r="C41" i="10"/>
  <c r="C42" i="10"/>
  <c r="C43" i="10"/>
  <c r="C44" i="10"/>
  <c r="C45" i="10"/>
  <c r="C46" i="10"/>
  <c r="C47" i="10"/>
  <c r="C48" i="10"/>
  <c r="C49" i="10"/>
  <c r="C50" i="10"/>
  <c r="C51" i="10"/>
  <c r="C52" i="10"/>
  <c r="C53" i="10"/>
  <c r="C54" i="10"/>
  <c r="C55" i="10"/>
  <c r="C56" i="10"/>
  <c r="C57" i="10"/>
  <c r="C58" i="10"/>
  <c r="C59" i="10"/>
  <c r="C60" i="10"/>
  <c r="C61" i="10"/>
  <c r="C62" i="10"/>
  <c r="C63" i="10"/>
  <c r="C64" i="10"/>
  <c r="C65" i="10"/>
  <c r="C66" i="10"/>
  <c r="C67" i="10"/>
  <c r="C68" i="10"/>
  <c r="C69" i="10"/>
  <c r="C70" i="10"/>
  <c r="C71" i="10"/>
  <c r="C72" i="10"/>
  <c r="C73" i="10"/>
  <c r="C74" i="10"/>
  <c r="C75" i="10"/>
  <c r="C76" i="10"/>
  <c r="C77" i="10"/>
  <c r="C78" i="10"/>
  <c r="C79" i="10"/>
  <c r="C80" i="10"/>
  <c r="C81" i="10"/>
  <c r="C82" i="10"/>
  <c r="C83" i="10"/>
  <c r="C84" i="10"/>
  <c r="C85" i="10"/>
  <c r="C86" i="10"/>
  <c r="C87" i="10"/>
  <c r="C88" i="10"/>
  <c r="C89" i="10"/>
  <c r="C90" i="10"/>
  <c r="C91" i="10"/>
  <c r="C92" i="10"/>
  <c r="C93" i="10"/>
  <c r="C94" i="10"/>
  <c r="C95" i="10"/>
  <c r="C96" i="10"/>
  <c r="C97" i="10"/>
  <c r="C98" i="10"/>
  <c r="C99" i="10"/>
  <c r="C100" i="10"/>
  <c r="C101" i="10"/>
  <c r="C102" i="10"/>
  <c r="C103" i="10"/>
  <c r="C104" i="10"/>
  <c r="C105" i="10"/>
  <c r="C106" i="10"/>
  <c r="C107" i="10"/>
  <c r="C108" i="10"/>
  <c r="C109" i="10"/>
  <c r="C110" i="10"/>
  <c r="C111" i="10"/>
  <c r="C112" i="10"/>
  <c r="C113" i="10"/>
  <c r="C114" i="10"/>
  <c r="C115" i="10"/>
  <c r="C116" i="10"/>
  <c r="C117" i="10"/>
  <c r="C118" i="10"/>
  <c r="C119" i="10"/>
  <c r="C2" i="10"/>
  <c r="K27" i="10"/>
  <c r="K26" i="10"/>
  <c r="K25" i="10"/>
  <c r="K24" i="10"/>
  <c r="K23" i="10"/>
  <c r="K22" i="10"/>
  <c r="K21" i="10"/>
  <c r="K20" i="10"/>
  <c r="K19" i="10"/>
  <c r="K18" i="10"/>
  <c r="K17" i="10"/>
  <c r="R5" i="31" l="1"/>
  <c r="R11" i="31"/>
  <c r="R9" i="31"/>
  <c r="R8" i="31"/>
  <c r="R7" i="31"/>
  <c r="R6" i="31"/>
  <c r="R15" i="31"/>
  <c r="R14" i="31"/>
  <c r="R13" i="31"/>
  <c r="R4" i="31"/>
  <c r="R12" i="31"/>
  <c r="R10" i="31"/>
  <c r="L85" i="10"/>
  <c r="L84" i="10"/>
  <c r="L8" i="10"/>
  <c r="L95" i="10"/>
  <c r="L93" i="10"/>
  <c r="L94" i="10"/>
  <c r="L86" i="10"/>
  <c r="L79" i="10"/>
  <c r="L89" i="10"/>
  <c r="L96" i="10"/>
  <c r="L87" i="10"/>
  <c r="L80" i="10"/>
  <c r="L77" i="10"/>
  <c r="L92" i="10"/>
  <c r="L88" i="10"/>
  <c r="L81" i="10"/>
  <c r="L83" i="10"/>
  <c r="L78" i="10"/>
  <c r="L82" i="10"/>
  <c r="L90" i="10"/>
  <c r="L91" i="10"/>
  <c r="L62" i="10"/>
  <c r="L67" i="10"/>
  <c r="L76" i="10"/>
  <c r="L72" i="10"/>
  <c r="L71" i="10"/>
  <c r="L74" i="10"/>
  <c r="L70" i="10"/>
  <c r="L69" i="10"/>
  <c r="L64" i="10"/>
  <c r="L63" i="10"/>
  <c r="L65" i="10"/>
  <c r="L66" i="10"/>
  <c r="L75" i="10"/>
  <c r="L73" i="10"/>
  <c r="L68" i="10"/>
  <c r="L7" i="10"/>
  <c r="L6" i="10"/>
  <c r="L5" i="10"/>
  <c r="L10" i="10"/>
  <c r="L18" i="10"/>
  <c r="L2" i="10"/>
  <c r="L45" i="10"/>
  <c r="L30" i="10"/>
  <c r="L29" i="10"/>
  <c r="L42" i="10"/>
  <c r="L25" i="10"/>
  <c r="L59" i="10"/>
  <c r="L31" i="10"/>
  <c r="L58" i="10"/>
  <c r="L44" i="10"/>
  <c r="L43" i="10"/>
  <c r="L28" i="10"/>
  <c r="L24" i="10"/>
  <c r="L57" i="10"/>
  <c r="L15" i="10"/>
  <c r="L56" i="10"/>
  <c r="L16" i="10"/>
  <c r="L55" i="10"/>
  <c r="L41" i="10"/>
  <c r="L27" i="10"/>
  <c r="L3" i="10"/>
  <c r="L17" i="10"/>
  <c r="L54" i="10"/>
  <c r="L40" i="10"/>
  <c r="L26" i="10"/>
  <c r="L4" i="10"/>
  <c r="L53" i="10"/>
  <c r="L39" i="10"/>
  <c r="L14" i="10"/>
  <c r="L52" i="10"/>
  <c r="L38" i="10"/>
  <c r="L13" i="10"/>
  <c r="L51" i="10"/>
  <c r="L37" i="10"/>
  <c r="L22" i="10"/>
  <c r="L20" i="10"/>
  <c r="L19" i="10"/>
  <c r="L23" i="10"/>
  <c r="L12" i="10"/>
  <c r="L50" i="10"/>
  <c r="L36" i="10"/>
  <c r="L11" i="10"/>
  <c r="L49" i="10"/>
  <c r="L35" i="10"/>
  <c r="L21" i="10"/>
  <c r="L48" i="10"/>
  <c r="L34" i="10"/>
  <c r="L9" i="10"/>
  <c r="L61" i="10"/>
  <c r="L47" i="10"/>
  <c r="L33" i="10"/>
  <c r="L60" i="10"/>
  <c r="L46" i="10"/>
  <c r="L32" i="10"/>
  <c r="K60" i="10" l="1"/>
  <c r="K59" i="10"/>
  <c r="K58" i="10"/>
  <c r="K57" i="10"/>
  <c r="K56" i="10"/>
  <c r="K55" i="10"/>
  <c r="K54" i="10"/>
  <c r="P122" i="1"/>
  <c r="R122" i="1"/>
  <c r="F122" i="1"/>
  <c r="R121" i="1"/>
  <c r="P121" i="1"/>
  <c r="F121" i="1"/>
  <c r="F110" i="1"/>
  <c r="P110" i="1" s="1"/>
  <c r="R110" i="1"/>
  <c r="F103" i="1"/>
  <c r="F105" i="1"/>
  <c r="R103" i="1"/>
  <c r="P103" i="1"/>
  <c r="R105" i="1"/>
  <c r="P105" i="1"/>
  <c r="R104" i="1"/>
  <c r="P104" i="1"/>
  <c r="F104" i="1"/>
  <c r="F117" i="1" l="1"/>
  <c r="F108" i="1"/>
  <c r="F125" i="1"/>
  <c r="F109" i="1"/>
  <c r="F101" i="1"/>
  <c r="F113" i="1"/>
  <c r="F102" i="1"/>
  <c r="P102" i="1" s="1"/>
  <c r="F107" i="1"/>
  <c r="P107" i="1" s="1"/>
  <c r="F106" i="1"/>
  <c r="P106" i="1" s="1"/>
  <c r="F100" i="1"/>
  <c r="P100" i="1" s="1"/>
  <c r="F115" i="1"/>
  <c r="P115" i="1" s="1"/>
  <c r="R115" i="1"/>
  <c r="R100" i="1"/>
  <c r="F98" i="1"/>
  <c r="P98" i="1" s="1"/>
  <c r="R98" i="1"/>
  <c r="R97" i="1"/>
  <c r="F97" i="1"/>
  <c r="P97" i="1" s="1"/>
  <c r="R106" i="1"/>
  <c r="R96" i="1"/>
  <c r="F96" i="1"/>
  <c r="P96" i="1" s="1"/>
  <c r="R107" i="1"/>
  <c r="R102" i="1"/>
  <c r="E6" i="16" l="1"/>
  <c r="F6" i="16"/>
  <c r="G6" i="16"/>
  <c r="H6" i="16"/>
  <c r="I6" i="16"/>
  <c r="J6" i="16"/>
  <c r="K6" i="16"/>
  <c r="E7" i="16"/>
  <c r="F7" i="16"/>
  <c r="G7" i="16"/>
  <c r="H7" i="16"/>
  <c r="I7" i="16"/>
  <c r="J7" i="16"/>
  <c r="K7" i="16"/>
  <c r="E8" i="16"/>
  <c r="F8" i="16"/>
  <c r="G8" i="16"/>
  <c r="H8" i="16"/>
  <c r="I8" i="16"/>
  <c r="J8" i="16"/>
  <c r="K8" i="16"/>
  <c r="E9" i="16"/>
  <c r="F9" i="16"/>
  <c r="G9" i="16"/>
  <c r="H9" i="16"/>
  <c r="I9" i="16"/>
  <c r="J9" i="16"/>
  <c r="K9" i="16"/>
  <c r="E10" i="16"/>
  <c r="F10" i="16"/>
  <c r="G10" i="16"/>
  <c r="H10" i="16"/>
  <c r="I10" i="16"/>
  <c r="J10" i="16"/>
  <c r="K10" i="16"/>
  <c r="E11" i="16"/>
  <c r="F11" i="16"/>
  <c r="G11" i="16"/>
  <c r="H11" i="16"/>
  <c r="I11" i="16"/>
  <c r="J11" i="16"/>
  <c r="K11" i="16"/>
  <c r="E13" i="16"/>
  <c r="F13" i="16"/>
  <c r="G13" i="16"/>
  <c r="H13" i="16"/>
  <c r="I13" i="16"/>
  <c r="J13" i="16"/>
  <c r="K13" i="16"/>
  <c r="E15" i="16"/>
  <c r="F15" i="16"/>
  <c r="G15" i="16"/>
  <c r="H15" i="16"/>
  <c r="I15" i="16"/>
  <c r="J15" i="16"/>
  <c r="K15" i="16"/>
  <c r="E16" i="16"/>
  <c r="F16" i="16"/>
  <c r="G16" i="16"/>
  <c r="H16" i="16"/>
  <c r="I16" i="16"/>
  <c r="J16" i="16"/>
  <c r="K16" i="16"/>
  <c r="E18" i="16"/>
  <c r="F18" i="16"/>
  <c r="G18" i="16"/>
  <c r="H18" i="16"/>
  <c r="I18" i="16"/>
  <c r="J18" i="16"/>
  <c r="K18" i="16"/>
  <c r="E20" i="16"/>
  <c r="F20" i="16"/>
  <c r="G20" i="16"/>
  <c r="H20" i="16"/>
  <c r="I20" i="16"/>
  <c r="J20" i="16"/>
  <c r="K20" i="16"/>
  <c r="E22" i="16"/>
  <c r="F22" i="16"/>
  <c r="G22" i="16"/>
  <c r="H22" i="16"/>
  <c r="I22" i="16"/>
  <c r="J22" i="16"/>
  <c r="K22" i="16"/>
  <c r="E24" i="16"/>
  <c r="F24" i="16"/>
  <c r="G24" i="16"/>
  <c r="H24" i="16"/>
  <c r="I24" i="16"/>
  <c r="J24" i="16"/>
  <c r="K24" i="16"/>
  <c r="E29" i="16"/>
  <c r="F29" i="16"/>
  <c r="G29" i="16"/>
  <c r="H29" i="16"/>
  <c r="I29" i="16"/>
  <c r="J29" i="16"/>
  <c r="K29" i="16"/>
  <c r="E30" i="16"/>
  <c r="F30" i="16"/>
  <c r="G30" i="16"/>
  <c r="H30" i="16"/>
  <c r="I30" i="16"/>
  <c r="J30" i="16"/>
  <c r="K30" i="16"/>
  <c r="E31" i="16"/>
  <c r="F31" i="16"/>
  <c r="G31" i="16"/>
  <c r="H31" i="16"/>
  <c r="I31" i="16"/>
  <c r="J31" i="16"/>
  <c r="K31" i="16"/>
  <c r="E41" i="16"/>
  <c r="F41" i="16"/>
  <c r="G41" i="16"/>
  <c r="H41" i="16"/>
  <c r="I41" i="16"/>
  <c r="J41" i="16"/>
  <c r="K41" i="16"/>
  <c r="E45" i="16"/>
  <c r="F45" i="16"/>
  <c r="G45" i="16"/>
  <c r="H45" i="16"/>
  <c r="I45" i="16"/>
  <c r="J45" i="16"/>
  <c r="K45" i="16"/>
  <c r="E46" i="16"/>
  <c r="F46" i="16"/>
  <c r="G46" i="16"/>
  <c r="H46" i="16"/>
  <c r="I46" i="16"/>
  <c r="J46" i="16"/>
  <c r="K46" i="16"/>
  <c r="E48" i="16"/>
  <c r="F48" i="16"/>
  <c r="G48" i="16"/>
  <c r="H48" i="16"/>
  <c r="I48" i="16"/>
  <c r="J48" i="16"/>
  <c r="K48" i="16"/>
  <c r="E51" i="16"/>
  <c r="F51" i="16"/>
  <c r="G51" i="16"/>
  <c r="H51" i="16"/>
  <c r="I51" i="16"/>
  <c r="J51" i="16"/>
  <c r="K51" i="16"/>
  <c r="E52" i="16"/>
  <c r="F52" i="16"/>
  <c r="G52" i="16"/>
  <c r="H52" i="16"/>
  <c r="I52" i="16"/>
  <c r="J52" i="16"/>
  <c r="K52" i="16"/>
  <c r="E53" i="16"/>
  <c r="F53" i="16"/>
  <c r="G53" i="16"/>
  <c r="H53" i="16"/>
  <c r="I53" i="16"/>
  <c r="J53" i="16"/>
  <c r="K53" i="16"/>
  <c r="E55" i="16"/>
  <c r="F55" i="16"/>
  <c r="G55" i="16"/>
  <c r="H55" i="16"/>
  <c r="I55" i="16"/>
  <c r="J55" i="16"/>
  <c r="K55" i="16"/>
  <c r="E56" i="16"/>
  <c r="F56" i="16"/>
  <c r="G56" i="16"/>
  <c r="H56" i="16"/>
  <c r="I56" i="16"/>
  <c r="J56" i="16"/>
  <c r="K56" i="16"/>
  <c r="E57" i="16"/>
  <c r="F57" i="16"/>
  <c r="G57" i="16"/>
  <c r="H57" i="16"/>
  <c r="I57" i="16"/>
  <c r="J57" i="16"/>
  <c r="K57" i="16"/>
  <c r="E58" i="16"/>
  <c r="F58" i="16"/>
  <c r="G58" i="16"/>
  <c r="H58" i="16"/>
  <c r="I58" i="16"/>
  <c r="J58" i="16"/>
  <c r="K58" i="16"/>
  <c r="D6" i="16"/>
  <c r="D7" i="16"/>
  <c r="D8" i="16"/>
  <c r="D9" i="16"/>
  <c r="D10" i="16"/>
  <c r="D11" i="16"/>
  <c r="D13" i="16"/>
  <c r="D15" i="16"/>
  <c r="D16" i="16"/>
  <c r="D18" i="16"/>
  <c r="D20" i="16"/>
  <c r="D22" i="16"/>
  <c r="D24" i="16"/>
  <c r="D29" i="16"/>
  <c r="D30" i="16"/>
  <c r="D31" i="16"/>
  <c r="D41" i="16"/>
  <c r="D45" i="16"/>
  <c r="D46" i="16"/>
  <c r="D48" i="16"/>
  <c r="D51" i="16"/>
  <c r="D52" i="16"/>
  <c r="D53" i="16"/>
  <c r="D55" i="16"/>
  <c r="D56" i="16"/>
  <c r="D57" i="16"/>
  <c r="D58" i="16"/>
  <c r="D3" i="16"/>
  <c r="E3" i="16"/>
  <c r="F3" i="16"/>
  <c r="G3" i="16"/>
  <c r="H3" i="16"/>
  <c r="I3" i="16"/>
  <c r="J3" i="16"/>
  <c r="K3" i="16"/>
  <c r="C3" i="16"/>
  <c r="C6" i="16"/>
  <c r="C7" i="16"/>
  <c r="C8" i="16"/>
  <c r="C9" i="16"/>
  <c r="C10" i="16"/>
  <c r="C11" i="16"/>
  <c r="C13" i="16"/>
  <c r="C15" i="16"/>
  <c r="C16" i="16"/>
  <c r="C18" i="16"/>
  <c r="C20" i="16"/>
  <c r="C22" i="16"/>
  <c r="C24" i="16"/>
  <c r="C29" i="16"/>
  <c r="C30" i="16"/>
  <c r="C31" i="16"/>
  <c r="C41" i="16"/>
  <c r="C45" i="16"/>
  <c r="C46" i="16"/>
  <c r="C48" i="16"/>
  <c r="C51" i="16"/>
  <c r="C52" i="16"/>
  <c r="C53" i="16"/>
  <c r="C55" i="16"/>
  <c r="C56" i="16"/>
  <c r="C57" i="16"/>
  <c r="C58" i="16"/>
  <c r="K4" i="14"/>
  <c r="L4" i="14"/>
  <c r="M4" i="14"/>
  <c r="N4" i="14"/>
  <c r="O4" i="14"/>
  <c r="P4" i="14"/>
  <c r="Q4" i="14"/>
  <c r="R4" i="14"/>
  <c r="S4" i="14"/>
  <c r="K5" i="14"/>
  <c r="C32" i="16" s="1"/>
  <c r="L5" i="14"/>
  <c r="D32" i="16" s="1"/>
  <c r="M5" i="14"/>
  <c r="E32" i="16" s="1"/>
  <c r="N5" i="14"/>
  <c r="F32" i="16" s="1"/>
  <c r="O5" i="14"/>
  <c r="G32" i="16" s="1"/>
  <c r="P5" i="14"/>
  <c r="H32" i="16" s="1"/>
  <c r="Q5" i="14"/>
  <c r="I32" i="16" s="1"/>
  <c r="R5" i="14"/>
  <c r="J32" i="16" s="1"/>
  <c r="S5" i="14"/>
  <c r="K32" i="16" s="1"/>
  <c r="K6" i="14"/>
  <c r="L6" i="14"/>
  <c r="M6" i="14"/>
  <c r="N6" i="14"/>
  <c r="O6" i="14"/>
  <c r="P6" i="14"/>
  <c r="Q6" i="14"/>
  <c r="R6" i="14"/>
  <c r="S6" i="14"/>
  <c r="K7" i="14"/>
  <c r="L7" i="14"/>
  <c r="M7" i="14"/>
  <c r="N7" i="14"/>
  <c r="O7" i="14"/>
  <c r="P7" i="14"/>
  <c r="Q7" i="14"/>
  <c r="R7" i="14"/>
  <c r="S7" i="14"/>
  <c r="K8" i="14"/>
  <c r="C34" i="16" s="1"/>
  <c r="L8" i="14"/>
  <c r="D34" i="16" s="1"/>
  <c r="M8" i="14"/>
  <c r="E34" i="16" s="1"/>
  <c r="N8" i="14"/>
  <c r="F34" i="16" s="1"/>
  <c r="O8" i="14"/>
  <c r="G34" i="16" s="1"/>
  <c r="P8" i="14"/>
  <c r="H34" i="16" s="1"/>
  <c r="Q8" i="14"/>
  <c r="I34" i="16" s="1"/>
  <c r="R8" i="14"/>
  <c r="J34" i="16" s="1"/>
  <c r="S8" i="14"/>
  <c r="K34" i="16" s="1"/>
  <c r="K9" i="14"/>
  <c r="L9" i="14"/>
  <c r="M9" i="14"/>
  <c r="N9" i="14"/>
  <c r="O9" i="14"/>
  <c r="P9" i="14"/>
  <c r="Q9" i="14"/>
  <c r="R9" i="14"/>
  <c r="S9" i="14"/>
  <c r="K10" i="14"/>
  <c r="L10" i="14"/>
  <c r="M10" i="14"/>
  <c r="N10" i="14"/>
  <c r="O10" i="14"/>
  <c r="P10" i="14"/>
  <c r="Q10" i="14"/>
  <c r="R10" i="14"/>
  <c r="S10" i="14"/>
  <c r="K11" i="14"/>
  <c r="C50" i="16" s="1"/>
  <c r="L11" i="14"/>
  <c r="D50" i="16" s="1"/>
  <c r="M11" i="14"/>
  <c r="E50" i="16" s="1"/>
  <c r="N11" i="14"/>
  <c r="F50" i="16" s="1"/>
  <c r="O11" i="14"/>
  <c r="G50" i="16" s="1"/>
  <c r="P11" i="14"/>
  <c r="H50" i="16" s="1"/>
  <c r="Q11" i="14"/>
  <c r="I50" i="16" s="1"/>
  <c r="R11" i="14"/>
  <c r="J50" i="16" s="1"/>
  <c r="S11" i="14"/>
  <c r="K50" i="16" s="1"/>
  <c r="K12" i="14"/>
  <c r="L12" i="14"/>
  <c r="M12" i="14"/>
  <c r="N12" i="14"/>
  <c r="O12" i="14"/>
  <c r="P12" i="14"/>
  <c r="Q12" i="14"/>
  <c r="R12" i="14"/>
  <c r="S12" i="14"/>
  <c r="K13" i="14"/>
  <c r="L13" i="14"/>
  <c r="M13" i="14"/>
  <c r="N13" i="14"/>
  <c r="O13" i="14"/>
  <c r="P13" i="14"/>
  <c r="Q13" i="14"/>
  <c r="R13" i="14"/>
  <c r="S13" i="14"/>
  <c r="K14" i="14"/>
  <c r="L14" i="14"/>
  <c r="M14" i="14"/>
  <c r="N14" i="14"/>
  <c r="O14" i="14"/>
  <c r="P14" i="14"/>
  <c r="Q14" i="14"/>
  <c r="R14" i="14"/>
  <c r="S14" i="14"/>
  <c r="K15" i="14"/>
  <c r="L15" i="14"/>
  <c r="M15" i="14"/>
  <c r="N15" i="14"/>
  <c r="O15" i="14"/>
  <c r="P15" i="14"/>
  <c r="Q15" i="14"/>
  <c r="R15" i="14"/>
  <c r="S15" i="14"/>
  <c r="K16" i="14"/>
  <c r="L16" i="14"/>
  <c r="M16" i="14"/>
  <c r="N16" i="14"/>
  <c r="O16" i="14"/>
  <c r="P16" i="14"/>
  <c r="Q16" i="14"/>
  <c r="R16" i="14"/>
  <c r="S16" i="14"/>
  <c r="K17" i="14"/>
  <c r="L17" i="14"/>
  <c r="M17" i="14"/>
  <c r="N17" i="14"/>
  <c r="O17" i="14"/>
  <c r="P17" i="14"/>
  <c r="Q17" i="14"/>
  <c r="R17" i="14"/>
  <c r="S17" i="14"/>
  <c r="K18" i="14"/>
  <c r="C38" i="16" s="1"/>
  <c r="L18" i="14"/>
  <c r="D38" i="16" s="1"/>
  <c r="M18" i="14"/>
  <c r="E38" i="16" s="1"/>
  <c r="N18" i="14"/>
  <c r="F38" i="16" s="1"/>
  <c r="O18" i="14"/>
  <c r="G38" i="16" s="1"/>
  <c r="P18" i="14"/>
  <c r="H38" i="16" s="1"/>
  <c r="Q18" i="14"/>
  <c r="I38" i="16" s="1"/>
  <c r="R18" i="14"/>
  <c r="J38" i="16" s="1"/>
  <c r="S18" i="14"/>
  <c r="K38" i="16" s="1"/>
  <c r="K19" i="14"/>
  <c r="L19" i="14"/>
  <c r="M19" i="14"/>
  <c r="N19" i="14"/>
  <c r="O19" i="14"/>
  <c r="P19" i="14"/>
  <c r="Q19" i="14"/>
  <c r="R19" i="14"/>
  <c r="S19" i="14"/>
  <c r="K20" i="14"/>
  <c r="L20" i="14"/>
  <c r="M20" i="14"/>
  <c r="N20" i="14"/>
  <c r="O20" i="14"/>
  <c r="P20" i="14"/>
  <c r="Q20" i="14"/>
  <c r="R20" i="14"/>
  <c r="S20" i="14"/>
  <c r="K21" i="14"/>
  <c r="L21" i="14"/>
  <c r="M21" i="14"/>
  <c r="N21" i="14"/>
  <c r="O21" i="14"/>
  <c r="P21" i="14"/>
  <c r="Q21" i="14"/>
  <c r="R21" i="14"/>
  <c r="S21" i="14"/>
  <c r="K22" i="14"/>
  <c r="L22" i="14"/>
  <c r="M22" i="14"/>
  <c r="N22" i="14"/>
  <c r="O22" i="14"/>
  <c r="P22" i="14"/>
  <c r="Q22" i="14"/>
  <c r="R22" i="14"/>
  <c r="S22" i="14"/>
  <c r="K23" i="14"/>
  <c r="L23" i="14"/>
  <c r="M23" i="14"/>
  <c r="N23" i="14"/>
  <c r="O23" i="14"/>
  <c r="P23" i="14"/>
  <c r="Q23" i="14"/>
  <c r="R23" i="14"/>
  <c r="S23" i="14"/>
  <c r="K24" i="14"/>
  <c r="L24" i="14"/>
  <c r="M24" i="14"/>
  <c r="N24" i="14"/>
  <c r="O24" i="14"/>
  <c r="P24" i="14"/>
  <c r="Q24" i="14"/>
  <c r="R24" i="14"/>
  <c r="S24" i="14"/>
  <c r="K25" i="14"/>
  <c r="L25" i="14"/>
  <c r="M25" i="14"/>
  <c r="N25" i="14"/>
  <c r="O25" i="14"/>
  <c r="P25" i="14"/>
  <c r="Q25" i="14"/>
  <c r="R25" i="14"/>
  <c r="S25" i="14"/>
  <c r="K26" i="14"/>
  <c r="L26" i="14"/>
  <c r="M26" i="14"/>
  <c r="N26" i="14"/>
  <c r="O26" i="14"/>
  <c r="P26" i="14"/>
  <c r="Q26" i="14"/>
  <c r="R26" i="14"/>
  <c r="S26" i="14"/>
  <c r="K27" i="14"/>
  <c r="L27" i="14"/>
  <c r="M27" i="14"/>
  <c r="N27" i="14"/>
  <c r="O27" i="14"/>
  <c r="P27" i="14"/>
  <c r="Q27" i="14"/>
  <c r="R27" i="14"/>
  <c r="S27" i="14"/>
  <c r="K28" i="14"/>
  <c r="L28" i="14"/>
  <c r="M28" i="14"/>
  <c r="N28" i="14"/>
  <c r="O28" i="14"/>
  <c r="P28" i="14"/>
  <c r="Q28" i="14"/>
  <c r="R28" i="14"/>
  <c r="S28" i="14"/>
  <c r="K29" i="14"/>
  <c r="L29" i="14"/>
  <c r="M29" i="14"/>
  <c r="N29" i="14"/>
  <c r="O29" i="14"/>
  <c r="P29" i="14"/>
  <c r="Q29" i="14"/>
  <c r="R29" i="14"/>
  <c r="S29" i="14"/>
  <c r="K30" i="14"/>
  <c r="L30" i="14"/>
  <c r="M30" i="14"/>
  <c r="N30" i="14"/>
  <c r="O30" i="14"/>
  <c r="P30" i="14"/>
  <c r="Q30" i="14"/>
  <c r="R30" i="14"/>
  <c r="S30" i="14"/>
  <c r="K31" i="14"/>
  <c r="L31" i="14"/>
  <c r="M31" i="14"/>
  <c r="N31" i="14"/>
  <c r="O31" i="14"/>
  <c r="P31" i="14"/>
  <c r="Q31" i="14"/>
  <c r="R31" i="14"/>
  <c r="S31" i="14"/>
  <c r="K32" i="14"/>
  <c r="L32" i="14"/>
  <c r="M32" i="14"/>
  <c r="N32" i="14"/>
  <c r="O32" i="14"/>
  <c r="P32" i="14"/>
  <c r="Q32" i="14"/>
  <c r="R32" i="14"/>
  <c r="S32" i="14"/>
  <c r="K33" i="14"/>
  <c r="L33" i="14"/>
  <c r="M33" i="14"/>
  <c r="N33" i="14"/>
  <c r="O33" i="14"/>
  <c r="P33" i="14"/>
  <c r="Q33" i="14"/>
  <c r="R33" i="14"/>
  <c r="S33" i="14"/>
  <c r="K34" i="14"/>
  <c r="L34" i="14"/>
  <c r="M34" i="14"/>
  <c r="N34" i="14"/>
  <c r="O34" i="14"/>
  <c r="P34" i="14"/>
  <c r="Q34" i="14"/>
  <c r="R34" i="14"/>
  <c r="S34" i="14"/>
  <c r="K35" i="14"/>
  <c r="C27" i="16" s="1"/>
  <c r="L35" i="14"/>
  <c r="D27" i="16" s="1"/>
  <c r="M35" i="14"/>
  <c r="E27" i="16" s="1"/>
  <c r="N35" i="14"/>
  <c r="F27" i="16" s="1"/>
  <c r="O35" i="14"/>
  <c r="G27" i="16" s="1"/>
  <c r="P35" i="14"/>
  <c r="H27" i="16" s="1"/>
  <c r="Q35" i="14"/>
  <c r="I27" i="16" s="1"/>
  <c r="R35" i="14"/>
  <c r="J27" i="16" s="1"/>
  <c r="S35" i="14"/>
  <c r="K27" i="16" s="1"/>
  <c r="K36" i="14"/>
  <c r="L36" i="14"/>
  <c r="M36" i="14"/>
  <c r="N36" i="14"/>
  <c r="O36" i="14"/>
  <c r="P36" i="14"/>
  <c r="Q36" i="14"/>
  <c r="R36" i="14"/>
  <c r="S36" i="14"/>
  <c r="K37" i="14"/>
  <c r="L37" i="14"/>
  <c r="M37" i="14"/>
  <c r="N37" i="14"/>
  <c r="O37" i="14"/>
  <c r="P37" i="14"/>
  <c r="Q37" i="14"/>
  <c r="R37" i="14"/>
  <c r="S37" i="14"/>
  <c r="K38" i="14"/>
  <c r="L38" i="14"/>
  <c r="M38" i="14"/>
  <c r="N38" i="14"/>
  <c r="O38" i="14"/>
  <c r="P38" i="14"/>
  <c r="Q38" i="14"/>
  <c r="R38" i="14"/>
  <c r="S38" i="14"/>
  <c r="K39" i="14"/>
  <c r="L39" i="14"/>
  <c r="M39" i="14"/>
  <c r="N39" i="14"/>
  <c r="O39" i="14"/>
  <c r="P39" i="14"/>
  <c r="Q39" i="14"/>
  <c r="R39" i="14"/>
  <c r="S39" i="14"/>
  <c r="K40" i="14"/>
  <c r="L40" i="14"/>
  <c r="M40" i="14"/>
  <c r="N40" i="14"/>
  <c r="O40" i="14"/>
  <c r="P40" i="14"/>
  <c r="Q40" i="14"/>
  <c r="R40" i="14"/>
  <c r="S40" i="14"/>
  <c r="K41" i="14"/>
  <c r="L41" i="14"/>
  <c r="M41" i="14"/>
  <c r="N41" i="14"/>
  <c r="O41" i="14"/>
  <c r="P41" i="14"/>
  <c r="Q41" i="14"/>
  <c r="R41" i="14"/>
  <c r="S41" i="14"/>
  <c r="K42" i="14"/>
  <c r="L42" i="14"/>
  <c r="M42" i="14"/>
  <c r="N42" i="14"/>
  <c r="O42" i="14"/>
  <c r="P42" i="14"/>
  <c r="Q42" i="14"/>
  <c r="R42" i="14"/>
  <c r="S42" i="14"/>
  <c r="K43" i="14"/>
  <c r="L43" i="14"/>
  <c r="M43" i="14"/>
  <c r="N43" i="14"/>
  <c r="O43" i="14"/>
  <c r="P43" i="14"/>
  <c r="Q43" i="14"/>
  <c r="R43" i="14"/>
  <c r="S43" i="14"/>
  <c r="K44" i="14"/>
  <c r="L44" i="14"/>
  <c r="M44" i="14"/>
  <c r="N44" i="14"/>
  <c r="O44" i="14"/>
  <c r="P44" i="14"/>
  <c r="Q44" i="14"/>
  <c r="R44" i="14"/>
  <c r="S44" i="14"/>
  <c r="K45" i="14"/>
  <c r="L45" i="14"/>
  <c r="M45" i="14"/>
  <c r="N45" i="14"/>
  <c r="O45" i="14"/>
  <c r="P45" i="14"/>
  <c r="Q45" i="14"/>
  <c r="R45" i="14"/>
  <c r="S45" i="14"/>
  <c r="K46" i="14"/>
  <c r="L46" i="14"/>
  <c r="M46" i="14"/>
  <c r="N46" i="14"/>
  <c r="O46" i="14"/>
  <c r="P46" i="14"/>
  <c r="Q46" i="14"/>
  <c r="R46" i="14"/>
  <c r="S46" i="14"/>
  <c r="K47" i="14"/>
  <c r="L47" i="14"/>
  <c r="M47" i="14"/>
  <c r="N47" i="14"/>
  <c r="O47" i="14"/>
  <c r="P47" i="14"/>
  <c r="Q47" i="14"/>
  <c r="R47" i="14"/>
  <c r="S47" i="14"/>
  <c r="K48" i="14"/>
  <c r="L48" i="14"/>
  <c r="M48" i="14"/>
  <c r="N48" i="14"/>
  <c r="O48" i="14"/>
  <c r="P48" i="14"/>
  <c r="Q48" i="14"/>
  <c r="R48" i="14"/>
  <c r="S48" i="14"/>
  <c r="K49" i="14"/>
  <c r="L49" i="14"/>
  <c r="M49" i="14"/>
  <c r="N49" i="14"/>
  <c r="O49" i="14"/>
  <c r="P49" i="14"/>
  <c r="Q49" i="14"/>
  <c r="R49" i="14"/>
  <c r="S49" i="14"/>
  <c r="K50" i="14"/>
  <c r="L50" i="14"/>
  <c r="M50" i="14"/>
  <c r="N50" i="14"/>
  <c r="O50" i="14"/>
  <c r="P50" i="14"/>
  <c r="Q50" i="14"/>
  <c r="R50" i="14"/>
  <c r="S50" i="14"/>
  <c r="K51" i="14"/>
  <c r="L51" i="14"/>
  <c r="M51" i="14"/>
  <c r="N51" i="14"/>
  <c r="O51" i="14"/>
  <c r="P51" i="14"/>
  <c r="Q51" i="14"/>
  <c r="R51" i="14"/>
  <c r="S51" i="14"/>
  <c r="K52" i="14"/>
  <c r="L52" i="14"/>
  <c r="M52" i="14"/>
  <c r="N52" i="14"/>
  <c r="O52" i="14"/>
  <c r="P52" i="14"/>
  <c r="Q52" i="14"/>
  <c r="R52" i="14"/>
  <c r="S52" i="14"/>
  <c r="K53" i="14"/>
  <c r="L53" i="14"/>
  <c r="M53" i="14"/>
  <c r="N53" i="14"/>
  <c r="O53" i="14"/>
  <c r="P53" i="14"/>
  <c r="Q53" i="14"/>
  <c r="R53" i="14"/>
  <c r="S53" i="14"/>
  <c r="K54" i="14"/>
  <c r="L54" i="14"/>
  <c r="M54" i="14"/>
  <c r="N54" i="14"/>
  <c r="O54" i="14"/>
  <c r="P54" i="14"/>
  <c r="Q54" i="14"/>
  <c r="R54" i="14"/>
  <c r="S54" i="14"/>
  <c r="K55" i="14"/>
  <c r="L55" i="14"/>
  <c r="M55" i="14"/>
  <c r="N55" i="14"/>
  <c r="O55" i="14"/>
  <c r="P55" i="14"/>
  <c r="Q55" i="14"/>
  <c r="R55" i="14"/>
  <c r="S55" i="14"/>
  <c r="K56" i="14"/>
  <c r="L56" i="14"/>
  <c r="M56" i="14"/>
  <c r="N56" i="14"/>
  <c r="O56" i="14"/>
  <c r="P56" i="14"/>
  <c r="Q56" i="14"/>
  <c r="R56" i="14"/>
  <c r="S56" i="14"/>
  <c r="K57" i="14"/>
  <c r="L57" i="14"/>
  <c r="M57" i="14"/>
  <c r="N57" i="14"/>
  <c r="O57" i="14"/>
  <c r="P57" i="14"/>
  <c r="Q57" i="14"/>
  <c r="R57" i="14"/>
  <c r="S57" i="14"/>
  <c r="K58" i="14"/>
  <c r="L58" i="14"/>
  <c r="M58" i="14"/>
  <c r="N58" i="14"/>
  <c r="O58" i="14"/>
  <c r="P58" i="14"/>
  <c r="Q58" i="14"/>
  <c r="R58" i="14"/>
  <c r="S58" i="14"/>
  <c r="K59" i="14"/>
  <c r="L59" i="14"/>
  <c r="M59" i="14"/>
  <c r="N59" i="14"/>
  <c r="O59" i="14"/>
  <c r="P59" i="14"/>
  <c r="Q59" i="14"/>
  <c r="R59" i="14"/>
  <c r="S59" i="14"/>
  <c r="K60" i="14"/>
  <c r="L60" i="14"/>
  <c r="M60" i="14"/>
  <c r="N60" i="14"/>
  <c r="O60" i="14"/>
  <c r="P60" i="14"/>
  <c r="Q60" i="14"/>
  <c r="R60" i="14"/>
  <c r="S60" i="14"/>
  <c r="K61" i="14"/>
  <c r="L61" i="14"/>
  <c r="M61" i="14"/>
  <c r="N61" i="14"/>
  <c r="O61" i="14"/>
  <c r="P61" i="14"/>
  <c r="Q61" i="14"/>
  <c r="R61" i="14"/>
  <c r="S61" i="14"/>
  <c r="K62" i="14"/>
  <c r="L62" i="14"/>
  <c r="M62" i="14"/>
  <c r="N62" i="14"/>
  <c r="O62" i="14"/>
  <c r="P62" i="14"/>
  <c r="Q62" i="14"/>
  <c r="R62" i="14"/>
  <c r="S62" i="14"/>
  <c r="K63" i="14"/>
  <c r="L63" i="14"/>
  <c r="M63" i="14"/>
  <c r="N63" i="14"/>
  <c r="O63" i="14"/>
  <c r="P63" i="14"/>
  <c r="Q63" i="14"/>
  <c r="R63" i="14"/>
  <c r="S63" i="14"/>
  <c r="K64" i="14"/>
  <c r="L64" i="14"/>
  <c r="M64" i="14"/>
  <c r="N64" i="14"/>
  <c r="O64" i="14"/>
  <c r="P64" i="14"/>
  <c r="Q64" i="14"/>
  <c r="R64" i="14"/>
  <c r="S64" i="14"/>
  <c r="K65" i="14"/>
  <c r="L65" i="14"/>
  <c r="M65" i="14"/>
  <c r="N65" i="14"/>
  <c r="O65" i="14"/>
  <c r="P65" i="14"/>
  <c r="Q65" i="14"/>
  <c r="R65" i="14"/>
  <c r="S65" i="14"/>
  <c r="K66" i="14"/>
  <c r="L66" i="14"/>
  <c r="M66" i="14"/>
  <c r="N66" i="14"/>
  <c r="O66" i="14"/>
  <c r="P66" i="14"/>
  <c r="Q66" i="14"/>
  <c r="R66" i="14"/>
  <c r="S66" i="14"/>
  <c r="K67" i="14"/>
  <c r="L67" i="14"/>
  <c r="M67" i="14"/>
  <c r="N67" i="14"/>
  <c r="O67" i="14"/>
  <c r="P67" i="14"/>
  <c r="Q67" i="14"/>
  <c r="R67" i="14"/>
  <c r="S67" i="14"/>
  <c r="K68" i="14"/>
  <c r="C54" i="16" s="1"/>
  <c r="L68" i="14"/>
  <c r="D54" i="16" s="1"/>
  <c r="M68" i="14"/>
  <c r="E54" i="16" s="1"/>
  <c r="N68" i="14"/>
  <c r="F54" i="16" s="1"/>
  <c r="O68" i="14"/>
  <c r="G54" i="16" s="1"/>
  <c r="P68" i="14"/>
  <c r="H54" i="16" s="1"/>
  <c r="Q68" i="14"/>
  <c r="I54" i="16" s="1"/>
  <c r="R68" i="14"/>
  <c r="J54" i="16" s="1"/>
  <c r="S68" i="14"/>
  <c r="K54" i="16" s="1"/>
  <c r="K69" i="14"/>
  <c r="L69" i="14"/>
  <c r="M69" i="14"/>
  <c r="N69" i="14"/>
  <c r="O69" i="14"/>
  <c r="P69" i="14"/>
  <c r="Q69" i="14"/>
  <c r="R69" i="14"/>
  <c r="S69" i="14"/>
  <c r="K70" i="14"/>
  <c r="L70" i="14"/>
  <c r="M70" i="14"/>
  <c r="N70" i="14"/>
  <c r="O70" i="14"/>
  <c r="P70" i="14"/>
  <c r="Q70" i="14"/>
  <c r="R70" i="14"/>
  <c r="S70" i="14"/>
  <c r="K71" i="14"/>
  <c r="L71" i="14"/>
  <c r="M71" i="14"/>
  <c r="N71" i="14"/>
  <c r="O71" i="14"/>
  <c r="P71" i="14"/>
  <c r="Q71" i="14"/>
  <c r="R71" i="14"/>
  <c r="S71" i="14"/>
  <c r="K72" i="14"/>
  <c r="L72" i="14"/>
  <c r="M72" i="14"/>
  <c r="N72" i="14"/>
  <c r="O72" i="14"/>
  <c r="P72" i="14"/>
  <c r="Q72" i="14"/>
  <c r="R72" i="14"/>
  <c r="S72" i="14"/>
  <c r="K73" i="14"/>
  <c r="L73" i="14"/>
  <c r="M73" i="14"/>
  <c r="N73" i="14"/>
  <c r="O73" i="14"/>
  <c r="P73" i="14"/>
  <c r="Q73" i="14"/>
  <c r="R73" i="14"/>
  <c r="S73" i="14"/>
  <c r="K74" i="14"/>
  <c r="L74" i="14"/>
  <c r="M74" i="14"/>
  <c r="N74" i="14"/>
  <c r="O74" i="14"/>
  <c r="P74" i="14"/>
  <c r="Q74" i="14"/>
  <c r="R74" i="14"/>
  <c r="S74" i="14"/>
  <c r="K75" i="14"/>
  <c r="L75" i="14"/>
  <c r="M75" i="14"/>
  <c r="N75" i="14"/>
  <c r="O75" i="14"/>
  <c r="P75" i="14"/>
  <c r="Q75" i="14"/>
  <c r="R75" i="14"/>
  <c r="S75" i="14"/>
  <c r="K76" i="14"/>
  <c r="L76" i="14"/>
  <c r="M76" i="14"/>
  <c r="N76" i="14"/>
  <c r="O76" i="14"/>
  <c r="P76" i="14"/>
  <c r="Q76" i="14"/>
  <c r="R76" i="14"/>
  <c r="S76" i="14"/>
  <c r="K77" i="14"/>
  <c r="L77" i="14"/>
  <c r="M77" i="14"/>
  <c r="N77" i="14"/>
  <c r="O77" i="14"/>
  <c r="P77" i="14"/>
  <c r="Q77" i="14"/>
  <c r="R77" i="14"/>
  <c r="S77" i="14"/>
  <c r="K78" i="14"/>
  <c r="L78" i="14"/>
  <c r="M78" i="14"/>
  <c r="N78" i="14"/>
  <c r="O78" i="14"/>
  <c r="P78" i="14"/>
  <c r="Q78" i="14"/>
  <c r="R78" i="14"/>
  <c r="S78" i="14"/>
  <c r="K79" i="14"/>
  <c r="C14" i="16" s="1"/>
  <c r="L79" i="14"/>
  <c r="D14" i="16" s="1"/>
  <c r="M79" i="14"/>
  <c r="E14" i="16" s="1"/>
  <c r="N79" i="14"/>
  <c r="F14" i="16" s="1"/>
  <c r="O79" i="14"/>
  <c r="G14" i="16" s="1"/>
  <c r="P79" i="14"/>
  <c r="H14" i="16" s="1"/>
  <c r="Q79" i="14"/>
  <c r="I14" i="16" s="1"/>
  <c r="R79" i="14"/>
  <c r="J14" i="16" s="1"/>
  <c r="S79" i="14"/>
  <c r="K14" i="16" s="1"/>
  <c r="K80" i="14"/>
  <c r="L80" i="14"/>
  <c r="M80" i="14"/>
  <c r="N80" i="14"/>
  <c r="O80" i="14"/>
  <c r="P80" i="14"/>
  <c r="Q80" i="14"/>
  <c r="R80" i="14"/>
  <c r="S80" i="14"/>
  <c r="K81" i="14"/>
  <c r="L81" i="14"/>
  <c r="M81" i="14"/>
  <c r="N81" i="14"/>
  <c r="O81" i="14"/>
  <c r="P81" i="14"/>
  <c r="Q81" i="14"/>
  <c r="R81" i="14"/>
  <c r="S81" i="14"/>
  <c r="K82" i="14"/>
  <c r="L82" i="14"/>
  <c r="M82" i="14"/>
  <c r="N82" i="14"/>
  <c r="O82" i="14"/>
  <c r="P82" i="14"/>
  <c r="Q82" i="14"/>
  <c r="R82" i="14"/>
  <c r="S82" i="14"/>
  <c r="K83" i="14"/>
  <c r="C43" i="16" s="1"/>
  <c r="L83" i="14"/>
  <c r="M83" i="14"/>
  <c r="N83" i="14"/>
  <c r="O83" i="14"/>
  <c r="P83" i="14"/>
  <c r="Q83" i="14"/>
  <c r="R83" i="14"/>
  <c r="S83" i="14"/>
  <c r="K84" i="14"/>
  <c r="L84" i="14"/>
  <c r="M84" i="14"/>
  <c r="N84" i="14"/>
  <c r="O84" i="14"/>
  <c r="P84" i="14"/>
  <c r="Q84" i="14"/>
  <c r="R84" i="14"/>
  <c r="S84" i="14"/>
  <c r="K85" i="14"/>
  <c r="L85" i="14"/>
  <c r="M85" i="14"/>
  <c r="N85" i="14"/>
  <c r="O85" i="14"/>
  <c r="P85" i="14"/>
  <c r="Q85" i="14"/>
  <c r="R85" i="14"/>
  <c r="S85" i="14"/>
  <c r="K86" i="14"/>
  <c r="L86" i="14"/>
  <c r="M86" i="14"/>
  <c r="N86" i="14"/>
  <c r="O86" i="14"/>
  <c r="P86" i="14"/>
  <c r="Q86" i="14"/>
  <c r="R86" i="14"/>
  <c r="S86" i="14"/>
  <c r="K87" i="14"/>
  <c r="C42" i="16" s="1"/>
  <c r="L87" i="14"/>
  <c r="D42" i="16" s="1"/>
  <c r="M87" i="14"/>
  <c r="E42" i="16" s="1"/>
  <c r="N87" i="14"/>
  <c r="F42" i="16" s="1"/>
  <c r="O87" i="14"/>
  <c r="G42" i="16" s="1"/>
  <c r="P87" i="14"/>
  <c r="H42" i="16" s="1"/>
  <c r="Q87" i="14"/>
  <c r="I42" i="16" s="1"/>
  <c r="R87" i="14"/>
  <c r="J42" i="16" s="1"/>
  <c r="S87" i="14"/>
  <c r="K42" i="16" s="1"/>
  <c r="K88" i="14"/>
  <c r="L88" i="14"/>
  <c r="M88" i="14"/>
  <c r="N88" i="14"/>
  <c r="O88" i="14"/>
  <c r="P88" i="14"/>
  <c r="Q88" i="14"/>
  <c r="R88" i="14"/>
  <c r="S88" i="14"/>
  <c r="K89" i="14"/>
  <c r="L89" i="14"/>
  <c r="M89" i="14"/>
  <c r="E36" i="16" s="1"/>
  <c r="N89" i="14"/>
  <c r="O89" i="14"/>
  <c r="P89" i="14"/>
  <c r="Q89" i="14"/>
  <c r="R89" i="14"/>
  <c r="S89" i="14"/>
  <c r="K90" i="14"/>
  <c r="L90" i="14"/>
  <c r="M90" i="14"/>
  <c r="N90" i="14"/>
  <c r="O90" i="14"/>
  <c r="P90" i="14"/>
  <c r="Q90" i="14"/>
  <c r="R90" i="14"/>
  <c r="S90" i="14"/>
  <c r="K91" i="14"/>
  <c r="L91" i="14"/>
  <c r="M91" i="14"/>
  <c r="N91" i="14"/>
  <c r="O91" i="14"/>
  <c r="P91" i="14"/>
  <c r="Q91" i="14"/>
  <c r="R91" i="14"/>
  <c r="S91" i="14"/>
  <c r="K92" i="14"/>
  <c r="L92" i="14"/>
  <c r="M92" i="14"/>
  <c r="N92" i="14"/>
  <c r="O92" i="14"/>
  <c r="P92" i="14"/>
  <c r="Q92" i="14"/>
  <c r="R92" i="14"/>
  <c r="S92" i="14"/>
  <c r="K93" i="14"/>
  <c r="L93" i="14"/>
  <c r="M93" i="14"/>
  <c r="N93" i="14"/>
  <c r="O93" i="14"/>
  <c r="P93" i="14"/>
  <c r="Q93" i="14"/>
  <c r="R93" i="14"/>
  <c r="S93" i="14"/>
  <c r="K94" i="14"/>
  <c r="L94" i="14"/>
  <c r="M94" i="14"/>
  <c r="N94" i="14"/>
  <c r="O94" i="14"/>
  <c r="P94" i="14"/>
  <c r="Q94" i="14"/>
  <c r="R94" i="14"/>
  <c r="S94" i="14"/>
  <c r="K95" i="14"/>
  <c r="L95" i="14"/>
  <c r="M95" i="14"/>
  <c r="N95" i="14"/>
  <c r="O95" i="14"/>
  <c r="P95" i="14"/>
  <c r="Q95" i="14"/>
  <c r="R95" i="14"/>
  <c r="S95" i="14"/>
  <c r="K96" i="14"/>
  <c r="L96" i="14"/>
  <c r="M96" i="14"/>
  <c r="N96" i="14"/>
  <c r="O96" i="14"/>
  <c r="P96" i="14"/>
  <c r="Q96" i="14"/>
  <c r="R96" i="14"/>
  <c r="S96" i="14"/>
  <c r="K97" i="14"/>
  <c r="L97" i="14"/>
  <c r="M97" i="14"/>
  <c r="N97" i="14"/>
  <c r="O97" i="14"/>
  <c r="P97" i="14"/>
  <c r="Q97" i="14"/>
  <c r="R97" i="14"/>
  <c r="S97" i="14"/>
  <c r="K98" i="14"/>
  <c r="L98" i="14"/>
  <c r="M98" i="14"/>
  <c r="N98" i="14"/>
  <c r="O98" i="14"/>
  <c r="P98" i="14"/>
  <c r="Q98" i="14"/>
  <c r="R98" i="14"/>
  <c r="S98" i="14"/>
  <c r="K99" i="14"/>
  <c r="L99" i="14"/>
  <c r="M99" i="14"/>
  <c r="N99" i="14"/>
  <c r="O99" i="14"/>
  <c r="P99" i="14"/>
  <c r="Q99" i="14"/>
  <c r="R99" i="14"/>
  <c r="S99" i="14"/>
  <c r="K100" i="14"/>
  <c r="L100" i="14"/>
  <c r="M100" i="14"/>
  <c r="N100" i="14"/>
  <c r="O100" i="14"/>
  <c r="P100" i="14"/>
  <c r="Q100" i="14"/>
  <c r="R100" i="14"/>
  <c r="S100" i="14"/>
  <c r="K101" i="14"/>
  <c r="L101" i="14"/>
  <c r="M101" i="14"/>
  <c r="N101" i="14"/>
  <c r="O101" i="14"/>
  <c r="P101" i="14"/>
  <c r="Q101" i="14"/>
  <c r="R101" i="14"/>
  <c r="S101" i="14"/>
  <c r="K102" i="14"/>
  <c r="L102" i="14"/>
  <c r="M102" i="14"/>
  <c r="N102" i="14"/>
  <c r="O102" i="14"/>
  <c r="P102" i="14"/>
  <c r="Q102" i="14"/>
  <c r="R102" i="14"/>
  <c r="S102" i="14"/>
  <c r="K103" i="14"/>
  <c r="C44" i="16" s="1"/>
  <c r="L103" i="14"/>
  <c r="D44" i="16" s="1"/>
  <c r="M103" i="14"/>
  <c r="E44" i="16" s="1"/>
  <c r="N103" i="14"/>
  <c r="F44" i="16" s="1"/>
  <c r="O103" i="14"/>
  <c r="G44" i="16" s="1"/>
  <c r="P103" i="14"/>
  <c r="H44" i="16" s="1"/>
  <c r="Q103" i="14"/>
  <c r="I44" i="16" s="1"/>
  <c r="R103" i="14"/>
  <c r="J44" i="16" s="1"/>
  <c r="S103" i="14"/>
  <c r="K44" i="16" s="1"/>
  <c r="K104" i="14"/>
  <c r="L104" i="14"/>
  <c r="M104" i="14"/>
  <c r="N104" i="14"/>
  <c r="O104" i="14"/>
  <c r="P104" i="14"/>
  <c r="Q104" i="14"/>
  <c r="R104" i="14"/>
  <c r="S104" i="14"/>
  <c r="K105" i="14"/>
  <c r="L105" i="14"/>
  <c r="M105" i="14"/>
  <c r="N105" i="14"/>
  <c r="O105" i="14"/>
  <c r="P105" i="14"/>
  <c r="Q105" i="14"/>
  <c r="R105" i="14"/>
  <c r="S105" i="14"/>
  <c r="K106" i="14"/>
  <c r="L106" i="14"/>
  <c r="M106" i="14"/>
  <c r="N106" i="14"/>
  <c r="O106" i="14"/>
  <c r="P106" i="14"/>
  <c r="Q106" i="14"/>
  <c r="R106" i="14"/>
  <c r="S106" i="14"/>
  <c r="K107" i="14"/>
  <c r="L107" i="14"/>
  <c r="M107" i="14"/>
  <c r="N107" i="14"/>
  <c r="O107" i="14"/>
  <c r="P107" i="14"/>
  <c r="Q107" i="14"/>
  <c r="R107" i="14"/>
  <c r="S107" i="14"/>
  <c r="K108" i="14"/>
  <c r="L108" i="14"/>
  <c r="M108" i="14"/>
  <c r="N108" i="14"/>
  <c r="O108" i="14"/>
  <c r="P108" i="14"/>
  <c r="Q108" i="14"/>
  <c r="R108" i="14"/>
  <c r="S108" i="14"/>
  <c r="K109" i="14"/>
  <c r="L109" i="14"/>
  <c r="M109" i="14"/>
  <c r="N109" i="14"/>
  <c r="O109" i="14"/>
  <c r="P109" i="14"/>
  <c r="Q109" i="14"/>
  <c r="R109" i="14"/>
  <c r="S109" i="14"/>
  <c r="K110" i="14"/>
  <c r="C28" i="16" s="1"/>
  <c r="L110" i="14"/>
  <c r="D28" i="16" s="1"/>
  <c r="M110" i="14"/>
  <c r="E28" i="16" s="1"/>
  <c r="N110" i="14"/>
  <c r="F28" i="16" s="1"/>
  <c r="O110" i="14"/>
  <c r="G28" i="16" s="1"/>
  <c r="P110" i="14"/>
  <c r="H28" i="16" s="1"/>
  <c r="Q110" i="14"/>
  <c r="I28" i="16" s="1"/>
  <c r="R110" i="14"/>
  <c r="J28" i="16" s="1"/>
  <c r="S110" i="14"/>
  <c r="K28" i="16" s="1"/>
  <c r="K111" i="14"/>
  <c r="L111" i="14"/>
  <c r="M111" i="14"/>
  <c r="N111" i="14"/>
  <c r="O111" i="14"/>
  <c r="P111" i="14"/>
  <c r="Q111" i="14"/>
  <c r="R111" i="14"/>
  <c r="S111" i="14"/>
  <c r="L3" i="14"/>
  <c r="D17" i="16" s="1"/>
  <c r="M3" i="14"/>
  <c r="E17" i="16" s="1"/>
  <c r="N3" i="14"/>
  <c r="F17" i="16" s="1"/>
  <c r="O3" i="14"/>
  <c r="G17" i="16" s="1"/>
  <c r="P3" i="14"/>
  <c r="H17" i="16" s="1"/>
  <c r="Q3" i="14"/>
  <c r="I17" i="16" s="1"/>
  <c r="R3" i="14"/>
  <c r="J17" i="16" s="1"/>
  <c r="S3" i="14"/>
  <c r="K17" i="16" s="1"/>
  <c r="K3" i="14"/>
  <c r="C17" i="16" s="1"/>
  <c r="F4" i="14"/>
  <c r="F5" i="14"/>
  <c r="F6" i="14"/>
  <c r="F7" i="14"/>
  <c r="F8" i="14"/>
  <c r="F9" i="14"/>
  <c r="F10" i="14"/>
  <c r="F11" i="14"/>
  <c r="F12" i="14"/>
  <c r="F13" i="14"/>
  <c r="F14" i="14"/>
  <c r="F15" i="14"/>
  <c r="F16" i="14"/>
  <c r="F17" i="14"/>
  <c r="F18" i="14"/>
  <c r="F19" i="14"/>
  <c r="F20" i="14"/>
  <c r="F21" i="14"/>
  <c r="F22" i="14"/>
  <c r="F23" i="14"/>
  <c r="F24" i="14"/>
  <c r="F25" i="14"/>
  <c r="F26" i="14"/>
  <c r="F27" i="14"/>
  <c r="F28" i="14"/>
  <c r="F29" i="14"/>
  <c r="F30" i="14"/>
  <c r="F31" i="14"/>
  <c r="F32" i="14"/>
  <c r="F33" i="14"/>
  <c r="F34" i="14"/>
  <c r="F35" i="14"/>
  <c r="F36" i="14"/>
  <c r="F37" i="14"/>
  <c r="F38" i="14"/>
  <c r="F39" i="14"/>
  <c r="F40" i="14"/>
  <c r="F41" i="14"/>
  <c r="F42" i="14"/>
  <c r="F43" i="14"/>
  <c r="F44" i="14"/>
  <c r="F45" i="14"/>
  <c r="F46" i="14"/>
  <c r="F47" i="14"/>
  <c r="F48" i="14"/>
  <c r="F49" i="14"/>
  <c r="F50" i="14"/>
  <c r="F51" i="14"/>
  <c r="F52" i="14"/>
  <c r="F53" i="14"/>
  <c r="F54" i="14"/>
  <c r="F55" i="14"/>
  <c r="F56" i="14"/>
  <c r="F57" i="14"/>
  <c r="F58" i="14"/>
  <c r="F59" i="14"/>
  <c r="F60" i="14"/>
  <c r="F61" i="14"/>
  <c r="F62" i="14"/>
  <c r="F63" i="14"/>
  <c r="F64" i="14"/>
  <c r="F65" i="14"/>
  <c r="F66" i="14"/>
  <c r="F67" i="14"/>
  <c r="F68" i="14"/>
  <c r="F69" i="14"/>
  <c r="F70" i="14"/>
  <c r="F71" i="14"/>
  <c r="F72" i="14"/>
  <c r="F73" i="14"/>
  <c r="F74" i="14"/>
  <c r="F75" i="14"/>
  <c r="F76" i="14"/>
  <c r="F77" i="14"/>
  <c r="F78" i="14"/>
  <c r="F79" i="14"/>
  <c r="F80" i="14"/>
  <c r="F81" i="14"/>
  <c r="F82" i="14"/>
  <c r="F83" i="14"/>
  <c r="F84" i="14"/>
  <c r="F85" i="14"/>
  <c r="F86" i="14"/>
  <c r="F87" i="14"/>
  <c r="F88" i="14"/>
  <c r="F89" i="14"/>
  <c r="F90" i="14"/>
  <c r="F91" i="14"/>
  <c r="F92" i="14"/>
  <c r="F93" i="14"/>
  <c r="F94" i="14"/>
  <c r="F95" i="14"/>
  <c r="F96" i="14"/>
  <c r="F97" i="14"/>
  <c r="F98" i="14"/>
  <c r="F99" i="14"/>
  <c r="F100" i="14"/>
  <c r="F101" i="14"/>
  <c r="F102" i="14"/>
  <c r="F103" i="14"/>
  <c r="F104" i="14"/>
  <c r="F105" i="14"/>
  <c r="F106" i="14"/>
  <c r="F107" i="14"/>
  <c r="F108" i="14"/>
  <c r="F109" i="14"/>
  <c r="F110" i="14"/>
  <c r="F3" i="14"/>
  <c r="K53" i="10"/>
  <c r="J47" i="16" l="1"/>
  <c r="D36" i="16"/>
  <c r="E5" i="16"/>
  <c r="C36" i="16"/>
  <c r="I23" i="16"/>
  <c r="J25" i="16"/>
  <c r="D47" i="16"/>
  <c r="E43" i="16"/>
  <c r="K43" i="16"/>
  <c r="D43" i="16"/>
  <c r="C49" i="16"/>
  <c r="I47" i="16"/>
  <c r="G23" i="16"/>
  <c r="K5" i="16"/>
  <c r="H23" i="16"/>
  <c r="H47" i="16"/>
  <c r="J5" i="16"/>
  <c r="F12" i="16"/>
  <c r="G47" i="16"/>
  <c r="I25" i="16"/>
  <c r="J36" i="16"/>
  <c r="H25" i="16"/>
  <c r="E4" i="16"/>
  <c r="I36" i="16"/>
  <c r="G36" i="16"/>
  <c r="K39" i="16"/>
  <c r="J23" i="16"/>
  <c r="I5" i="16"/>
  <c r="D37" i="16"/>
  <c r="G4" i="16"/>
  <c r="F47" i="16"/>
  <c r="H5" i="16"/>
  <c r="I4" i="16"/>
  <c r="E47" i="16"/>
  <c r="J19" i="16"/>
  <c r="H4" i="16"/>
  <c r="I43" i="16"/>
  <c r="J43" i="16"/>
  <c r="J49" i="16"/>
  <c r="G43" i="16"/>
  <c r="I49" i="16"/>
  <c r="G25" i="16"/>
  <c r="J39" i="16"/>
  <c r="H43" i="16"/>
  <c r="H36" i="16"/>
  <c r="F43" i="16"/>
  <c r="H49" i="16"/>
  <c r="F25" i="16"/>
  <c r="I39" i="16"/>
  <c r="C4" i="16"/>
  <c r="D4" i="16"/>
  <c r="J40" i="16"/>
  <c r="D33" i="16"/>
  <c r="J35" i="16"/>
  <c r="I40" i="16"/>
  <c r="D40" i="16"/>
  <c r="C35" i="16"/>
  <c r="F23" i="16"/>
  <c r="J37" i="16"/>
  <c r="I37" i="16"/>
  <c r="H37" i="16"/>
  <c r="G49" i="16"/>
  <c r="K26" i="16"/>
  <c r="J21" i="16"/>
  <c r="E25" i="16"/>
  <c r="I21" i="16"/>
  <c r="D23" i="16"/>
  <c r="H39" i="16"/>
  <c r="C23" i="16"/>
  <c r="G19" i="16"/>
  <c r="K23" i="16"/>
  <c r="F19" i="16"/>
  <c r="J33" i="16"/>
  <c r="E19" i="16"/>
  <c r="D19" i="16"/>
  <c r="C33" i="16"/>
  <c r="K37" i="16"/>
  <c r="I19" i="16"/>
  <c r="H19" i="16"/>
  <c r="F36" i="16"/>
  <c r="I35" i="16"/>
  <c r="C40" i="16"/>
  <c r="F5" i="16"/>
  <c r="E23" i="16"/>
  <c r="G37" i="16"/>
  <c r="F49" i="16"/>
  <c r="J26" i="16"/>
  <c r="D25" i="16"/>
  <c r="H21" i="16"/>
  <c r="G39" i="16"/>
  <c r="I33" i="16"/>
  <c r="C19" i="16"/>
  <c r="C12" i="16"/>
  <c r="H35" i="16"/>
  <c r="G40" i="16"/>
  <c r="F37" i="16"/>
  <c r="E49" i="16"/>
  <c r="I26" i="16"/>
  <c r="D21" i="16"/>
  <c r="C25" i="16"/>
  <c r="G21" i="16"/>
  <c r="K47" i="16"/>
  <c r="F39" i="16"/>
  <c r="H33" i="16"/>
  <c r="K21" i="16"/>
  <c r="D35" i="16"/>
  <c r="C26" i="16"/>
  <c r="G35" i="16"/>
  <c r="K40" i="16"/>
  <c r="F40" i="16"/>
  <c r="D5" i="16"/>
  <c r="E37" i="16"/>
  <c r="D49" i="16"/>
  <c r="H26" i="16"/>
  <c r="K12" i="16"/>
  <c r="F21" i="16"/>
  <c r="E39" i="16"/>
  <c r="G33" i="16"/>
  <c r="F35" i="16"/>
  <c r="E40" i="16"/>
  <c r="D26" i="16"/>
  <c r="C5" i="16"/>
  <c r="G26" i="16"/>
  <c r="J12" i="16"/>
  <c r="E21" i="16"/>
  <c r="D39" i="16"/>
  <c r="F33" i="16"/>
  <c r="G12" i="16"/>
  <c r="E35" i="16"/>
  <c r="K25" i="16"/>
  <c r="C37" i="16"/>
  <c r="F26" i="16"/>
  <c r="I12" i="16"/>
  <c r="C39" i="16"/>
  <c r="E33" i="16"/>
  <c r="K4" i="16"/>
  <c r="K33" i="16"/>
  <c r="J4" i="16"/>
  <c r="E26" i="16"/>
  <c r="E12" i="16"/>
  <c r="G5" i="16"/>
  <c r="K35" i="16"/>
  <c r="H12" i="16"/>
  <c r="K19" i="16"/>
  <c r="K36" i="16"/>
  <c r="H40" i="16"/>
  <c r="K49" i="16"/>
  <c r="D12" i="16"/>
  <c r="C47" i="16"/>
  <c r="C21" i="16"/>
  <c r="F4" i="16"/>
  <c r="K52" i="10"/>
  <c r="K51" i="10"/>
  <c r="K50" i="10"/>
  <c r="K49" i="10"/>
  <c r="K48" i="10"/>
  <c r="K47" i="10"/>
  <c r="K46" i="10"/>
  <c r="K45" i="10"/>
  <c r="K44" i="10"/>
  <c r="K43" i="10"/>
  <c r="K42" i="10"/>
  <c r="K41" i="10"/>
  <c r="K40" i="10"/>
  <c r="K39" i="10"/>
  <c r="K38" i="10"/>
  <c r="K37" i="10"/>
  <c r="K36" i="10"/>
  <c r="K35" i="10" l="1"/>
  <c r="K34" i="10"/>
  <c r="K33" i="10"/>
  <c r="K32" i="10"/>
  <c r="K31" i="10"/>
  <c r="K30" i="10"/>
  <c r="K29" i="10"/>
  <c r="K28" i="10"/>
  <c r="K16" i="10"/>
  <c r="K15" i="10"/>
  <c r="K14" i="10"/>
  <c r="K13" i="10"/>
  <c r="K12" i="10"/>
  <c r="K11" i="10"/>
  <c r="K10" i="10"/>
  <c r="K9" i="10"/>
  <c r="K8" i="10"/>
  <c r="K7" i="10"/>
  <c r="K6" i="10"/>
  <c r="K5" i="10"/>
  <c r="K4" i="10"/>
  <c r="K3" i="10"/>
  <c r="K2" i="10"/>
  <c r="R95" i="1"/>
  <c r="R113" i="1"/>
  <c r="R99" i="1"/>
  <c r="R109" i="1"/>
  <c r="F95" i="1"/>
  <c r="P95" i="1" s="1"/>
  <c r="P113" i="1"/>
  <c r="F99" i="1"/>
  <c r="P99" i="1" s="1"/>
  <c r="P109" i="1"/>
  <c r="F92" i="1"/>
  <c r="P92" i="1" s="1"/>
  <c r="R92" i="1"/>
  <c r="R101" i="1" l="1"/>
  <c r="P101" i="1"/>
  <c r="R93" i="1"/>
  <c r="F93" i="1"/>
  <c r="P93" i="1" s="1"/>
  <c r="P125" i="1"/>
  <c r="R125" i="1"/>
  <c r="F89" i="1"/>
  <c r="P89" i="1" s="1"/>
  <c r="R89" i="1"/>
  <c r="F90" i="1"/>
  <c r="P90" i="1" s="1"/>
  <c r="R90" i="1"/>
  <c r="F91" i="1"/>
  <c r="P91" i="1" s="1"/>
  <c r="R91" i="1"/>
  <c r="P108" i="1"/>
  <c r="R108" i="1"/>
  <c r="R94" i="1"/>
  <c r="F94" i="1"/>
  <c r="P94" i="1" s="1"/>
  <c r="R84" i="1"/>
  <c r="R85" i="1"/>
  <c r="F84" i="1"/>
  <c r="P84" i="1" s="1"/>
  <c r="F85" i="1"/>
  <c r="P85" i="1" s="1"/>
  <c r="R88" i="1"/>
  <c r="F88" i="1"/>
  <c r="P88" i="1" s="1"/>
  <c r="F80" i="1" l="1"/>
  <c r="P80" i="1" s="1"/>
  <c r="R80" i="1"/>
  <c r="R69" i="1" l="1"/>
  <c r="P69" i="1"/>
  <c r="F69" i="1"/>
  <c r="R81" i="1" l="1"/>
  <c r="F81" i="1"/>
  <c r="P81" i="1" s="1"/>
  <c r="R83" i="1"/>
  <c r="F83" i="1"/>
  <c r="P83" i="1" s="1"/>
  <c r="P117" i="1" l="1"/>
  <c r="P86" i="1"/>
  <c r="P224" i="1"/>
  <c r="P68" i="1"/>
  <c r="P67" i="1"/>
  <c r="P66" i="1"/>
  <c r="P71" i="1"/>
  <c r="P74" i="1"/>
  <c r="P72" i="1"/>
  <c r="R117" i="1"/>
  <c r="R86" i="1"/>
  <c r="R224" i="1"/>
  <c r="R68" i="1"/>
  <c r="R67" i="1"/>
  <c r="R66" i="1"/>
  <c r="R71" i="1"/>
  <c r="R74" i="1"/>
  <c r="R72" i="1"/>
  <c r="R87" i="1"/>
  <c r="F87" i="1"/>
  <c r="P87" i="1" s="1"/>
  <c r="F67" i="1"/>
  <c r="F66" i="1"/>
  <c r="F71" i="1"/>
  <c r="F74" i="1"/>
  <c r="F72" i="1"/>
  <c r="F68" i="1"/>
  <c r="F224" i="1"/>
  <c r="F86" i="1" l="1"/>
  <c r="R62" i="1" l="1"/>
  <c r="F62" i="1"/>
  <c r="P62" i="1" s="1"/>
  <c r="F64" i="1"/>
  <c r="R64" i="1"/>
  <c r="F63" i="1"/>
  <c r="R63" i="1"/>
  <c r="R79" i="1"/>
  <c r="P79" i="1"/>
  <c r="F79" i="1"/>
  <c r="J35" i="10"/>
  <c r="R73" i="1"/>
  <c r="R56" i="1"/>
  <c r="R55" i="1"/>
  <c r="R54" i="1"/>
  <c r="P73" i="1"/>
  <c r="P56" i="1"/>
  <c r="P55" i="1"/>
  <c r="P54" i="1"/>
  <c r="F73" i="1"/>
  <c r="J32" i="10"/>
  <c r="F56" i="1"/>
  <c r="F55" i="1"/>
  <c r="F54" i="1"/>
  <c r="I32" i="10" l="1"/>
  <c r="P52" i="1"/>
  <c r="R52" i="1"/>
  <c r="F52" i="1"/>
  <c r="P51" i="1"/>
  <c r="P60" i="1"/>
  <c r="P53" i="1"/>
  <c r="R51" i="1"/>
  <c r="F51" i="1"/>
  <c r="R60" i="1"/>
  <c r="F60" i="1"/>
  <c r="R53" i="1"/>
  <c r="F53" i="1"/>
  <c r="R58" i="1"/>
  <c r="F58" i="1"/>
  <c r="P58" i="1" s="1"/>
  <c r="P57" i="1"/>
  <c r="P78" i="1"/>
  <c r="F78" i="1"/>
  <c r="R57" i="1"/>
  <c r="F57" i="1"/>
  <c r="R65" i="1"/>
  <c r="F65" i="1"/>
  <c r="P65" i="1" s="1"/>
  <c r="F49" i="1"/>
  <c r="P49" i="1" s="1"/>
  <c r="R49" i="1"/>
  <c r="F77" i="1"/>
  <c r="P77" i="1" s="1"/>
  <c r="R77" i="1"/>
  <c r="P45" i="1"/>
  <c r="F45" i="1"/>
  <c r="R45" i="1"/>
  <c r="P44" i="1"/>
  <c r="F44" i="1"/>
  <c r="R44" i="1"/>
  <c r="R41" i="1"/>
  <c r="P41" i="1"/>
  <c r="F41" i="1"/>
  <c r="I26" i="10"/>
  <c r="F39" i="1"/>
  <c r="P43" i="1"/>
  <c r="R82" i="1"/>
  <c r="F82" i="1"/>
  <c r="P82" i="1" s="1"/>
  <c r="R43" i="1" l="1"/>
  <c r="F43" i="1"/>
  <c r="R47" i="1" l="1"/>
  <c r="F47" i="1"/>
  <c r="P47" i="1" s="1"/>
  <c r="F40" i="1"/>
  <c r="P40" i="1" s="1"/>
  <c r="R40" i="1"/>
  <c r="F34" i="1"/>
  <c r="P34" i="1" s="1"/>
  <c r="R34" i="1"/>
  <c r="F33" i="1"/>
  <c r="P33" i="1" s="1"/>
  <c r="R33" i="1"/>
  <c r="F36" i="1"/>
  <c r="P36" i="1" s="1"/>
  <c r="R36" i="1"/>
  <c r="P37" i="1"/>
  <c r="F37" i="1"/>
  <c r="R37" i="1"/>
  <c r="F50" i="1"/>
  <c r="P50" i="1" s="1"/>
  <c r="R50" i="1"/>
  <c r="P231" i="1"/>
  <c r="F231" i="1"/>
  <c r="R231" i="1"/>
  <c r="P230" i="1"/>
  <c r="F230" i="1"/>
  <c r="R230" i="1"/>
  <c r="R42" i="1"/>
  <c r="F42" i="1"/>
  <c r="P42" i="1" s="1"/>
  <c r="F76" i="1" l="1"/>
  <c r="P76" i="1" s="1"/>
  <c r="R76" i="1"/>
  <c r="I78" i="10" l="1"/>
  <c r="I77" i="10"/>
  <c r="I76" i="10"/>
  <c r="I75" i="10"/>
  <c r="I74" i="10"/>
  <c r="I73" i="10"/>
  <c r="I72" i="10"/>
  <c r="I71" i="10"/>
  <c r="I70" i="10"/>
  <c r="I69" i="10"/>
  <c r="I68" i="10"/>
  <c r="I67" i="10"/>
  <c r="I66" i="10"/>
  <c r="I65" i="10"/>
  <c r="I64" i="10"/>
  <c r="I63" i="10"/>
  <c r="I62" i="10"/>
  <c r="I61" i="10"/>
  <c r="I60" i="10"/>
  <c r="I59" i="10"/>
  <c r="I58" i="10"/>
  <c r="I57" i="10"/>
  <c r="I56" i="10"/>
  <c r="I55" i="10"/>
  <c r="I54" i="10"/>
  <c r="I53" i="10"/>
  <c r="I52" i="10"/>
  <c r="I51" i="10"/>
  <c r="I50" i="10"/>
  <c r="I49" i="10"/>
  <c r="I48" i="10"/>
  <c r="I47" i="10"/>
  <c r="I46" i="10"/>
  <c r="I45" i="10"/>
  <c r="I44" i="10"/>
  <c r="I43" i="10"/>
  <c r="I42" i="10"/>
  <c r="I40" i="10"/>
  <c r="I39" i="10"/>
  <c r="I38" i="10"/>
  <c r="I37" i="10"/>
  <c r="I36" i="10"/>
  <c r="I35" i="10"/>
  <c r="I34" i="10"/>
  <c r="I33" i="10"/>
  <c r="I31" i="10"/>
  <c r="I30" i="10"/>
  <c r="I29" i="10"/>
  <c r="I28" i="10"/>
  <c r="I27" i="10"/>
  <c r="I25" i="10"/>
  <c r="I24" i="10"/>
  <c r="I23" i="10"/>
  <c r="I22" i="10"/>
  <c r="I21" i="10"/>
  <c r="I20" i="10"/>
  <c r="I19" i="10"/>
  <c r="I18" i="10"/>
  <c r="I17" i="10"/>
  <c r="I16" i="10"/>
  <c r="I15" i="10"/>
  <c r="I14" i="10"/>
  <c r="I13" i="10"/>
  <c r="I12" i="10"/>
  <c r="I11" i="10"/>
  <c r="I10" i="10"/>
  <c r="I9" i="10"/>
  <c r="I8" i="10"/>
  <c r="I7" i="10"/>
  <c r="I6" i="10"/>
  <c r="I5" i="10"/>
  <c r="I4" i="10"/>
  <c r="I3" i="10"/>
  <c r="I2" i="10"/>
  <c r="J2" i="10"/>
  <c r="F70" i="1" l="1"/>
  <c r="P70" i="1" s="1"/>
  <c r="R70" i="1"/>
  <c r="R228" i="1"/>
  <c r="P228" i="1"/>
  <c r="R227" i="1"/>
  <c r="P227" i="1"/>
  <c r="R226" i="1"/>
  <c r="P226" i="1"/>
  <c r="R229" i="1"/>
  <c r="P229" i="1"/>
  <c r="R232" i="1"/>
  <c r="P232" i="1"/>
  <c r="F228" i="1"/>
  <c r="F227" i="1"/>
  <c r="F226" i="1"/>
  <c r="F229" i="1"/>
  <c r="F232" i="1"/>
  <c r="P35" i="1"/>
  <c r="F35" i="1"/>
  <c r="R35" i="1"/>
  <c r="R24" i="1"/>
  <c r="F24" i="1"/>
  <c r="P24" i="1" s="1"/>
  <c r="R27" i="1" l="1"/>
  <c r="P27" i="1"/>
  <c r="F27" i="1"/>
  <c r="F31" i="1"/>
  <c r="P31" i="1" s="1"/>
  <c r="R31" i="1"/>
  <c r="F25" i="1"/>
  <c r="P25" i="1" s="1"/>
  <c r="R25" i="1"/>
  <c r="F23" i="1"/>
  <c r="P23" i="1" s="1"/>
  <c r="R23" i="1"/>
  <c r="F61" i="1"/>
  <c r="R61" i="1"/>
  <c r="R59" i="1"/>
  <c r="P59" i="1"/>
  <c r="F59" i="1"/>
  <c r="P61" i="1" l="1"/>
  <c r="E2" i="10"/>
  <c r="D3" i="10"/>
  <c r="E3" i="10" s="1"/>
  <c r="J3" i="10"/>
  <c r="J4" i="10"/>
  <c r="J5" i="10"/>
  <c r="S31" i="1"/>
  <c r="R22" i="1"/>
  <c r="S26" i="1"/>
  <c r="R20" i="1"/>
  <c r="S30" i="1"/>
  <c r="R28" i="1"/>
  <c r="S29" i="1"/>
  <c r="R21" i="1"/>
  <c r="S27" i="1"/>
  <c r="R29" i="1"/>
  <c r="S39" i="1"/>
  <c r="R26" i="1"/>
  <c r="S22" i="1"/>
  <c r="R17" i="1"/>
  <c r="S12" i="1"/>
  <c r="R9" i="1"/>
  <c r="S23" i="1"/>
  <c r="R38" i="1"/>
  <c r="S4" i="1"/>
  <c r="R4" i="1"/>
  <c r="S5" i="1"/>
  <c r="R5" i="1"/>
  <c r="S20" i="1"/>
  <c r="R46" i="1"/>
  <c r="S6" i="1"/>
  <c r="R6" i="1"/>
  <c r="S21" i="1"/>
  <c r="R16" i="1"/>
  <c r="S10" i="1"/>
  <c r="R7" i="1"/>
  <c r="S16" i="1"/>
  <c r="R12" i="1"/>
  <c r="S15" i="1"/>
  <c r="R48" i="1"/>
  <c r="S11" i="1"/>
  <c r="R8" i="1"/>
  <c r="S24" i="1"/>
  <c r="R18" i="1"/>
  <c r="S25" i="1"/>
  <c r="R19" i="1"/>
  <c r="S17" i="1"/>
  <c r="R13" i="1"/>
  <c r="S19" i="1"/>
  <c r="R15" i="1"/>
  <c r="S9" i="1"/>
  <c r="R75" i="1"/>
  <c r="S8" i="1"/>
  <c r="R30" i="1"/>
  <c r="S7" i="1"/>
  <c r="R32" i="1"/>
  <c r="S18" i="1"/>
  <c r="R14" i="1"/>
  <c r="S14" i="1"/>
  <c r="R11" i="1"/>
  <c r="R10" i="1"/>
  <c r="S13" i="1"/>
  <c r="J6" i="10"/>
  <c r="J7" i="10"/>
  <c r="J8" i="10"/>
  <c r="J9" i="10"/>
  <c r="J10" i="10"/>
  <c r="J11" i="10"/>
  <c r="J12" i="10"/>
  <c r="J13" i="10"/>
  <c r="J14" i="10"/>
  <c r="J15" i="10"/>
  <c r="J16" i="10"/>
  <c r="J44" i="10"/>
  <c r="J45" i="10"/>
  <c r="J46" i="10"/>
  <c r="J47" i="10"/>
  <c r="J48" i="10"/>
  <c r="J49" i="10"/>
  <c r="J50" i="10"/>
  <c r="J51" i="10"/>
  <c r="J52" i="10"/>
  <c r="J53" i="10"/>
  <c r="J54" i="10"/>
  <c r="J55" i="10"/>
  <c r="J56" i="10"/>
  <c r="J57" i="10"/>
  <c r="J58" i="10"/>
  <c r="J59" i="10"/>
  <c r="J60" i="10"/>
  <c r="J61" i="10"/>
  <c r="J62" i="10"/>
  <c r="J63" i="10"/>
  <c r="J64" i="10"/>
  <c r="J65" i="10"/>
  <c r="J66" i="10"/>
  <c r="J67" i="10"/>
  <c r="J68" i="10"/>
  <c r="J69" i="10"/>
  <c r="J70" i="10"/>
  <c r="J71" i="10"/>
  <c r="J72" i="10"/>
  <c r="J73" i="10"/>
  <c r="J74" i="10"/>
  <c r="J75" i="10"/>
  <c r="J76" i="10"/>
  <c r="J77" i="10"/>
  <c r="J78" i="10"/>
  <c r="J79" i="10"/>
  <c r="J80" i="10"/>
  <c r="J81" i="10"/>
  <c r="J82" i="10"/>
  <c r="J83" i="10"/>
  <c r="J84" i="10"/>
  <c r="J85" i="10"/>
  <c r="J86" i="10"/>
  <c r="J87" i="10"/>
  <c r="J88" i="10"/>
  <c r="J89" i="10"/>
  <c r="J90" i="10"/>
  <c r="J91" i="10"/>
  <c r="J92" i="10"/>
  <c r="J93" i="10"/>
  <c r="J94" i="10"/>
  <c r="J97" i="10"/>
  <c r="J98" i="10"/>
  <c r="J99" i="10"/>
  <c r="J100" i="10"/>
  <c r="J101" i="10"/>
  <c r="J102" i="10"/>
  <c r="J103" i="10"/>
  <c r="J104" i="10"/>
  <c r="J105" i="10"/>
  <c r="J106" i="10"/>
  <c r="J107" i="10"/>
  <c r="J108" i="10"/>
  <c r="J109" i="10"/>
  <c r="J110" i="10"/>
  <c r="J111" i="10"/>
  <c r="J112" i="10"/>
  <c r="J113" i="10"/>
  <c r="J114" i="10"/>
  <c r="J115" i="10"/>
  <c r="J116" i="10"/>
  <c r="J117" i="10"/>
  <c r="J118" i="10"/>
  <c r="J119" i="10"/>
  <c r="J28" i="10"/>
  <c r="J29" i="10"/>
  <c r="J30" i="10"/>
  <c r="J31" i="10"/>
  <c r="J33" i="10"/>
  <c r="J34" i="10"/>
  <c r="J36" i="10"/>
  <c r="J37" i="10"/>
  <c r="J38" i="10"/>
  <c r="J39" i="10"/>
  <c r="J40" i="10"/>
  <c r="J41" i="10"/>
  <c r="J42" i="10"/>
  <c r="J43" i="10"/>
  <c r="J27" i="10"/>
  <c r="J26" i="10"/>
  <c r="J25" i="10"/>
  <c r="J24" i="10"/>
  <c r="J23" i="10"/>
  <c r="J22" i="10"/>
  <c r="J21" i="10"/>
  <c r="J20" i="10"/>
  <c r="J19" i="10"/>
  <c r="J18" i="10"/>
  <c r="J17" i="10"/>
  <c r="F22" i="1"/>
  <c r="P22" i="1" s="1"/>
  <c r="P20" i="1"/>
  <c r="F20" i="1"/>
  <c r="D4" i="10" l="1"/>
  <c r="E4" i="10" l="1"/>
  <c r="D5" i="10"/>
  <c r="E5" i="10" l="1"/>
  <c r="D6" i="10"/>
  <c r="D7" i="10" l="1"/>
  <c r="E6" i="10"/>
  <c r="D8" i="10" l="1"/>
  <c r="E7" i="10"/>
  <c r="D9" i="10" l="1"/>
  <c r="E8" i="10"/>
  <c r="D10" i="10" l="1"/>
  <c r="E9" i="10"/>
  <c r="D11" i="10" l="1"/>
  <c r="E10" i="10"/>
  <c r="D12" i="10" l="1"/>
  <c r="E11" i="10"/>
  <c r="D13" i="10" l="1"/>
  <c r="E12" i="10"/>
  <c r="D14" i="10" l="1"/>
  <c r="E13" i="10"/>
  <c r="D15" i="10" l="1"/>
  <c r="E14" i="10"/>
  <c r="E15" i="10" l="1"/>
  <c r="D16" i="10"/>
  <c r="D17" i="10" l="1"/>
  <c r="E16" i="10"/>
  <c r="D18" i="10" l="1"/>
  <c r="E17" i="10"/>
  <c r="E18" i="10" l="1"/>
  <c r="D19" i="10"/>
  <c r="D20" i="10" l="1"/>
  <c r="E19" i="10"/>
  <c r="D21" i="10" l="1"/>
  <c r="E20" i="10"/>
  <c r="D22" i="10" l="1"/>
  <c r="E21" i="10"/>
  <c r="E22" i="10" l="1"/>
  <c r="D23" i="10"/>
  <c r="P28" i="1"/>
  <c r="P21" i="1"/>
  <c r="F21" i="1"/>
  <c r="F28" i="1"/>
  <c r="P233" i="1"/>
  <c r="F29" i="1"/>
  <c r="P29" i="1" s="1"/>
  <c r="E23" i="10" l="1"/>
  <c r="D24" i="10"/>
  <c r="F26" i="1"/>
  <c r="P26" i="1" s="1"/>
  <c r="P11" i="1"/>
  <c r="P14" i="1"/>
  <c r="P32" i="1"/>
  <c r="P30" i="1"/>
  <c r="P75" i="1"/>
  <c r="P15" i="1"/>
  <c r="P13" i="1"/>
  <c r="P8" i="1"/>
  <c r="P48" i="1"/>
  <c r="P16" i="1"/>
  <c r="P10" i="1"/>
  <c r="F11" i="1"/>
  <c r="F14" i="1"/>
  <c r="F32" i="1"/>
  <c r="F30" i="1"/>
  <c r="F75" i="1"/>
  <c r="F15" i="1"/>
  <c r="F13" i="1"/>
  <c r="F19" i="1"/>
  <c r="P19" i="1" s="1"/>
  <c r="F18" i="1"/>
  <c r="P18" i="1" s="1"/>
  <c r="F8" i="1"/>
  <c r="F48" i="1"/>
  <c r="J39" i="11" s="1"/>
  <c r="J40" i="11" s="1"/>
  <c r="F12" i="1"/>
  <c r="P12" i="1" s="1"/>
  <c r="F7" i="1"/>
  <c r="P7" i="1" s="1"/>
  <c r="F16" i="1"/>
  <c r="F6" i="1"/>
  <c r="P6" i="1" s="1"/>
  <c r="F46" i="1"/>
  <c r="P46" i="1" s="1"/>
  <c r="F5" i="1"/>
  <c r="P5" i="1" s="1"/>
  <c r="F4" i="1"/>
  <c r="F38" i="1"/>
  <c r="P38" i="1" s="1"/>
  <c r="F9" i="1"/>
  <c r="P9" i="1" s="1"/>
  <c r="F17" i="1"/>
  <c r="P17" i="1" s="1"/>
  <c r="F10" i="1"/>
  <c r="D2" i="6"/>
  <c r="D3" i="6"/>
  <c r="D5" i="6"/>
  <c r="D4" i="6"/>
  <c r="F2" i="1"/>
  <c r="I19" i="31" l="1" a="1"/>
  <c r="P4" i="1"/>
  <c r="Q4" i="1" s="1"/>
  <c r="B36" i="31" a="1"/>
  <c r="Q111" i="1"/>
  <c r="Q73" i="1"/>
  <c r="Q141" i="1"/>
  <c r="Q121" i="1"/>
  <c r="Q122" i="1"/>
  <c r="Q51" i="1"/>
  <c r="Q110" i="1"/>
  <c r="Q55" i="1"/>
  <c r="Q56" i="1"/>
  <c r="Q52" i="1"/>
  <c r="Q54" i="1"/>
  <c r="J36" i="11"/>
  <c r="L39" i="11"/>
  <c r="L40" i="11" s="1"/>
  <c r="Q53" i="1"/>
  <c r="Q60" i="1"/>
  <c r="Q65" i="1"/>
  <c r="Q58" i="1"/>
  <c r="Q57" i="1"/>
  <c r="Q78" i="1"/>
  <c r="Q77" i="1"/>
  <c r="Q49" i="1"/>
  <c r="Q44" i="1"/>
  <c r="Q45" i="1"/>
  <c r="Q82" i="1"/>
  <c r="Q41" i="1"/>
  <c r="Q37" i="1"/>
  <c r="Q47" i="1"/>
  <c r="Q43" i="1"/>
  <c r="Q33" i="1"/>
  <c r="Q40" i="1"/>
  <c r="Q24" i="1"/>
  <c r="Q34" i="1"/>
  <c r="Q230" i="1"/>
  <c r="Q36" i="1"/>
  <c r="Q231" i="1"/>
  <c r="Q50" i="1"/>
  <c r="Q61" i="1"/>
  <c r="Q42" i="1"/>
  <c r="Q70" i="1"/>
  <c r="Q76" i="1"/>
  <c r="Q23" i="1"/>
  <c r="Q228" i="1"/>
  <c r="Q227" i="1"/>
  <c r="Q229" i="1"/>
  <c r="Q226" i="1"/>
  <c r="Q35" i="1"/>
  <c r="Q232" i="1"/>
  <c r="Q59" i="1"/>
  <c r="Q27" i="1"/>
  <c r="Q25" i="1"/>
  <c r="Q31" i="1"/>
  <c r="Q22" i="1"/>
  <c r="E24" i="10"/>
  <c r="D25" i="10"/>
  <c r="Q21" i="1"/>
  <c r="Q20" i="1"/>
  <c r="Q28" i="1"/>
  <c r="Q29" i="1"/>
  <c r="Q233" i="1"/>
  <c r="Q26" i="1"/>
  <c r="Q9" i="1"/>
  <c r="Q17" i="1"/>
  <c r="Q38" i="1"/>
  <c r="Q8" i="1"/>
  <c r="Q18" i="1"/>
  <c r="Q10" i="1"/>
  <c r="Q15" i="1"/>
  <c r="Q48" i="1"/>
  <c r="Q13" i="1"/>
  <c r="Q30" i="1"/>
  <c r="Q32" i="1"/>
  <c r="Q14" i="1"/>
  <c r="Q11" i="1"/>
  <c r="Q19" i="1"/>
  <c r="Q75" i="1"/>
  <c r="Q5" i="1"/>
  <c r="Q46" i="1"/>
  <c r="Q6" i="1"/>
  <c r="Q12" i="1"/>
  <c r="Q16" i="1"/>
  <c r="Q7" i="1"/>
  <c r="E25" i="10" l="1"/>
  <c r="D26" i="10"/>
  <c r="E3" i="6"/>
  <c r="E2" i="6"/>
  <c r="E5" i="6"/>
  <c r="E4" i="6"/>
  <c r="E26" i="10" l="1"/>
  <c r="D27" i="10"/>
  <c r="E27" i="10" l="1"/>
  <c r="D28" i="10"/>
  <c r="D29" i="10" l="1"/>
  <c r="E28" i="10"/>
  <c r="E29" i="10" l="1"/>
  <c r="D30" i="10"/>
  <c r="E30" i="10" l="1"/>
  <c r="D31" i="10"/>
  <c r="D32" i="10" l="1"/>
  <c r="E31" i="10"/>
  <c r="E32" i="10" l="1"/>
  <c r="D33" i="10"/>
  <c r="D34" i="10" l="1"/>
  <c r="E33" i="10"/>
  <c r="D35" i="10" l="1"/>
  <c r="E34" i="10"/>
  <c r="D36" i="10" l="1"/>
  <c r="E35" i="10"/>
  <c r="E36" i="10" l="1"/>
  <c r="D37" i="10"/>
  <c r="E37" i="10" l="1"/>
  <c r="D38" i="10"/>
  <c r="E38" i="10" l="1"/>
  <c r="D39" i="10"/>
  <c r="D40" i="10" l="1"/>
  <c r="E39" i="10"/>
  <c r="D41" i="10" l="1"/>
  <c r="E40" i="10"/>
  <c r="D42" i="10" l="1"/>
  <c r="E41" i="10"/>
  <c r="E42" i="10" l="1"/>
  <c r="D43" i="10"/>
  <c r="D44" i="10" l="1"/>
  <c r="E43" i="10"/>
  <c r="E44" i="10" l="1"/>
  <c r="D45" i="10"/>
  <c r="D3" i="24" l="1"/>
  <c r="E2" i="24"/>
  <c r="E45" i="10"/>
  <c r="D46" i="10"/>
  <c r="E3" i="24" l="1"/>
  <c r="D4" i="24"/>
  <c r="D47" i="10"/>
  <c r="E46" i="10"/>
  <c r="E4" i="24" l="1"/>
  <c r="D5" i="24"/>
  <c r="E47" i="10"/>
  <c r="D48" i="10"/>
  <c r="D6" i="24" l="1"/>
  <c r="E5" i="24"/>
  <c r="E48" i="10"/>
  <c r="D49" i="10"/>
  <c r="E6" i="24" l="1"/>
  <c r="D7" i="24"/>
  <c r="E49" i="10"/>
  <c r="D50" i="10"/>
  <c r="E7" i="24" l="1"/>
  <c r="D8" i="24"/>
  <c r="E50" i="10"/>
  <c r="D51" i="10"/>
  <c r="D9" i="24" l="1"/>
  <c r="E8" i="24"/>
  <c r="E51" i="10"/>
  <c r="D52" i="10"/>
  <c r="E9" i="24" l="1"/>
  <c r="D10" i="24"/>
  <c r="E52" i="10"/>
  <c r="D53" i="10"/>
  <c r="D11" i="24" l="1"/>
  <c r="E10" i="24"/>
  <c r="E53" i="10"/>
  <c r="D54" i="10"/>
  <c r="D12" i="24" l="1"/>
  <c r="E11" i="24"/>
  <c r="E54" i="10"/>
  <c r="D55" i="10"/>
  <c r="E12" i="24" l="1"/>
  <c r="D13" i="24"/>
  <c r="E55" i="10"/>
  <c r="D56" i="10"/>
  <c r="D14" i="24" l="1"/>
  <c r="E13" i="24"/>
  <c r="E56" i="10"/>
  <c r="D57" i="10"/>
  <c r="E14" i="24" l="1"/>
  <c r="D15" i="24"/>
  <c r="E57" i="10"/>
  <c r="D58" i="10"/>
  <c r="D16" i="24" l="1"/>
  <c r="E15" i="24"/>
  <c r="E58" i="10"/>
  <c r="D59" i="10"/>
  <c r="E16" i="24" l="1"/>
  <c r="D17" i="24"/>
  <c r="E59" i="10"/>
  <c r="D60" i="10"/>
  <c r="D18" i="24" l="1"/>
  <c r="E17" i="24"/>
  <c r="E60" i="10"/>
  <c r="D61" i="10"/>
  <c r="D19" i="24" l="1"/>
  <c r="E18" i="24"/>
  <c r="E61" i="10"/>
  <c r="D62" i="10"/>
  <c r="E19" i="24" l="1"/>
  <c r="D20" i="24"/>
  <c r="D63" i="10"/>
  <c r="E62" i="10"/>
  <c r="D21" i="24" l="1"/>
  <c r="E20" i="24"/>
  <c r="D64" i="10"/>
  <c r="E63" i="10"/>
  <c r="E21" i="24" l="1"/>
  <c r="D22" i="24"/>
  <c r="E64" i="10"/>
  <c r="D65" i="10"/>
  <c r="D23" i="24" l="1"/>
  <c r="E22" i="24"/>
  <c r="E65" i="10"/>
  <c r="D66" i="10"/>
  <c r="E23" i="24" l="1"/>
  <c r="D24" i="24"/>
  <c r="E66" i="10"/>
  <c r="D67" i="10"/>
  <c r="D25" i="24" l="1"/>
  <c r="E24" i="24"/>
  <c r="E67" i="10"/>
  <c r="D68" i="10"/>
  <c r="D26" i="24" l="1"/>
  <c r="E25" i="24"/>
  <c r="D69" i="10"/>
  <c r="E68" i="10"/>
  <c r="E26" i="24" l="1"/>
  <c r="D27" i="24"/>
  <c r="E69" i="10"/>
  <c r="D70" i="10"/>
  <c r="D28" i="24" l="1"/>
  <c r="E27" i="24"/>
  <c r="E70" i="10"/>
  <c r="D71" i="10"/>
  <c r="E28" i="24" l="1"/>
  <c r="D29" i="24"/>
  <c r="E71" i="10"/>
  <c r="D72" i="10"/>
  <c r="D30" i="24" l="1"/>
  <c r="E29" i="24"/>
  <c r="E72" i="10"/>
  <c r="D73" i="10"/>
  <c r="E30" i="24" l="1"/>
  <c r="D31" i="24"/>
  <c r="E73" i="10"/>
  <c r="D74" i="10"/>
  <c r="D32" i="24" l="1"/>
  <c r="E31" i="24"/>
  <c r="E74" i="10"/>
  <c r="D75" i="10"/>
  <c r="D33" i="24" l="1"/>
  <c r="E32" i="24"/>
  <c r="D76" i="10"/>
  <c r="E75" i="10"/>
  <c r="E33" i="24" l="1"/>
  <c r="D34" i="24"/>
  <c r="E76" i="10"/>
  <c r="D77" i="10"/>
  <c r="D35" i="24" l="1"/>
  <c r="E34" i="24"/>
  <c r="D78" i="10"/>
  <c r="E77" i="10"/>
  <c r="E35" i="24" l="1"/>
  <c r="D36" i="24"/>
  <c r="E78" i="10"/>
  <c r="D79" i="10"/>
  <c r="D37" i="24" l="1"/>
  <c r="E36" i="24"/>
  <c r="E79" i="10"/>
  <c r="D80" i="10"/>
  <c r="E37" i="24" l="1"/>
  <c r="D38" i="24"/>
  <c r="E80" i="10"/>
  <c r="D81" i="10"/>
  <c r="D39" i="24" l="1"/>
  <c r="E38" i="24"/>
  <c r="D82" i="10"/>
  <c r="E81" i="10"/>
  <c r="D40" i="24" l="1"/>
  <c r="E39" i="24"/>
  <c r="E82" i="10"/>
  <c r="D83" i="10"/>
  <c r="E40" i="24" l="1"/>
  <c r="D41" i="24"/>
  <c r="D84" i="10"/>
  <c r="E83" i="10"/>
  <c r="D42" i="24" l="1"/>
  <c r="E41" i="24"/>
  <c r="E84" i="10"/>
  <c r="D85" i="10"/>
  <c r="E42" i="24" l="1"/>
  <c r="D43" i="24"/>
  <c r="E85" i="10"/>
  <c r="D86" i="10"/>
  <c r="D44" i="24" l="1"/>
  <c r="E43" i="24"/>
  <c r="E86" i="10"/>
  <c r="D87" i="10"/>
  <c r="E44" i="24" l="1"/>
  <c r="D45" i="24"/>
  <c r="E87" i="10"/>
  <c r="D88" i="10"/>
  <c r="D46" i="24" l="1"/>
  <c r="E45" i="24"/>
  <c r="D89" i="10"/>
  <c r="E88" i="10"/>
  <c r="D47" i="24" l="1"/>
  <c r="E46" i="24"/>
  <c r="E89" i="10"/>
  <c r="D90" i="10"/>
  <c r="E47" i="24" l="1"/>
  <c r="D48" i="24"/>
  <c r="E90" i="10"/>
  <c r="D91" i="10"/>
  <c r="D49" i="24" l="1"/>
  <c r="E49" i="24" s="1"/>
  <c r="E48" i="24"/>
  <c r="D92" i="10"/>
  <c r="E91" i="10"/>
  <c r="E92" i="10" l="1"/>
  <c r="D93" i="10"/>
  <c r="E93" i="10" l="1"/>
  <c r="D94" i="10"/>
  <c r="E94" i="10" l="1"/>
  <c r="D95" i="10"/>
  <c r="E95" i="10" l="1"/>
  <c r="D96" i="10"/>
  <c r="E96" i="10" l="1"/>
  <c r="D97" i="10"/>
  <c r="D98" i="10" l="1"/>
  <c r="E97" i="10"/>
  <c r="E98" i="10" l="1"/>
  <c r="D99" i="10"/>
  <c r="E99" i="10" l="1"/>
  <c r="D100" i="10"/>
  <c r="D101" i="10" l="1"/>
  <c r="E100" i="10"/>
  <c r="E101" i="10" l="1"/>
  <c r="D102" i="10"/>
  <c r="E102" i="10" l="1"/>
  <c r="D103" i="10"/>
  <c r="D104" i="10" l="1"/>
  <c r="E103" i="10"/>
  <c r="E104" i="10" l="1"/>
  <c r="D105" i="10"/>
  <c r="E105" i="10" l="1"/>
  <c r="D106" i="10"/>
  <c r="E106" i="10" l="1"/>
  <c r="D107" i="10"/>
  <c r="E107" i="10" l="1"/>
  <c r="D108" i="10"/>
  <c r="E108" i="10" l="1"/>
  <c r="D109" i="10"/>
  <c r="D110" i="10" l="1"/>
  <c r="E109" i="10"/>
  <c r="E110" i="10" l="1"/>
  <c r="D111" i="10"/>
  <c r="E111" i="10" l="1"/>
  <c r="D112" i="10"/>
  <c r="D113" i="10" l="1"/>
  <c r="E112" i="10"/>
  <c r="E113" i="10" l="1"/>
  <c r="D114" i="10"/>
  <c r="E114" i="10" l="1"/>
  <c r="D115" i="10"/>
  <c r="D116" i="10" l="1"/>
  <c r="E115" i="10"/>
  <c r="D117" i="10" l="1"/>
  <c r="E116" i="10"/>
  <c r="E117" i="10" l="1"/>
  <c r="D118" i="10"/>
  <c r="E118" i="10" l="1"/>
  <c r="D119" i="10"/>
  <c r="E119" i="10" s="1"/>
  <c r="B52" i="31"/>
  <c r="B36" i="31"/>
  <c r="I19" i="3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Cantarelli, Gustavo</author>
  </authors>
  <commentList>
    <comment ref="E14" authorId="0" shapeId="0" xr:uid="{3E3E95B5-D129-4E6B-97EB-F2D4839ECD40}">
      <text>
        <r>
          <rPr>
            <b/>
            <sz val="9"/>
            <color indexed="81"/>
            <rFont val="Segoe UI"/>
            <family val="2"/>
          </rPr>
          <t>Cantarelli, Gustavo:</t>
        </r>
        <r>
          <rPr>
            <sz val="9"/>
            <color indexed="81"/>
            <rFont val="Segoe UI"/>
            <family val="2"/>
          </rPr>
          <t xml:space="preserve">
A princípio retornou</t>
        </r>
      </text>
    </comment>
    <comment ref="E15" authorId="0" shapeId="0" xr:uid="{A811BA2C-BD17-4E66-89BB-E6190CD246EF}">
      <text>
        <r>
          <rPr>
            <b/>
            <sz val="9"/>
            <color indexed="81"/>
            <rFont val="Segoe UI"/>
            <family val="2"/>
          </rPr>
          <t>Cantarelli, Gustavo:</t>
        </r>
        <r>
          <rPr>
            <sz val="9"/>
            <color indexed="81"/>
            <rFont val="Segoe UI"/>
            <family val="2"/>
          </rPr>
          <t xml:space="preserve">
A princípio retornou</t>
        </r>
      </text>
    </comment>
    <comment ref="K25" authorId="0" shapeId="0" xr:uid="{2D48C548-4080-4EF4-8201-B5AD82EE521F}">
      <text>
        <r>
          <rPr>
            <b/>
            <sz val="9"/>
            <color indexed="81"/>
            <rFont val="Segoe UI"/>
            <family val="2"/>
          </rPr>
          <t>Possivelmente ocorreu um posicionamento errado do PB em 180º. Time de campo está atendendo a WTG fazendo o pós work para verificar e corrigir essa questão de posicionamento.</t>
        </r>
      </text>
    </comment>
    <comment ref="B82" authorId="0" shapeId="0" xr:uid="{F67D778F-B409-43F2-8B96-39443163E55C}">
      <text>
        <r>
          <rPr>
            <b/>
            <sz val="9"/>
            <color indexed="81"/>
            <rFont val="Segoe UI"/>
            <family val="2"/>
          </rPr>
          <t>Cantarelli, Gustavo:</t>
        </r>
        <r>
          <rPr>
            <sz val="9"/>
            <color indexed="81"/>
            <rFont val="Segoe UI"/>
            <family val="2"/>
          </rPr>
          <t xml:space="preserve">
Estava como parada, porém em 05/08 está no report do ICC que a máquina está fora de operação.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Cantarelli, Gustavo</author>
  </authors>
  <commentList>
    <comment ref="E13" authorId="0" shapeId="0" xr:uid="{0588FB0F-7F06-4EE1-A763-7C912B9843FB}">
      <text>
        <r>
          <rPr>
            <b/>
            <sz val="9"/>
            <color indexed="81"/>
            <rFont val="Segoe UI"/>
            <family val="2"/>
          </rPr>
          <t>Cantarelli, Gustavo:</t>
        </r>
        <r>
          <rPr>
            <sz val="9"/>
            <color indexed="81"/>
            <rFont val="Segoe UI"/>
            <family val="2"/>
          </rPr>
          <t xml:space="preserve">
A princípio retornou</t>
        </r>
      </text>
    </comment>
    <comment ref="E14" authorId="0" shapeId="0" xr:uid="{19622EF3-3AFE-435C-BF79-C843245AEC6C}">
      <text>
        <r>
          <rPr>
            <b/>
            <sz val="9"/>
            <color indexed="81"/>
            <rFont val="Segoe UI"/>
            <family val="2"/>
          </rPr>
          <t>Cantarelli, Gustavo:</t>
        </r>
        <r>
          <rPr>
            <sz val="9"/>
            <color indexed="81"/>
            <rFont val="Segoe UI"/>
            <family val="2"/>
          </rPr>
          <t xml:space="preserve">
A princípio retornou</t>
        </r>
      </text>
    </comment>
    <comment ref="B83" authorId="0" shapeId="0" xr:uid="{56C8B398-E28E-438A-A783-B4C385746C85}">
      <text>
        <r>
          <rPr>
            <b/>
            <sz val="9"/>
            <color indexed="81"/>
            <rFont val="Segoe UI"/>
            <family val="2"/>
          </rPr>
          <t>Cantarelli, Gustavo:</t>
        </r>
        <r>
          <rPr>
            <sz val="9"/>
            <color indexed="81"/>
            <rFont val="Segoe UI"/>
            <family val="2"/>
          </rPr>
          <t xml:space="preserve">
Estava como parada, porém em 05/08 está no report do ICC que a máquina está fora de operação.</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<sst xmlns="http://schemas.openxmlformats.org/spreadsheetml/2006/main" count="3456" uniqueCount="896">
  <si>
    <t>RELATÓRIO EXECUTIVO - TURBINAS PARADAS ≥7 DIAS</t>
  </si>
  <si>
    <t>DADOS AUXILIARES - GRÁFICO</t>
  </si>
  <si>
    <t>Semana</t>
  </si>
  <si>
    <t>Ano</t>
  </si>
  <si>
    <t>Variação</t>
  </si>
  <si>
    <t>W21</t>
  </si>
  <si>
    <t>RESUMO EXECUTIVO</t>
  </si>
  <si>
    <t>W22</t>
  </si>
  <si>
    <t>W23</t>
  </si>
  <si>
    <t>Indicador</t>
  </si>
  <si>
    <t>Essentia</t>
  </si>
  <si>
    <t>Auren</t>
  </si>
  <si>
    <t>Total</t>
  </si>
  <si>
    <t>ANÁLISE POR COMPONENTE</t>
  </si>
  <si>
    <t>W24</t>
  </si>
  <si>
    <t>Turbinas Paradas ≥7 dias</t>
  </si>
  <si>
    <t>Gerador</t>
  </si>
  <si>
    <t>W25</t>
  </si>
  <si>
    <t>Média Dias Parada</t>
  </si>
  <si>
    <t>Pitch Bearing</t>
  </si>
  <si>
    <t>W26</t>
  </si>
  <si>
    <t>Blade</t>
  </si>
  <si>
    <t>W27</t>
  </si>
  <si>
    <t>Main Bearing</t>
  </si>
  <si>
    <t>W28</t>
  </si>
  <si>
    <t>Yaw Drive</t>
  </si>
  <si>
    <t>W29</t>
  </si>
  <si>
    <t>Gearbox</t>
  </si>
  <si>
    <t>W30</t>
  </si>
  <si>
    <t>W31</t>
  </si>
  <si>
    <t>EVOLUÇÃO SEMANAL - COMPARATIVO ANUAL</t>
  </si>
  <si>
    <t>W32</t>
  </si>
  <si>
    <t>TOP 5 - MAIOR CRITICIDADE</t>
  </si>
  <si>
    <t>WTG</t>
  </si>
  <si>
    <t>Site</t>
  </si>
  <si>
    <t>Dias</t>
  </si>
  <si>
    <t>Componente</t>
  </si>
  <si>
    <t>TURBINAS PARADAS ≥7 DIAS - ESSENTIA</t>
  </si>
  <si>
    <t>Dias Parada</t>
  </si>
  <si>
    <t>Brief Description</t>
  </si>
  <si>
    <t>Ação Pendente</t>
  </si>
  <si>
    <t>TURBINAS PARADAS ≥7 DIAS - AUREN</t>
  </si>
  <si>
    <t>Relatório gerado automaticamente | Dados atualizados em tempo real | Para uso interno</t>
  </si>
  <si>
    <t>STOPPED TURBINES - DASHBOARD</t>
  </si>
  <si>
    <t>Asa Branca</t>
  </si>
  <si>
    <t>Data da parada</t>
  </si>
  <si>
    <t>Previsão de Retorno</t>
  </si>
  <si>
    <t>Dias parada</t>
  </si>
  <si>
    <t>Motivo</t>
  </si>
  <si>
    <t>Componente/Subsistema</t>
  </si>
  <si>
    <t>AB 05-13</t>
  </si>
  <si>
    <t xml:space="preserve">Turbina não passa no teste de baterias do sistema de pitch. </t>
  </si>
  <si>
    <t>Pitch Battery</t>
  </si>
  <si>
    <t xml:space="preserve">Troubleshooting da falha. </t>
  </si>
  <si>
    <t>AB 06-06</t>
  </si>
  <si>
    <t xml:space="preserve">Troubleshooting da falha com suporte da engenharia. </t>
  </si>
  <si>
    <t>AB 06-08</t>
  </si>
  <si>
    <t xml:space="preserve">Danos no gerador, curto no wye ring. </t>
  </si>
  <si>
    <t xml:space="preserve">Aguardando deslocamento de um time de Chapada para realizar o reparo. </t>
  </si>
  <si>
    <t>AB 07-11</t>
  </si>
  <si>
    <t>Stopped Turbines +7 days - Essentia</t>
  </si>
  <si>
    <t>Quantidade de turbinas paradas - Essentia</t>
  </si>
  <si>
    <t>Status</t>
  </si>
  <si>
    <t>Parada</t>
  </si>
  <si>
    <t>Quantidade de turbinas paradas</t>
  </si>
  <si>
    <t>-</t>
  </si>
  <si>
    <t>(Vários itens)</t>
  </si>
  <si>
    <t>% da frota</t>
  </si>
  <si>
    <t>ASA BRANCA</t>
  </si>
  <si>
    <t>CHAPADA</t>
  </si>
  <si>
    <t>Contagem de WTG</t>
  </si>
  <si>
    <t>Rótulos de Coluna</t>
  </si>
  <si>
    <t>Rótulos de Linha</t>
  </si>
  <si>
    <t>Total Geral</t>
  </si>
  <si>
    <t>MCE</t>
  </si>
  <si>
    <t>UPTOWER REPAIR</t>
  </si>
  <si>
    <t>Soma de Horas paradas</t>
  </si>
  <si>
    <t>Chapada I</t>
  </si>
  <si>
    <t>Chapada II</t>
  </si>
  <si>
    <t>Chapada III</t>
  </si>
  <si>
    <t>Soma de Indisponibilidade TB</t>
  </si>
  <si>
    <t>YEAR+WEEK</t>
  </si>
  <si>
    <t>Year</t>
  </si>
  <si>
    <t>Week</t>
  </si>
  <si>
    <t>Domingo</t>
  </si>
  <si>
    <t>Sábado</t>
  </si>
  <si>
    <t>ASA</t>
  </si>
  <si>
    <t>CHA</t>
  </si>
  <si>
    <t>Turbinas afetadas</t>
  </si>
  <si>
    <t>SOMA</t>
  </si>
  <si>
    <t>MÉDIA ACUMULADA</t>
  </si>
  <si>
    <t>MÉDIA ANUAL</t>
  </si>
  <si>
    <t>#</t>
  </si>
  <si>
    <t>Média WindSpeed</t>
  </si>
  <si>
    <t>2024W39</t>
  </si>
  <si>
    <t>Registro de turbinas com mais de 7 dias paradas</t>
  </si>
  <si>
    <t>2024W40</t>
  </si>
  <si>
    <t>2024W41</t>
  </si>
  <si>
    <t>2024W42</t>
  </si>
  <si>
    <t>2024W43</t>
  </si>
  <si>
    <t>2024W44</t>
  </si>
  <si>
    <t>2024W45</t>
  </si>
  <si>
    <t>2024W46</t>
  </si>
  <si>
    <t>2024W47</t>
  </si>
  <si>
    <t>2024W48</t>
  </si>
  <si>
    <t>2024W49</t>
  </si>
  <si>
    <t>2024W50</t>
  </si>
  <si>
    <t>2024W51</t>
  </si>
  <si>
    <t>2024W52</t>
  </si>
  <si>
    <t>2025W01</t>
  </si>
  <si>
    <t>2025W02</t>
  </si>
  <si>
    <t>2025W03</t>
  </si>
  <si>
    <t>2025W04</t>
  </si>
  <si>
    <t>2025W05</t>
  </si>
  <si>
    <t>2025W06</t>
  </si>
  <si>
    <t>2025W07</t>
  </si>
  <si>
    <t>2025W08</t>
  </si>
  <si>
    <t>2025W09</t>
  </si>
  <si>
    <t>2025W10</t>
  </si>
  <si>
    <t>2025W11</t>
  </si>
  <si>
    <t>2025W12</t>
  </si>
  <si>
    <t>2025W13</t>
  </si>
  <si>
    <t>2025W14</t>
  </si>
  <si>
    <t>2025W15</t>
  </si>
  <si>
    <t>2025W16</t>
  </si>
  <si>
    <t>2025W17</t>
  </si>
  <si>
    <t>2025W18</t>
  </si>
  <si>
    <t>2025W19</t>
  </si>
  <si>
    <t>2025W20</t>
  </si>
  <si>
    <t>2025W21</t>
  </si>
  <si>
    <t>2025W22</t>
  </si>
  <si>
    <t>2025W23</t>
  </si>
  <si>
    <t>2025W24</t>
  </si>
  <si>
    <t>2025W25</t>
  </si>
  <si>
    <t>2025W26</t>
  </si>
  <si>
    <t>2025W27</t>
  </si>
  <si>
    <t>2025W28</t>
  </si>
  <si>
    <t>2025W29</t>
  </si>
  <si>
    <t>2025W30</t>
  </si>
  <si>
    <t>2025W31</t>
  </si>
  <si>
    <t>2025W32</t>
  </si>
  <si>
    <t>2025W33</t>
  </si>
  <si>
    <t>2025W34</t>
  </si>
  <si>
    <t>2025W35</t>
  </si>
  <si>
    <t>2025W36</t>
  </si>
  <si>
    <t>2025W37</t>
  </si>
  <si>
    <t>2025W38</t>
  </si>
  <si>
    <t>2025W39</t>
  </si>
  <si>
    <t>2025W40</t>
  </si>
  <si>
    <t>2025W41</t>
  </si>
  <si>
    <t>2025W42</t>
  </si>
  <si>
    <t>2025W43</t>
  </si>
  <si>
    <t>2025W44</t>
  </si>
  <si>
    <t>2025W45</t>
  </si>
  <si>
    <t>2025W46</t>
  </si>
  <si>
    <t>2025W47</t>
  </si>
  <si>
    <t>2025W48</t>
  </si>
  <si>
    <t>2025W49</t>
  </si>
  <si>
    <t>2025W50</t>
  </si>
  <si>
    <t>2025W51</t>
  </si>
  <si>
    <t>2025W52</t>
  </si>
  <si>
    <t>2026W01</t>
  </si>
  <si>
    <t>2026W02</t>
  </si>
  <si>
    <t>2026W03</t>
  </si>
  <si>
    <t>2026W04</t>
  </si>
  <si>
    <t>2026W05</t>
  </si>
  <si>
    <t>2026W06</t>
  </si>
  <si>
    <t>2026W07</t>
  </si>
  <si>
    <t>2026W08</t>
  </si>
  <si>
    <t>2026W09</t>
  </si>
  <si>
    <t>2026W10</t>
  </si>
  <si>
    <t>2026W11</t>
  </si>
  <si>
    <t>2026W12</t>
  </si>
  <si>
    <t>2026W13</t>
  </si>
  <si>
    <t>2026W14</t>
  </si>
  <si>
    <t>2026W15</t>
  </si>
  <si>
    <t>2026W16</t>
  </si>
  <si>
    <t>2026W17</t>
  </si>
  <si>
    <t>2026W18</t>
  </si>
  <si>
    <t>2026W19</t>
  </si>
  <si>
    <t>2026W20</t>
  </si>
  <si>
    <t>2026W21</t>
  </si>
  <si>
    <t>2026W22</t>
  </si>
  <si>
    <t>2026W23</t>
  </si>
  <si>
    <t>2026W24</t>
  </si>
  <si>
    <t>2026W25</t>
  </si>
  <si>
    <t>2026W26</t>
  </si>
  <si>
    <t>2026W27</t>
  </si>
  <si>
    <t>2026W28</t>
  </si>
  <si>
    <t>2026W29</t>
  </si>
  <si>
    <t>2026W30</t>
  </si>
  <si>
    <t>2026W31</t>
  </si>
  <si>
    <t>2026W32</t>
  </si>
  <si>
    <t>2026W33</t>
  </si>
  <si>
    <t>2026W34</t>
  </si>
  <si>
    <t>2026W35</t>
  </si>
  <si>
    <t>2026W36</t>
  </si>
  <si>
    <t>2026W37</t>
  </si>
  <si>
    <t>2026W38</t>
  </si>
  <si>
    <t>2026W39</t>
  </si>
  <si>
    <t>2026W40</t>
  </si>
  <si>
    <t>2026W41</t>
  </si>
  <si>
    <t>2026W42</t>
  </si>
  <si>
    <t>2026W43</t>
  </si>
  <si>
    <t>2026W44</t>
  </si>
  <si>
    <t>2026W45</t>
  </si>
  <si>
    <t>2026W46</t>
  </si>
  <si>
    <t>2026W47</t>
  </si>
  <si>
    <t>2026W48</t>
  </si>
  <si>
    <t>2026W49</t>
  </si>
  <si>
    <t>2026W50</t>
  </si>
  <si>
    <t>2026W51</t>
  </si>
  <si>
    <t>2026W52</t>
  </si>
  <si>
    <t>Data hoje</t>
  </si>
  <si>
    <t>Data de retorno</t>
  </si>
  <si>
    <t>Ação Pendente / Comentários</t>
  </si>
  <si>
    <t>%MCE</t>
  </si>
  <si>
    <t>Responsável pelas Ações</t>
  </si>
  <si>
    <t>Responsável</t>
  </si>
  <si>
    <t>Responsável pela Disponibilidade</t>
  </si>
  <si>
    <t>Horas paradas</t>
  </si>
  <si>
    <t>Indisponibilidade TB</t>
  </si>
  <si>
    <t>JOA13-15</t>
  </si>
  <si>
    <t>Rodando</t>
  </si>
  <si>
    <t xml:space="preserve">Falha de safety chain. </t>
  </si>
  <si>
    <t>Troubleshooting</t>
  </si>
  <si>
    <t>Troubleshooting da falha.</t>
  </si>
  <si>
    <t>Operations - O&amp;M</t>
  </si>
  <si>
    <t>Warton e Anderson</t>
  </si>
  <si>
    <t>Invenergy</t>
  </si>
  <si>
    <t>AB05-13</t>
  </si>
  <si>
    <t xml:space="preserve">Troubleshooting da falha e suporte da engenharia. </t>
  </si>
  <si>
    <t>Engenharia</t>
  </si>
  <si>
    <t>Daniel</t>
  </si>
  <si>
    <t>JOA01-12</t>
  </si>
  <si>
    <t xml:space="preserve">Falha de baterias na axis 1. WEPA da axis 1 está danificada. Estamos utilizando WEPAs reparadas e baterias novas. </t>
  </si>
  <si>
    <t xml:space="preserve">Troca da WEPA. </t>
  </si>
  <si>
    <t>AB06-06</t>
  </si>
  <si>
    <t>Victor e Daniel</t>
  </si>
  <si>
    <t>JOA04-14</t>
  </si>
  <si>
    <t>Reparo do gerador em andamento.</t>
  </si>
  <si>
    <t>JOA03-06</t>
  </si>
  <si>
    <t xml:space="preserve">Rodando </t>
  </si>
  <si>
    <t xml:space="preserve">Quebra da barra de suporte da axis box. </t>
  </si>
  <si>
    <t>Pitch Axis Box</t>
  </si>
  <si>
    <t xml:space="preserve">Sendo realizada a ação corretiva sugerida pela Essentia. Não temos disponível a peça sugerida para a correção, iremos canibalizar outra turbina (AUG 05-13) para reparar a barra danificada com o novo coxim. SS aberta para suporte da engenharia para entendendermos a causa raiz da falha. </t>
  </si>
  <si>
    <t>Operations - O&amp;M / Engenharia</t>
  </si>
  <si>
    <t>JOA11-10</t>
  </si>
  <si>
    <t>Troca de Gearbox.</t>
  </si>
  <si>
    <t>Aguardando MCE.</t>
  </si>
  <si>
    <t>Operations - FSO</t>
  </si>
  <si>
    <t>JOA11-14</t>
  </si>
  <si>
    <t xml:space="preserve">Troca de Gerador. </t>
  </si>
  <si>
    <t>AUG05-12</t>
  </si>
  <si>
    <t xml:space="preserve">Pitch controller colective fault. </t>
  </si>
  <si>
    <t>Pitch System</t>
  </si>
  <si>
    <t>Troubleshooting da falha. Motivos de força maior impactaram no atendimento da turbina. Já foi tentando várias soluções e não deram certo. Foi feita a troca do cabo de controle da axis cabinet. Está sendo feita a verificação do sistema de freios das axis hoje (21/11). SS aberta (18/11) solicitando suporte da Engenharia. Sendo realizada a formatação e upload do parâmetros na UCSA. Troca dos componentes não teriam sido necessárias se tivéssemos os privilégios master de acesso ao SCADA.</t>
  </si>
  <si>
    <t>JOA12-17</t>
  </si>
  <si>
    <t xml:space="preserve">Reparo executado no wye ring do gerador, porém, apresentou falha de fuga de corrente no terra. </t>
  </si>
  <si>
    <t xml:space="preserve">Trenders foram coletados e analisados. Foram realizadas novas medições, as quais não mostraram anomalias, então o gerador foi reaberto e identificado danos no wye ring. Reparo já está sendo feito (solda do ponto, limpeza entre espiras e reparo do isolamento. </t>
  </si>
  <si>
    <t xml:space="preserve">Operations - O&amp;M  </t>
  </si>
  <si>
    <t>Victor, Warton e Anderson</t>
  </si>
  <si>
    <t>JOA12-04</t>
  </si>
  <si>
    <t xml:space="preserve">Troca de Gerador. Aguardando MCE. </t>
  </si>
  <si>
    <t>JOA07-06</t>
  </si>
  <si>
    <t xml:space="preserve">Reparo do wye ring sendo executado. Previsão de finalização 06/12. Alertas de raios impactando a execução do reparo. Reparo só iniciado com a chegada no material no almoxarifado (conjunto de barras das fases do rotor). Reparo iniciou no dia 02/12 após a finalização de outro reparo em outra turbina. </t>
  </si>
  <si>
    <t>AB06-08</t>
  </si>
  <si>
    <t>Executando reparo do wye ring.</t>
  </si>
  <si>
    <t>Marcelo Lins</t>
  </si>
  <si>
    <t>JOA12-16</t>
  </si>
  <si>
    <t xml:space="preserve">Gerador com curto de corrente para o terra. Aguardando MCE. </t>
  </si>
  <si>
    <t xml:space="preserve">Aguardando MCE. Identificar a causa raiz da falha (se falha de rolamento ou não). </t>
  </si>
  <si>
    <t>Operations - FSO / Engenharia</t>
  </si>
  <si>
    <t>JOA12-11</t>
  </si>
  <si>
    <t>MCE concluída. Corretiva pendente</t>
  </si>
  <si>
    <t xml:space="preserve">Corretiva sendo executada de calibração de pá. </t>
  </si>
  <si>
    <t>Samir e FSO/Essentia</t>
  </si>
  <si>
    <t>JOA05-05</t>
  </si>
  <si>
    <t>MCE concluída. Corretivas pendentes.</t>
  </si>
  <si>
    <t>Top Box</t>
  </si>
  <si>
    <t xml:space="preserve">Corretiva sendo executada hoje. Houveram danos nos IGBTs de linha e de rotor, falha na unidade hidráulica de freio,  ligação do cabo de fase estava para o terra, motores de yaw fora da posição e baixo nível de óleo na gearbox. </t>
  </si>
  <si>
    <t>Samir e FSO</t>
  </si>
  <si>
    <t>JOA11-12</t>
  </si>
  <si>
    <t xml:space="preserve">Dano no wye ring. </t>
  </si>
  <si>
    <t xml:space="preserve">Reparo do wye ring sendo executado.  </t>
  </si>
  <si>
    <t>JOA10-04</t>
  </si>
  <si>
    <t xml:space="preserve">Danos no gerador, curto no wye ring e cabo de releed. </t>
  </si>
  <si>
    <t>Reparo do gerador finalizado. Corretiva em execução. Surge test já realizado. Cabos sendo desinvertivos e irá retornar 03/01.</t>
  </si>
  <si>
    <t>JOA11-11</t>
  </si>
  <si>
    <t>Falhas nas baterias de pitch devido à danos no rolamento.</t>
  </si>
  <si>
    <t xml:space="preserve">Emissão de disposição da engenharia. Aguardando atividade em campo. Atividade executada e trocado o freio do motor de pitch. </t>
  </si>
  <si>
    <t>JOA04-03</t>
  </si>
  <si>
    <t xml:space="preserve">2 Yaw drives danificados (Nanjing). </t>
  </si>
  <si>
    <t>Reparo sendo feito. Foi danificado o 1º e o 2º estágio dos yaw drives (um dente quebrado em cada estágio).</t>
  </si>
  <si>
    <t>AUG05-14</t>
  </si>
  <si>
    <t xml:space="preserve">Falha no conversor. </t>
  </si>
  <si>
    <t xml:space="preserve">Falha no conversor. Foi trocado a WECA, porém, a turbina não startou. Time desconfiando de dano no gerador. Troubleshooting da falha pendente. Atendimento está sendo impactado pela incidência frequente de L2. </t>
  </si>
  <si>
    <t>JOA15-16</t>
  </si>
  <si>
    <t>Dano no pitch bearing. Realizando MCE.</t>
  </si>
  <si>
    <t xml:space="preserve">Parada para troca do Pitch Bearing. Pós work em andamento. </t>
  </si>
  <si>
    <t>JOA15-01</t>
  </si>
  <si>
    <t>Danos na gearbox. Aguardando MCE.</t>
  </si>
  <si>
    <t xml:space="preserve">Engenharia enviou a disposição solicitando a parada da turbina e troca da gearbox. </t>
  </si>
  <si>
    <t>AB08-05</t>
  </si>
  <si>
    <t xml:space="preserve">Incidência de raio na blade. </t>
  </si>
  <si>
    <t xml:space="preserve">Reparo já foi concluído. Porém, time da Essentia segue trabalhando nela para voltar a operação. </t>
  </si>
  <si>
    <t>JOA15-15</t>
  </si>
  <si>
    <t xml:space="preserve">2 Yaw drives danificados. </t>
  </si>
  <si>
    <t xml:space="preserve">Aguardando disponibilidade do yaw drive. Invenergy em contato com a DriveMec para alinhamento da melhor estratégia (gostaríamos de só fornecimento do porta planetas).
13/02: Previsão de retorno fim do dia de hoje. Foi instalado o 4º estágio nos dois 2 yaw drives danificados. 1 deles advindo da 16-06 e outro estava em estoque. </t>
  </si>
  <si>
    <t>JOA16-09</t>
  </si>
  <si>
    <t>Aguardando MCE. MCE em andamento - atividade 80% concluída.</t>
  </si>
  <si>
    <t>JOA15-12</t>
  </si>
  <si>
    <t>Danos na gearbox e pitch bearing. Pendente MCE.</t>
  </si>
  <si>
    <t>Atividade MCE concluída. Necessitará de corretiva após a finalização da troca do PB. Previsão de retorno hoje (20/02).</t>
  </si>
  <si>
    <t>JOA12-12</t>
  </si>
  <si>
    <t xml:space="preserve">Gearbox colapsada. Aguardando MCE. </t>
  </si>
  <si>
    <t xml:space="preserve">Aguardando MCE. 90% de evolução. Pendente corretiva. </t>
  </si>
  <si>
    <t>JOA12-08</t>
  </si>
  <si>
    <t>Reparo de pá feito. Aguardando MCE.</t>
  </si>
  <si>
    <t>Aguardando MCE. Reparo de blade concluído. Troca de pitch bearing  concluída. Pós work em andamento. Será necessário passar por preventiva e por inspeções específicas para RTS pós longo tempo parada. Retornou a operação ontem 26/02. Será necessário inspeções a cada 3 dias (recomendação de engenharia).</t>
  </si>
  <si>
    <t>JOA15-10</t>
  </si>
  <si>
    <t xml:space="preserve">Vazamento de óleo da gearbox </t>
  </si>
  <si>
    <t xml:space="preserve">Máquina parou no final de semana por vazamento de óleo de 70% da gearbox. Sendo feito o atendimento à turbina para flushing e troca para o Amsoil. </t>
  </si>
  <si>
    <t>AUG03-15</t>
  </si>
  <si>
    <t xml:space="preserve">Máquina em atendimento, parou durante a madrugada. Troubleshooting. Sendo analisado se é possível a "transfusão do óleo", visto que não temos óleo Castrol em estoque. </t>
  </si>
  <si>
    <t>JOA11-07</t>
  </si>
  <si>
    <t xml:space="preserve">Danos da gearbox. Aguardando MCE. </t>
  </si>
  <si>
    <t xml:space="preserve">Aguardando MCE. 80% de evolução. </t>
  </si>
  <si>
    <t>Colapso do acoplamento flexível</t>
  </si>
  <si>
    <t>Flex coupling</t>
  </si>
  <si>
    <t>Troca do acoplamento e slip de comunicação. Engenharia irá analisar se será necessário uma investigação mais profunda. 06/03: Troca do acoplamento completo quase finalizada. Previsão de retorno 06/03.</t>
  </si>
  <si>
    <t>JOA01-13</t>
  </si>
  <si>
    <t>MCE programado. Pitch Bearing. Aguardando MCE</t>
  </si>
  <si>
    <t xml:space="preserve">80% de evolução. </t>
  </si>
  <si>
    <t>JOA09-08</t>
  </si>
  <si>
    <t>Boroscopia no main bearing sendo realizada para verificar se temos danos adicionais. Aguardando MCE.</t>
  </si>
  <si>
    <t>JOA04-01</t>
  </si>
  <si>
    <t>Turbina com ramal baixo para troca do rolamento do pitch</t>
  </si>
  <si>
    <t>JOA16-02</t>
  </si>
  <si>
    <t>Colapso da Gearbox</t>
  </si>
  <si>
    <t>Aguardando MCE. Pós-work sendo realizado.</t>
  </si>
  <si>
    <t>JOA04-02</t>
  </si>
  <si>
    <t>?</t>
  </si>
  <si>
    <t>Pitch bearing crack</t>
  </si>
  <si>
    <t xml:space="preserve">Troca do pitch bearing sendo realizada. </t>
  </si>
  <si>
    <t>JOA16-07</t>
  </si>
  <si>
    <t xml:space="preserve">Dano no HSS. </t>
  </si>
  <si>
    <t xml:space="preserve">Caso sendo analisado pela engenharia, para possível desenvolvimento de reparo uptower. FlexWind inicia as atividades dia 17/03.
20/03: Reparo em andamento. Houve impacto na atividade devido a incidência de raios. 
28/03: Turbina entrou em operação ontem. </t>
  </si>
  <si>
    <t>JOA15-07</t>
  </si>
  <si>
    <t>Rompimento da Carcaça da Gearbox</t>
  </si>
  <si>
    <t xml:space="preserve">Troca da gearbox sendo realizada por MCE. 
28/03: Pós work sendo realizado. </t>
  </si>
  <si>
    <t>JOA04-04</t>
  </si>
  <si>
    <t xml:space="preserve">Foi identificado duas trincas na mesma axis (2). Portanto, foi solicitada a parada da máquina e será realizada a troca do pitch bearing após a 04-03.
04/03: Troca em andamento. 
10/04: Pós work em andamento. </t>
  </si>
  <si>
    <t>AUG05-13</t>
  </si>
  <si>
    <t xml:space="preserve">Danos na gearbox. Aguardando MCE. </t>
  </si>
  <si>
    <t xml:space="preserve">Boroscopia foi realizada e disposição da engenharia foi de manter a turbina parada e priorizada para MCE. Aguardando MCE.  
03/04: Finalização do serviço e início do pós-work para o dia 04/04. 
10/04: MCE finalizado em 09/04. Porém, máquina encontra-se em corretiva, falha de IGBT. Atendimento sendo impactado por L2. </t>
  </si>
  <si>
    <t>Warton, Anderson e Gustavo</t>
  </si>
  <si>
    <t>JOA16-16</t>
  </si>
  <si>
    <t>3 Yaw drives danificados.</t>
  </si>
  <si>
    <r>
      <t xml:space="preserve">Aguardando MCE e uptower repair para extração do yaw drive. 3 yaw drives bonfiglioli e 1 </t>
    </r>
    <r>
      <rPr>
        <sz val="11"/>
        <color rgb="FFFF0000"/>
        <rFont val="Aptos Narrow"/>
        <family val="2"/>
        <scheme val="minor"/>
      </rPr>
      <t xml:space="preserve">nanjing.
</t>
    </r>
    <r>
      <rPr>
        <sz val="11"/>
        <rFont val="Aptos Narrow"/>
        <family val="2"/>
        <scheme val="minor"/>
      </rPr>
      <t>03/04: Previsão de iniciar a atividade após a finalização das trocas dos pitch bearings (JOA 04-04).</t>
    </r>
    <r>
      <rPr>
        <sz val="11"/>
        <color theme="1"/>
        <rFont val="Aptos Narrow"/>
        <family val="2"/>
        <scheme val="minor"/>
      </rPr>
      <t xml:space="preserve">
10/04: Troca em andamento. 30%. Planejamento para finalizar as trocas hoje (10/04).</t>
    </r>
  </si>
  <si>
    <t>Operations - FSO / O&amp;M</t>
  </si>
  <si>
    <t>AB07-11</t>
  </si>
  <si>
    <t xml:space="preserve">Danos no gerador, curto no wye ring. Aguardando MCE. </t>
  </si>
  <si>
    <t>Tentativa de Reparo do gerador foi realizada, porém, o reparo exigirá um esforço maior, portanto, foi acordado que terminariamos o reparo da 06-08 primeiro e depois voltaremos para a 07-11. Foi feita uma tentativa de reparo, porém, sem sucesso. Aguardando MCE. Será feito com o Liftra. Técnicos do Liftra já estão no site, seguimos aguardando a chegada dos equipamentos. 
28/03: Foi realizada a montagem do light weight crane. Time está iniciando a montagem da base.
03/04: Técnicos Invenergy em avaliação e certificação pelo time da Liftra. Previsão de inicar as atividades semana que vem.  
10/04: Gerador já foi trocado e o Liftra já está em processo de descida. Troca foi realizada no dia 08/04.
17/04: Retornou hoje limitada em 500kW. 24h para retornar em full power.</t>
  </si>
  <si>
    <t xml:space="preserve">Fuga de corrente no gerador para o terra. </t>
  </si>
  <si>
    <t xml:space="preserve">Turbina parou hoje (03/04) por conta de fuga de corrente para o terra, time irá atender para realizar o troubleshooting. Turbina já teve histórico de reparo do wye ring. 
10/04: Sendo realizado o reparo emergencial do wye ring. É necessário um reparo no barramento do gerador, que faz necessário a remoção do wye ring. Após a mobilização da data engenharia será feito o retrofit do wye ring. 
17/04: Muito impacto de L2 e diversas corretivas devido a parada do grid. </t>
  </si>
  <si>
    <t>Operation - O&amp;M</t>
  </si>
  <si>
    <t>JOA05-08</t>
  </si>
  <si>
    <t xml:space="preserve">2 kits de HSS chegaram no dia 17/03. Aguardando o término do reparo da JOA 16-07 para iniciar o reparo na 05-08. 
28/03: Flex Wind finalizou na 16-07, porém, tiveram uma outra demanda que tiveram que atender em outro parque. Estamos negociando o prazo para atendimento da 05-08. Flex Wind foi contratada devido à falta de ferramentas para executar a atividade. FSO está se preparando para conseguir executar a atividade. 
03/04: Programação de início da atividade para o dia 09/04. FSO + time Chapada.
10/04: Troca completa do HSS em andamento. Foi identificado que o HSIS já havia sido trocado anteriormente. Será necessário a extração de um parafuso quebrado (tampa da gearbox). 
24/04: Previsão de retorno hoje. </t>
  </si>
  <si>
    <t>JOA16-10</t>
  </si>
  <si>
    <t>Reparo de Blade</t>
  </si>
  <si>
    <t>Essentia executando reparo</t>
  </si>
  <si>
    <t>JOA10-09</t>
  </si>
  <si>
    <t>Pitch bearing internal damage.</t>
  </si>
  <si>
    <t xml:space="preserve">Sendo executada a troca do pitch bearing.
01/05: Troca sendo finalizada. </t>
  </si>
  <si>
    <t>JOA16-01</t>
  </si>
  <si>
    <t>JOA05-16</t>
  </si>
  <si>
    <t>JOA07-09</t>
  </si>
  <si>
    <t>Trinca na pista interna no rolamento planetário</t>
  </si>
  <si>
    <t xml:space="preserve">Aguardando MCE. </t>
  </si>
  <si>
    <t>AUG04-16</t>
  </si>
  <si>
    <t xml:space="preserve">Possível dano no gerador. </t>
  </si>
  <si>
    <t>17/04: Aguardando time finalizar trabalho da JOA 12-17 para atendimento e troubleshooting. 
24/04: Gerador foi aberto ontem. Foi identificado dano no wye ring. Aguardando disposição da engenharia. Reparo com a Data Engenharia. 
15/05: Reparo realizado com Data engenharia e máquina em operação.</t>
  </si>
  <si>
    <t xml:space="preserve">Dano no rolamento do gerador e no assento do mesmo. </t>
  </si>
  <si>
    <t>Aguardando definição de como seguiremos com o reparo do eixo do gerador. Previsão de início das atividades dia 27/03 - confecção do molde. Técnicos estão finalizando treinamentos.
28/03: Hita já foi ao site para fazer o levantamento das medidas do eixo para a confecção dos moldes. Previsão para retorno ao site no dia 09/04.
03/04: Sem novos updates. EHS avaliando documentação. Previsão para início das atividades em 09/04.
10/04: Hita já fez o reparo utilizando o molde e agora estamos no passo de avaliação da qualidade do trabalho executado em conjunto com a  Engenharia Invenergy.
17/04: Reparo realizado pela Hita foi recusado e foi solicitada a troca do gerador. Com o gerador em solo será verificado se há empeno do eixo. Gerador removido será enviado para reparo. 
24/04: Será iniciada a montagem do Liftra amanhã</t>
  </si>
  <si>
    <t>JOA05-03</t>
  </si>
  <si>
    <t>JOA16-06</t>
  </si>
  <si>
    <t>Fuga de corrente pro terra no gerador. Aguardando MCE.</t>
  </si>
  <si>
    <t>Gerador danificado. Exigirá troca completa. Aguardando MCE. 0% de evolução. Está pendente um 4º estágio do yaw drive bonfiglioli, visto que este foi canibalizado para aplicação na JOA 15-15.</t>
  </si>
  <si>
    <t>AB06-11</t>
  </si>
  <si>
    <t xml:space="preserve">Reparo de blade sendo executado pelo time Invenergy. </t>
  </si>
  <si>
    <t xml:space="preserve">Reparo de blade. </t>
  </si>
  <si>
    <t>JOA01-17</t>
  </si>
  <si>
    <t>JOA05-01</t>
  </si>
  <si>
    <t>Turbina foi parada devido a um dano severo na gearbox. Já estava mapeada para troca.
12/06: pós-work em andamento, previsão de startup da turbina hoje</t>
  </si>
  <si>
    <t>AUG03-11</t>
  </si>
  <si>
    <t xml:space="preserve">Liberação do acoplamento flexível e dano no HSS. </t>
  </si>
  <si>
    <t>Tivemos uma liberação do acoplamento flexível para fora da turbina. Investigação em andamento. 
17/04: Indicada para troca de HSS.
24/04: Aguardando finalização da JOA 05-08. Já possuímos HSS para essa troca. 
01/05: Identificado dano no dente do HSIS. 
06/06: pós work em andamento. 
12/06: Reposição do slip de comunicação</t>
  </si>
  <si>
    <t xml:space="preserve">Operation - FSO /  Engenharia </t>
  </si>
  <si>
    <t>JOA01-15</t>
  </si>
  <si>
    <t>Reparo de blade</t>
  </si>
  <si>
    <t>Identificado dano severo e parada para reparo.</t>
  </si>
  <si>
    <t>JOA15-14</t>
  </si>
  <si>
    <t>AUG04-12</t>
  </si>
  <si>
    <t>AB06-19</t>
  </si>
  <si>
    <t>Essentia / Invenergy</t>
  </si>
  <si>
    <t>JOA04-08</t>
  </si>
  <si>
    <t xml:space="preserve">Dano no gerador. Wye ring. </t>
  </si>
  <si>
    <t xml:space="preserve">Troubleshooting está sendo executado. Houve impacto de L2 ontem, por isso, a atividade se alongou. 
13/02: Caso sendo analisado pela engenharia. 
20/02: Reparo uptower
27/02: Aguardando a Data engenharia
20/03: Data engenharia mencionou que a previsão é iniciar em 24/04.
28/03: Vamos pressionar a data engenharia para ter uma data mais próxima e sanar as pendências. 
03/04: Aguardando Data engenharia (haverá reunião hoje entre Invenergy e Data Engenharia para tratar a questão de data de execução).
10/04: Data informou que iniciará o reparo na primeira semana de maio 07/05.
09/05: Data formalizou de que o reparo do wye ring não será possível. Máquina direcionada para MCE.
23/05: Será feita uma inspeção com a Ecovis, com o gerador downtower.
29/05: 0% de evolução.
06/06: Será feita a troca da gerador e do Main Bearing. Não será mais realizada a tentativa com a Ecovis. Será necessária a utilização do crane que está snedo usado na frente de troca de gearbox, para conseguir realizar a troca do main bearing. 
26/06: Não será feita a troca do Main Bearing. Equipe realizando troca do gerador.
03/07: Impacto de vento alto nos últimos dias. Previsão é de ser finalizada no fim de semana. </t>
  </si>
  <si>
    <t>JOA15-11</t>
  </si>
  <si>
    <t>AUG04-13</t>
  </si>
  <si>
    <t>Danos no Wye ring. Aguardando mobilização Ecovis</t>
  </si>
  <si>
    <t>Uptower Repair</t>
  </si>
  <si>
    <t xml:space="preserve">12/05 - Máquina parada para abertura do gerador
15/05 - Data Engenharia realizando inspeção e testes no rotor.
22/05 - Data formalizou de que o reparo do wye ring não será possível. Máquina direcionada para MCE.
23/05: Será feita uma nova tentativa com a Ecovis.
03/07: Aguardando finalização do reparo na AUG04-14. Previsão de início em 04/07.
10/07: Reparo foi finalizado, sendo feita a montagem do gerador. 
</t>
  </si>
  <si>
    <t>JOA12-05</t>
  </si>
  <si>
    <t>JOA04-13</t>
  </si>
  <si>
    <t>Aguardando MCE. Será feita após finalização das atividades na AUG05-13.
10/04: MCE em andamento. 
17/04: 40% de evolução. Conexão entre o eixo da gearbox e o main shaft travado. Engrenagens travadas também. Será perfurada o eixo da gearbox, para facilitar a remoção. Previsão de conclusão na próxima semana. 
24/04: Foi iniciado o processo de furação ontem. Após finalização do MCE no AUG05-13 iremos poder finalizar na JOA04-13.
01/05: 40% de evolução. 
15/05: Equipe de field service retornou para atividade nesta máquina. Abertura de novos furos;
22/05: Foram feitas diversas tentativas de destravamento, porém, sem sucesso. Com isso foi acordado com a Essentia de que seria feita a desmobilização do guindaste e continuaremos as tentativas de destravamento. Atividade será feita com o Liftra.
29/05: S/ updates.
06/06: Só aquecimento não será possível para remover. Será necessário realizar o corte da gearbox.
18/06: Troca já realizada com o Liftra. Realizando a descida do guindaste. 
26/06: Pós work e certificação liftra.
03/07: Pós work em andamento e certificação Liftra.
10/07: Pós work foi iniciado de fato hoje, houveram problemas com o acoplamento. Previsão de retorno para amanhã (11/07).</t>
  </si>
  <si>
    <t xml:space="preserve">Aguardando MCE. 
17/07: Finalizada a troca do gerador, porém, segue parada para corretiva. </t>
  </si>
  <si>
    <t xml:space="preserve">Dano no gerador.  </t>
  </si>
  <si>
    <t>Resina se desprendeu do rotor e danificou o estator. Time já realizou o surge test e está analisando agora o parâmetro que foi analisado, de acordo com instruções da Engenharia US.
03/04: Surge test reprovado. Será necessário a troca do gerador. 
03/07: Atualizar.
17/07: Pós work em andamento. Troca feita e finalizada em 16/07.</t>
  </si>
  <si>
    <t>JOA07-15</t>
  </si>
  <si>
    <t>Duas trincas no pitch bearing da axis 1</t>
  </si>
  <si>
    <t xml:space="preserve">Aguardando MCE.
03/07: Máquina será priorizada após a JOA 04-08.
10/07: Inicio da troca em 08/07.
17/07: Troca em andamento. Atraso devido à questões de ventos. 
24/07: FSO terminou o reparo e foi energizada hoje. Previsão retornoar hoje no fim do dia. </t>
  </si>
  <si>
    <t>AB05-10</t>
  </si>
  <si>
    <t>Deslocamento excessivo do drivetrain e danos no main bearing</t>
  </si>
  <si>
    <t>Aguardando MCE. 
29/05: Já foi enviada a disposição para a Essentia. Essentia está buscando aprovação da troca junto a diretoria.
06/06: Essentia possui um main bearing em Chapada que necessitará ser transferido para Asa. 
12/06: Previsão de mobilização na semana do dia 23 (FW26).
26/06: Realizado pré-work. Nova previsão de 03/07 de mob guindaste.
03/07: Guindaste atrasou e iniciará a mob dia 04/07 e inicio de operação dia 07/07.
10/07: Aguardando condições climáticas para início das atividades. Foi feita a isntalação da corda guia de apenas uma pá. 
17/07: Já foi feita a descida do rotor e trocado o main bearing. Falta subir drivetrain e rotor. Aguardando condições climáticas.
24/07: Subida do ramal será feita amanhã. Previsão de retorno amanhã.</t>
  </si>
  <si>
    <t>JOA11-03</t>
  </si>
  <si>
    <t>29/07/2025</t>
  </si>
  <si>
    <t>Identificado dano no gerador. Wye Ring</t>
  </si>
  <si>
    <t>17/07: Com a visita da Ecovis para garantia da 12/17, será solicitado que seja feito a tentativa de reparo dessa máquina também. 
24/07: Reparo sendo feito. Previsão de retorno 29/07.</t>
  </si>
  <si>
    <t>JOA12-13</t>
  </si>
  <si>
    <t>Gearbox colapsada. Aguardando MCE. 
03/07: sem cronograma de execução
17/07: Liftra já mobilizado para a turbina. Haverá um atraso devido à evento com Liftra. Prazo inicial era de 30/07.
24/07: Troca sendo feita. Gearbox travada no main shaft. 
31/07: Será feita a subido do ramal hoje. Previsão de retorno 04/08.</t>
  </si>
  <si>
    <t>AUG04-14</t>
  </si>
  <si>
    <t>Falha no Wye Ring e trinca no planetário Gearbox</t>
  </si>
  <si>
    <t>Gerador / Gearbox</t>
  </si>
  <si>
    <t>Turbina indicada para realização do reparo do Wye Ring pela Data Engenharia. (aproveitamento da mobilização e reparo das turbinas JOA04-08 e AUG04-14).
09/05: Data formalizou de que o reparo do wye ring não será possível. Máquina direcionada para MCE.
Em nova boroscopia, foi identificado que havia uma trinca em um dos rolamentos do planetário.
23/05: Será feita uma nova tentativa de reparo com a Ecovis uptower.
12/06: Previsão de mobilização para a FW26.
26/06: Equipe avançou o pré work devido a máquina estar fora de operação.
03/07: Ecovis realizando o reparo. 
10/07: Pendente fazer o alinhamento do gerador para poder o teste e validar do gerador. Turbina permanecerá em DT devido a gearbox. 
17/07: Finalização dos últimos passos para startar a turbina e testar a turbina (validar o reparo do gerador - rodará por ~2 horas e depois ficará em DT por conta da gbx).
24/07: DT gbx.
31/07: Evolução de 15%
07/08: Troca sendo finalizada.</t>
  </si>
  <si>
    <t xml:space="preserve">Solicitação pela engenharia de manter a turbina fora de operação devido a trinca/quebra de dente da engrenagem do estágio planetário. Aguardando MCE. </t>
  </si>
  <si>
    <t xml:space="preserve">Aguardando MCE. 
03/07: sem cronograma de execução
31/07: Será executada após a JOA04-02.
07/08: Guindaste foi mobilizado para a WTG hoje e está em processo de montagem. Previsão de iniciar o pré-work hoje. </t>
  </si>
  <si>
    <t>JOA01-06</t>
  </si>
  <si>
    <t>Danos no pinhão do yaw drive.</t>
  </si>
  <si>
    <t xml:space="preserve">31/07: Serão trocados dos yaw drives, pois não foi encontrado um set novo.
07/08: Aguardando finalização da AUG05-14. 
14/08: Troca dos yaw drives finalizada ontem. Pendente renergização e material para corretiva. </t>
  </si>
  <si>
    <t>JOA01-05</t>
  </si>
  <si>
    <t xml:space="preserve">Foi solicitada uma boroscopia e identificado trinca no planetário. </t>
  </si>
  <si>
    <t xml:space="preserve">31/07: Aguardando MCE.
14/08: Plano de rigging sendo elaborado. Uma vez finalizado será iniciado o processo de montagem do guindaste.
21/08: Será feita a subida do ramal hoje e após energização. Previsão de retorno 22/08. </t>
  </si>
  <si>
    <t>JOA10-05</t>
  </si>
  <si>
    <t>Turbina parada para troca do Main Shaft</t>
  </si>
  <si>
    <t xml:space="preserve">12/06: Baixa do ramal para troca do Main shaft.
18/06: Sendo feita a subida do rotor. 
26/06: pós work
03/07: Identificado danos na rosca do bedplate, na conexão do pillow block com  bedplate. Tentando identificar fornecedores para confecção de rosca postiça. 
10/07: Aguardando visita da Tech End para inspeção da rosca danificada e avaliação de reparo da rosca com rosca postiça.
17/07: Tech End realizou a visita em 15/07 para avaliação do reparo a ser feito. Previsão de enviarem o procedimento e fabricarem o suporte necessário em 1 semana. 
24/07: Suporte sendo fabricado. Previsão de mobilização para instalação na próxima semana.
31/07: Previsão de mobilização para Araripina em 01/08.
07/08: Chegaram no dia 05/08. Iniciaram o trabalho no dia 06/08, porém, identificaram que não possuem ferramentas necessárias. Estão em standby a procura da ferraementa em Petrolina. 
14/08: Alinhado com a Tech End de realizar um reparo paleativo da rosca utilizando helicoil M36. Sem previsão de retorno ainda. 
21/08: Sendo realizada a instalação dos helicoils M36 para retorno a operação temporária, antes da finalização do reparo com helicoil M39.
28/08: Em operação limitada pelo vento. Aguardando pelo reparo com helicoil M39. </t>
  </si>
  <si>
    <t xml:space="preserve">Gearbox colapsada. Aguardando MCE. 
03/07: sem cronograma de execução
17/07: Liftra já mobilizado para a turbina. Haverá um atraso devido à evento com Liftra. Prazo inicial era de 30/07.
24/07: Liftra está enviando um novo equipamento (emprestado) para continuidade da operação. Chegará no dia 29/07em Chapada.
31/07: Equipamento do Liftra chegou, porém, em processo de autorização do EHS.  
07/08: Atividade em andamento com o time Liftra. Previsão de retorno 15/08.
14/08: Realizada a troca da gearbox. Iniciado o processo do guindaste hoje. Previsão de retorno 25/08.
21/08: Finalizada desmontagem do guindaste. Sendo realizado o pós work. </t>
  </si>
  <si>
    <t>Identificado dano no gerador e posteriormente no HSS. Wye Ring / HSS</t>
  </si>
  <si>
    <t xml:space="preserve">24/07: Aguardando finalização na 11-03 para Ecovis seguir com inspeção e possível reparo.
31/07: Reparo foi finalizado hoje, porém, foram encontrados danos no HSS que impedem a operação da turbina. Aguardando análise da boroscopia para verificação de demais danos.  
05/08: Identificado que ha somente danos no dente do HSS e sem danos secundários. Será realizado a troca do HSS. Testes do gerador serão feitos somente após a troca do HSS.
07/08: Previsão de início das atividades na próxima semana. 
14/08: Previsão de início das atividades na próxima semana. Houve um atraso devido a atraso de entrega de material. 
21/08: Iniciada as atividades hoje.
28/08: RTS.  </t>
  </si>
  <si>
    <t>JOA03-16</t>
  </si>
  <si>
    <t>Falha da barra da axis box.</t>
  </si>
  <si>
    <t>28/08: Retornando hoje a operação.</t>
  </si>
  <si>
    <t>Operations  - O&amp;M</t>
  </si>
  <si>
    <t>JOA03-07</t>
  </si>
  <si>
    <t xml:space="preserve">28/08: Aguardando a chegada da barra para troca. </t>
  </si>
  <si>
    <t>Falha no gerador. Wye Ring</t>
  </si>
  <si>
    <t xml:space="preserve">21/08: Aguardando mobilização da Ecovis para realizar reparo.
28/08: Aguardando chega da Ecovis, prevista para 01/09.
04/09: Ecovis já está atuando na turbina. Previsão de retorno 10/09. </t>
  </si>
  <si>
    <t xml:space="preserve">2 Yaw Drives danificados. </t>
  </si>
  <si>
    <t xml:space="preserve">11/09: Yaw Drives sendo reparados. </t>
  </si>
  <si>
    <t>AUG04-09</t>
  </si>
  <si>
    <t xml:space="preserve">04/09: Aguardando a ida da Ecovis para análise de viabilidade de reparo.
11/09: Ecovis realizando o reparo.
18/09: Equipe finalizando o fechamento do gerador.  </t>
  </si>
  <si>
    <t>JOA10-06</t>
  </si>
  <si>
    <t>Foi solicitada uma boroscopia e identificado trinca no planetário. Será necessária a troca da barra da axis box.</t>
  </si>
  <si>
    <t xml:space="preserve">05/08: Aguardando MCE.
14/08: Será realizada após a finalização a atividade na JOA01-05.
28/08: Em processo de montagem do Liftra.
04/09: Liftra posicionado, aguardando janela de vento para subida do guindaste principal.  
11/09: Liftra já montado. Gearbox já foi trocada. Houve atraso devido a condições de vento e mobilização do guindaste auxiliar. </t>
  </si>
  <si>
    <t>JOA16-13</t>
  </si>
  <si>
    <t xml:space="preserve">11/09: Aguardando ida da Ecovis.
18/09: Ecovis iniciará o reparo hoje. </t>
  </si>
  <si>
    <t>Falha do sistema de freio. Sendo investigado</t>
  </si>
  <si>
    <t>Freio Secundário</t>
  </si>
  <si>
    <t xml:space="preserve">02/10: Sendo avaliado se existe algum tipo de dano interno na gearbox, que pode ter causado a falha. </t>
  </si>
  <si>
    <t>Danos no gerador. Wye ring.</t>
  </si>
  <si>
    <t xml:space="preserve">09/10: Aguardando disposição para reparo com Ecovis. 
16/10: Ecovis finalizou o reparo dia 14/10. </t>
  </si>
  <si>
    <t>JOA 01-08</t>
  </si>
  <si>
    <t>Rolamento do HSS rotacionando na sede</t>
  </si>
  <si>
    <t>16/10: Time realizando o reparo adicionando shims. 
23/10: Reparo finalizado</t>
  </si>
  <si>
    <t>JOA09-15</t>
  </si>
  <si>
    <t xml:space="preserve">Dano no main bearing. </t>
  </si>
  <si>
    <t xml:space="preserve">11/09: Aguardando MCE. Será a próxima da sequência FW40.
25/09: Pré work finalizado, previsão de início 06/10.
09/10: Guindaste ficará operacional amanhã 10/10.
16/10: Troca em andamento </t>
  </si>
  <si>
    <t>JOA01-01</t>
  </si>
  <si>
    <t>Troubleshooting de comunicação com placas</t>
  </si>
  <si>
    <t>23/10: Time finalizando troubleshooting de placas</t>
  </si>
  <si>
    <t xml:space="preserve">Danos no pitch bearing. </t>
  </si>
  <si>
    <t xml:space="preserve">11/09: Seguindo com a compra do set do pitch bearing para troca. Leadtime de 5 dias (GE). Aprovação da Essentia foi realizada hoje 11/09.
18/09: Aguardando finalização da JOA10-06 para mobilização. 
25/09: Trabalho iniciado, subindo o material e montando o Liftra. 
02/10: Guindaste auxiliar sendo montado.
09/10: Previsão de descida da primeira pá hoje.
23/10:  Troca em andamento. </t>
  </si>
  <si>
    <t>JOA15-06</t>
  </si>
  <si>
    <t xml:space="preserve">25/09: Inspeção no gerador será feita a amanhã. 
02/10: Aguardando reparo com Ecovis. WTG impedida de atendimento devido a talha. 
23/10: Aguardando tratativa da JOA15-12.
30/10: Time realizando o fechamento do gerador após o reparo realizado pela Ecovis. </t>
  </si>
  <si>
    <t>JOA01-08</t>
  </si>
  <si>
    <t>Reparo de blade.</t>
  </si>
  <si>
    <t xml:space="preserve">30/10: Sendo realizado reparo de pá. </t>
  </si>
  <si>
    <t>AUG04-03</t>
  </si>
  <si>
    <t>Troca do Main Bearing</t>
  </si>
  <si>
    <t>30/10: Sendo realizada a troca do main bearing
06/11: Finalizando a troca. Previsão de retorno 07/11/2025.</t>
  </si>
  <si>
    <t>JOA05-07</t>
  </si>
  <si>
    <t xml:space="preserve">02/10: Rompimento da carcaça da gearbox. Aguardando MCE
06/11: Inicio da mobilização para a turbina. 
13/11: Troca em andamento.
21/11: Troca finalizada. Sendo realizada corretiva pós MCE. </t>
  </si>
  <si>
    <t>JOA12-06</t>
  </si>
  <si>
    <t>Falha na gearbox.</t>
  </si>
  <si>
    <t xml:space="preserve">25/09: Disposição enviada pela engenharia. Diversos danos na gearbox. 
23/10: Aguardando MCE.
30/10: Iniciada a mobilização do Liftra para início das atividades. 
06/11: Sendo realizada a subida do guindaste principal. 
13/11: Processo de desmontagem da base do guindaste. Troca concluída
21/11: Pós-work em andamento. Previsão de finalização para hoje. </t>
  </si>
  <si>
    <t xml:space="preserve">Falha no HSS. </t>
  </si>
  <si>
    <t xml:space="preserve">14/08: Aguardando disposição de engenharia para definição se será feito reparo uptower ou troca da gearbox. 
21/08: Aguardando a troca do HSS.
28/08: S/ atualização e s/ previsão de entrega do material (4 unidades do HSS) para execução da atividade.
11/09: Foi informado um leadtime de 2 kits - 30 dias para entrega dos HSSs.
09/10: Previsão de entrega dos kits no dia 21/10. 
23/10: Aguardando chegada dos kits. Nova previsão de chegada para 04/11.
06/11: Não foi entregue ainda os novos kits. 2 Kits chegarão 11/11 e outros 2 no dia 25/11.
13/11:  Inicio da atividade no dia 17/11.
21/11: Troca em andamento. 
27/11: Finalizando a troca do HSS hoje. Previsão de retorno para hoje. </t>
  </si>
  <si>
    <t>JOA09-12</t>
  </si>
  <si>
    <t>Falha no gerador.</t>
  </si>
  <si>
    <t xml:space="preserve">11/09: Aguardando ida da Ecovis
25/09: Ecovis realizando o reparo. Previsão de retorno no dia 01/10.
02/10: Time Invenergy fechando o gerador. Previsão de retorno 03/10. Houve uma falha após retornar a turbina (falhas diferenças de fase e fuga pra terra). Troubleshooting sendo feito.
09/10: Máquina retornou a operar por 30 min e falho novamente. Ecovis está realizando o reparo da isolação hoje. Previsão de retorno 10/10.
16/10: Máquina retornou a operar e falhou novamente. Ecovis está realizando o reparo do wye ring novamente. Previsão de retorno 21/10.
23/10: Ecovis finalizou o reparo ontem e o time Invenergy está fazendo o fechamento do gerador. 
30/10: Identificado que não será possível realizar o reparo. Turbina em DT, aguardando a troca. 
04/12: Positivo concluiu o reparo do gerador. </t>
  </si>
  <si>
    <t>JOA15-08</t>
  </si>
  <si>
    <t>Desconfiguração de todas as engrenagens do estágio planetário.</t>
  </si>
  <si>
    <t xml:space="preserve">Aguardando MCE
27/11: Pós work em andamento. Previsão de conclusão 28/11.
04/12: Máquina retornou, porém, foi constatado uma falha no sistema de ALC que está sendo corrigida. </t>
  </si>
  <si>
    <t>JOA16-14</t>
  </si>
  <si>
    <t xml:space="preserve">Falha no gerador. </t>
  </si>
  <si>
    <t xml:space="preserve">Aguardando MCE
04/12: Troca foi finalizada ontem. Sendo feito o pós work. </t>
  </si>
  <si>
    <t>JOA07-13</t>
  </si>
  <si>
    <t>04/12: Reparo de blade sendo executado.</t>
  </si>
  <si>
    <t>11/09: Aguardando ida da Ecovis.
02/10: Ecovis iniciou os reparos dia 30/09.
09/10: Turbina retornou e operou por pouco tempo, vindo a falhar novamente durante a madrugada de hoje. Time Invenergy subiu hoje para reabrir o gerador para preparar para Ecovis. 
16/10: Ecovis reparou, porém, a máquina voltou a falhar, porém, durante testes não foram encontradas falhas no reparo. Estão fazendo a troca do slipring agora para buscar sanar a falha. 
23/10: Gerador foi reaberto para Ecovis fazer uma nova inspeção no reparo, porém, não foram encontrados danos. Seguiremos com o fechamento do gerador para continuação do troubleshooting. 
30/10: Time de campo realizando o troubleshooting de falha no gerador.
06/11: Time finalizando os testes (juntamente com a Ecovis) e será colocada em operação hoje.  
13/11: Máquina em DT (visivelmente não é possível ver o dano). Troubleshooting sendo realizado juntamente com o time do EUA. 
27/11: Time realizando abertura do gerador para inspeção da Positivo. 
04/12: Positivo realizando o reparo, previsão de retorno amanhã.</t>
  </si>
  <si>
    <t>JOA09-02</t>
  </si>
  <si>
    <t>Troca do HSS</t>
  </si>
  <si>
    <t>04/12: Troca do HSS em andamento.</t>
  </si>
  <si>
    <t>Falha do gerador.</t>
  </si>
  <si>
    <t xml:space="preserve">23/10: Time realizando o troubleshooting. 
30/10: Identificado danos nos cabos do gerador. Ecovis fez a inspeção e decretou DT.
13/11: Máquina em DT.
04/12: Positivo realizaou o reparo e equipe O&amp;M está fechando o gerador. </t>
  </si>
  <si>
    <t>JOA12-07</t>
  </si>
  <si>
    <t xml:space="preserve">Dano no barramento do gerador (posterior ao Wye Ring). </t>
  </si>
  <si>
    <t xml:space="preserve">Programado para execução com a Ecovis
10/07: Ecovis realizando o reparo.
17/07: Reparo feito, porém, a máquina voltou a falhar. Foi solicitado garantia à Ecovis. Ecovis em mobilização para o parque, com previsão de chegada no parque dia 17/07.
24/07: Após avaliação da Ecovis foi constatado que não é possível um novo reparo. Turbina em DT para MCE.
21/11: Chegou um gerador para essa máquina.
27/11: Positivo fez um reparo no gerador, porém, os cabos ficaram curtos e não encaixaram durante o fechamento do gerador. Com isso, foi solicitado o retorno da Positivo a máquina para correção. Equipe em turbina hoje. Segundo equipe de campo não foi feito nada diferente do que a Ecovis fazia. 
04/12: Sendo finalizada montagem da turbina, retorno a operação poderá ser hoje ainda.
11/12: Reparo realizado pela Positivo finalizado, pendente apenas corretiva.  </t>
  </si>
  <si>
    <t xml:space="preserve">11/12: Reparo de blade sendo executado.
18/12: Reparo de blade finalizado. </t>
  </si>
  <si>
    <t xml:space="preserve">18/12: Reparo de blade sendo executado. </t>
  </si>
  <si>
    <t>JOA12-10</t>
  </si>
  <si>
    <t>JOA10-13</t>
  </si>
  <si>
    <t xml:space="preserve">Aguardando MCE
13/11: Aguardando finalização na 12-06.
27/11: Troca em andamento. Inicio dia 24/11.
04/12: Troca finalizada, pós work sendo feito e desmontagem do guindaste principal. 
11/12: Pós work do MCE sendo realizado. 
18/12: Troubleshooting corretivo (comunicação do hub) sendo executado pelo time de O&amp;M. Incidência de L2 hoje. </t>
  </si>
  <si>
    <t>JOA09-01</t>
  </si>
  <si>
    <t>Falha da gearbox</t>
  </si>
  <si>
    <t xml:space="preserve">Aguardando MCE
04/12: Início da mobilização hoje. 
11/12: Pós work em andamento. 
18/12: Troubleshooting corretivo sendo executado (sensor da pastilha de freio). Incidência de L2 hoje. </t>
  </si>
  <si>
    <t>JOA05-04</t>
  </si>
  <si>
    <t>HSS</t>
  </si>
  <si>
    <t xml:space="preserve">18/12: Troca de HSS sendo executado. </t>
  </si>
  <si>
    <t xml:space="preserve">18/12: Sendo realizada a troca do yaw drive (apenas 1). Sendo trocado com o Liftra. </t>
  </si>
  <si>
    <t>Gerador e Yaw Drive</t>
  </si>
  <si>
    <t>04/09: Aguardando a ida da Ecovis para análise de viabilidade de reparo. 
11/09: Ecovis concluiu que não havia a possibilidade de reparo. Máquina segue em DT para MCE. 
18/09: Yaw drives foram canibalizados para retorno da JOA05-01.  Será feita tentativa de reparo uptower dos YDs.
02/10: Previsão de chegada do gerador para 21/11/25. Previsão de retonor em dez/25.
21/11: Chegou apenas um gerador, porém, será direcionado para a JOA12-17.
04/12: Reparo foi feito pela positivo. Porém, aguardando reposição do yaw drive. 
11/12: Yaw drives sendo removidos hoje, reposição será feita amanhã. Outras peças pendentes ainda. Aguardando entrega das peças faltantes. 
18/12: Yaw drives foram removidos e remontados. Outras peças (fusível de linha, banco de capacitor, cabo do motor de pitch, encoder do motor de pitch e etc) sendo repostas (removendo da turbina JOA16-09).</t>
  </si>
  <si>
    <t>JOA12-15</t>
  </si>
  <si>
    <t xml:space="preserve">08/01: Máquina parou hoje. Aguardando disposição e mobilização da Positivo.
15/01: Reparo foi finalizado ontem. Time Invenergy em máquina hoje realizando o fechamento do gerador. </t>
  </si>
  <si>
    <t>AUG04-01</t>
  </si>
  <si>
    <t xml:space="preserve">Reparo externo de blade. </t>
  </si>
  <si>
    <t>15/01: Durante atividade corretiva houve a queda de uma bateria para dentro da pá. Devido a isso foi necessário a abertura de uma janela na pá para remoção da bateria. Portanto, foi necessário reparo externo de blade. Prazo para finalização 17/01.</t>
  </si>
  <si>
    <t>JOA09-13</t>
  </si>
  <si>
    <t>Main bearing</t>
  </si>
  <si>
    <t>08/01: Parada programada para troca do main bearing. 
15/01: Troca em 35% de evolução. 
22/01: Troca finalizada. Sendo executada corretiva pelo time O&amp;M. 
29/01: Corretiva finalizada turbina em operação dia 27/01.</t>
  </si>
  <si>
    <t>JOA09-14</t>
  </si>
  <si>
    <t>22/01: Troca em andamento. 
29/01: Troca finalizada a turbina em operação dia 27/01.</t>
  </si>
  <si>
    <t>18/12: Aguardando realização de reparo uptower. 
08/01: Aguardando mobilização da Positivo para execução do reparo. Previsão de chegada no parque no dia 12/01/2026.
15/01: Positivo iniciou o reparo hoje.
22/01: Iniciado hoje o fechamento do gerador. Em adição, aguardando a chegada de parts (fusíveis, cabos e outros itens).
29/01: Turbina operou dia 28/01/2026.</t>
  </si>
  <si>
    <t>Substituição HSS</t>
  </si>
  <si>
    <t>22/01: Troca em andamento. 
29/01: Troca em andamento. Previsão para hoje.</t>
  </si>
  <si>
    <t>JOA11-01</t>
  </si>
  <si>
    <t>22/01: Reparo em andamento. Houve atraso devido a questionamentos de EHS por parte da Essentia na documentação dos técnicos da MegaWind + L2.
29/01: Reparo em andamento.</t>
  </si>
  <si>
    <t xml:space="preserve">08/01: Aguardando mobilização da Positivo. 
22/01: Positivo iniciando o reparo hoje. 
29/01: Finalizado reparo do wye ring. Inicio do fechamento do gerador dia 30/01.
05/02: Retornou hoje, porém, houve uma falha na WECA que não pode ser atendida ainda devido a L2. </t>
  </si>
  <si>
    <t>JOA01-11</t>
  </si>
  <si>
    <t>08/01: Reparo sendo executado pela Invenergy. 
15/01: Reparo em andamento. 
22/01: Reparo em andamento. Houve atraso devido a questionamentos de EHS por parte da Essentia na documentação dos técnicos da MegaWind + L2.
29/01: Reparo em andamento. 
05/02: Reparo em andamento, houve atraso devido a incidÊncia de L2.</t>
  </si>
  <si>
    <t>Troca do pitch bearing</t>
  </si>
  <si>
    <t>Pitch bearing</t>
  </si>
  <si>
    <t xml:space="preserve">29/01: Troca em andamento.
05/02: Aguardando retorno do grid para retorno a operação. Aguardando Essentia religar. </t>
  </si>
  <si>
    <t>AB04-11</t>
  </si>
  <si>
    <t>Substituição do rolamento traseiro do gerador</t>
  </si>
  <si>
    <t>12/02: Troca do rolamento traseiro do rolamento B do gerador em andamento.</t>
  </si>
  <si>
    <t>12/02: Reparo do wye ring executado pela positivo. Aguardando fechamento e comissionamento do gerador.</t>
  </si>
  <si>
    <t xml:space="preserve">05/02: Reparo em andamento. Previsão de retorno no dia 06/02, porém, o time retornará na segunda para realizar outro reparo.
12/02: Reparo em andamento. Previsão de retorno no dia 13/02. </t>
  </si>
  <si>
    <t>AB08-15</t>
  </si>
  <si>
    <t xml:space="preserve">12/02: Reparo de blade em andamento. </t>
  </si>
  <si>
    <t>29/01: Turbina fora de operação aguardando inspeção da Positivo.
05/02: Positivo iria iniciar as atividades hoje, porém, houve impacto devido a L2.
12/02: Positivo finalizou o reparo na segunda 09/02. Porém, aguardando chegada do kit 3x1 (talha manual) para içamento das ferramentas para remontagem do gerador. Previsão de início de montagem amanhã.
19/02: Sendo realizado o fechamento do gerador. Previsão de retorno inicial seria hoje 19/02, porém, houve impacto de L2. 
26/02: Finalizada a montagem do gerador e turbina em operação.</t>
  </si>
  <si>
    <t>AUG04-17</t>
  </si>
  <si>
    <t>Aguardando MCE
04/12: Previsão de inicio da troca 15/12. Condenada pela positivo também. 
11/12: Set de yaw drives já chegaram. Porém, aguardando a chegada do gerador. 
08/01: Aguardando a chegada do gerador. Chegada do gerador prevista para o dia 15/02.
22/01: Chegada em 26/01. Avaliando-se para qual turbina será direcionada. 
29/01: gerador em site aguardando mobilização do guindaste.
05/02: Troca em andamento.
12/02: Em processo de montagem das peças faltantes. Previsão de retorno 12/02.
19/02: Turbina em corretiva. Sendo realizado o troubleshooting de comunicação no hub. Previsão inicial seria hoje 19/02, porém, houve impacto de L2. 
26/02: Finalizada a troca dos componentes</t>
  </si>
  <si>
    <t>AUG03-05</t>
  </si>
  <si>
    <t>Parada para troca da Gearbox (turbina previamente em operação)</t>
  </si>
  <si>
    <t xml:space="preserve">05/02: Turbina fora de operação para a troca do grande componente.
12/02: Sendo realizada a montagem do Liftra. Houve um atraso devido à problemas de vazamento no Liftra. Aguardando a chegada de óleo para ser utilizado no guindaste. Óleo chegou e já conseguimos subir o guindaste.
19/02: Atividade em andamento. Hoje deve ocorrer o içamento da gearbox nova e da capota.  
26/02: Capota fechada, gearbox sendo preenchida com óleo. Liftra sendo desmontado. Houve atraso devido a alto impacto de L2. Pós work em andamento. </t>
  </si>
  <si>
    <t>AUG04-02</t>
  </si>
  <si>
    <t>Troca de rolamento de pitch (turbina previamente em operação)</t>
  </si>
  <si>
    <t xml:space="preserve">12/02: Troca de pitch bearing em andamento. 
19/02: Troca em andamento. 
26/02: Descida da terceira blade realizada ontem. Houve atraso devido ao alto impacto de L2. </t>
  </si>
  <si>
    <t>JOA05-06</t>
  </si>
  <si>
    <t xml:space="preserve">
19/02: Reparo de blade em andamento.
26/02: Reparo em andamento. Houve atraso devido ao alto impacto de L2. 
06/03: Reparo em andamento. Previsão de retorno hoje.</t>
  </si>
  <si>
    <t>JOA05-13</t>
  </si>
  <si>
    <t xml:space="preserve">12/02: Reparo de blade em andamento. 
19/02: Reparo em andamento
26/02: Reparo em andamento. Houve atraso devido ao alto impacto de L2. 
06/03: Finalizado o reparo de blade hoje. Corretiva em execução corretiva. </t>
  </si>
  <si>
    <t>JOA05-02</t>
  </si>
  <si>
    <t xml:space="preserve">Troca de pitch bearing. </t>
  </si>
  <si>
    <t xml:space="preserve">06/03: Troca de pitch bearing em andamento. 
12/03: Previsão de retorno amanhã. Será executado pós work para operação. Houve impacto devido a L2. </t>
  </si>
  <si>
    <t xml:space="preserve">12/03: Reparo de blade sendo executado. Previsão de retorno amanhã. </t>
  </si>
  <si>
    <t xml:space="preserve">12/03: Troca do pitch bearing em andamento.
19/03: Turbina já energizada. Previsão de retorno hoje. </t>
  </si>
  <si>
    <t>AB04-04</t>
  </si>
  <si>
    <t>19/03: Reparo de blade em andamento.</t>
  </si>
  <si>
    <t xml:space="preserve">Troca de gearbox com Liftra. </t>
  </si>
  <si>
    <t xml:space="preserve">06/03: Sendo realizada a troca da gearbox com o Liftra.
12/03: Sendo realizada a descida do LT1200. 
19/03: Finalizando o pós-work. </t>
  </si>
  <si>
    <t>JOA01-14</t>
  </si>
  <si>
    <t>Yaw drive.</t>
  </si>
  <si>
    <t xml:space="preserve">19/03: Turbina parada devido a quebra do yaw drive. </t>
  </si>
  <si>
    <t>AB06-03</t>
  </si>
  <si>
    <t>Danos no main bearing.</t>
  </si>
  <si>
    <t xml:space="preserve">19/02: Foram identificadas quebras das bordas do rolamento e danos avançados na pista externa, com isso foi recomendada a parada da máquina para troca. Aguardando MCE. Início previsto para 16/03.
19/03: Substituição em andamento. 
</t>
  </si>
  <si>
    <t>06/03: Reparo de blade iniciado hoje. 
12/03: Previsão de rotorno amanhã. 
19/03: Previsão de finalização 20/03.
26/03: Reparo em andamento. Houve impacto na operação devido a L2.</t>
  </si>
  <si>
    <t>19/03: Reparo de blade em andamento. Previsão de retorno 20/03.</t>
  </si>
  <si>
    <t>AB07-14</t>
  </si>
  <si>
    <t>26/03: Reparo de blade em andamento.</t>
  </si>
  <si>
    <t>AB05-12</t>
  </si>
  <si>
    <t>JOA 09-09</t>
  </si>
  <si>
    <t>Troca de gearbox (Liftra)</t>
  </si>
  <si>
    <t xml:space="preserve">26/03: Troca em andamento. </t>
  </si>
  <si>
    <t>JOA 01-12</t>
  </si>
  <si>
    <t>15/01: Aguardando reparo da Positivo.
22/01: Positivo avaliou os danos e constatou que não há possibilidade de reparo. Aguardando MCE. 
29/01: Aguardando MCE.
26/02: Inicio das atividades previsto para 12/03.
06/03: S/ atualizações
12/03: S/ atualizações. Início planejado para 18/03. Gerador já está disponível em site. 
19/03: MCE está em andamento. 
26/03: MCE finalizado. Porém, o novo gerador veio sem a isolação dos cabos do slipring. Engenharia avaliando juntamente do time de campo. 
02/04: Segue parada devido a troubleshooting de baterias. Temos tido impacto de L2.</t>
  </si>
  <si>
    <t>AB06-13</t>
  </si>
  <si>
    <t>Troca gearbox e main bearing</t>
  </si>
  <si>
    <t>Gearbox+MAIN BEARING</t>
  </si>
  <si>
    <t xml:space="preserve">26/03: Troca da gearbox em andamento. Mobilização e montagem do guindaste em andamento. TROCA CONJUNTA DE GEARBOX E MAIN BEARING
04/02: Substituição da gearbox realizada. Próximo passo desmontagem do guindaste.  </t>
  </si>
  <si>
    <t>02/04: Reparo de blade em andamento.</t>
  </si>
  <si>
    <t>Troca Yaw Drive</t>
  </si>
  <si>
    <t xml:space="preserve">09/04: Troca do yaw drive com Liftra em andamento. </t>
  </si>
  <si>
    <t>JOA 15-02</t>
  </si>
  <si>
    <t xml:space="preserve">02/04: Reparo de blade finalizado. Troubleshooting em andamento. 
09/04: Reparo de blade em andamento. 
</t>
  </si>
  <si>
    <t>Troubleshooting Q1</t>
  </si>
  <si>
    <t>O&amp;M</t>
  </si>
  <si>
    <t xml:space="preserve">09/04: Após retorno de MCE (gerador) a máquina operou por algumas horas mas veio a parar devido a falha do Q1. Time está em máquina hoje instalando o Q1 ABB. 
16/04: Q1 instalado. </t>
  </si>
  <si>
    <t>Falha no gerador. Cabos de relead</t>
  </si>
  <si>
    <t xml:space="preserve">02/04: Essentia está alinhando com a Positivo para execução do reparo na próxima semana. 
09/04: Time Positivo iniciou os trabalhos ontem para validar a possibilidade de reparo. </t>
  </si>
  <si>
    <t xml:space="preserve">09/04: Reparo de blade em andamento. </t>
  </si>
  <si>
    <t>02/04: Aparente falha no jumper de uma bobina. Positivo deverá retornar a essa máquina em carater de garantia. 
09/04: Aguardando finalização da positivo na JOA03-07.
16/04: Positivo finalizou serviço no dia 14/04/26.</t>
  </si>
  <si>
    <t>JOA05-11</t>
  </si>
  <si>
    <t xml:space="preserve">Troca de Main bearing. </t>
  </si>
  <si>
    <t xml:space="preserve">26/03: Troca em andamento.
04/02: Temos tido alguns problemas de encaixe do spider no rotor para realizar a sua remoção.
09/04: Substituição do rolamento em andamento.  
16/04: Pós work em andamento. </t>
  </si>
  <si>
    <t xml:space="preserve">16/04: Reparo de blade em andamento. </t>
  </si>
  <si>
    <t>JOA10-16</t>
  </si>
  <si>
    <t>Troca de gearbox.</t>
  </si>
  <si>
    <t xml:space="preserve">16/04: Troca da gearbox em andamento. </t>
  </si>
  <si>
    <t>AB05-03</t>
  </si>
  <si>
    <t>Troca de Main bearing + Gearbox</t>
  </si>
  <si>
    <t>Main Bearing e Gearbox</t>
  </si>
  <si>
    <t xml:space="preserve">09/04: Troca em andamento. </t>
  </si>
  <si>
    <t>JOA01-07</t>
  </si>
  <si>
    <t>23/04: Turbina em reparo de blade
30/04: Previsão de retorno para hoje</t>
  </si>
  <si>
    <t>16/04: Troca de main bearing em andamento. 
30/04: Startup da turbina em andamento.</t>
  </si>
  <si>
    <t>Reparo da fixação do pillow block</t>
  </si>
  <si>
    <t xml:space="preserve">30/04: TechEnd realizando o reparo.
07/05: TechEnd finalizou reparo hoje.  </t>
  </si>
  <si>
    <t>23/04: Turbina havia retornado a operação em 17/04, porém foi parada novamente para continuidade dos reparos.
30/04: Previsão de retorno para hoje
07/05: Continuidade dos reparos.</t>
  </si>
  <si>
    <t>ASB07-10</t>
  </si>
  <si>
    <t>Falha de motor de pitch - limitação de acesso devido a linha de vida</t>
  </si>
  <si>
    <t xml:space="preserve">07/05: Turbina segue parada com limitação de acesso devido a reprovação da linha de vida pela certificadora. </t>
  </si>
  <si>
    <t xml:space="preserve">07/05: Reparo de pá sendo executado. </t>
  </si>
  <si>
    <t>ASB04-08</t>
  </si>
  <si>
    <t>Troca de Main bearing. Reutilizado AB05-03</t>
  </si>
  <si>
    <t xml:space="preserve">16/04: Troca de main bearing em andamento. 
07/05: Desmontagem do guindaste em andamento. </t>
  </si>
  <si>
    <t>JOA10-01</t>
  </si>
  <si>
    <t xml:space="preserve">Troca de gearbox. </t>
  </si>
  <si>
    <t>07/05: Troca sendo executada com o Liftra.</t>
  </si>
  <si>
    <t xml:space="preserve">Falha Wye Ring. </t>
  </si>
  <si>
    <t>14/05: Aguardando mobilização da positivo para verificação da viabilidade do reparo uptower. Previsão de mobilização para 18/05. 
21/05: Positivo executando o reparo. Previsão de retorno dia 22/05.</t>
  </si>
  <si>
    <t xml:space="preserve">14/05: Reparo de pá sendo executado. 
21/05: Reparo sendo executado ainda. </t>
  </si>
  <si>
    <t>JOA15-02</t>
  </si>
  <si>
    <t>Pitch Bearing / Blade</t>
  </si>
  <si>
    <t>MCE / UPTOWER REPAIR</t>
  </si>
  <si>
    <t xml:space="preserve">07/05: Troca em andamento.
14/05: Troca em andamento. 
28/05: Após finalização do MCE foi identificada uma trinca na blade, a qual já está sendo reparada. </t>
  </si>
  <si>
    <t>ASB07-11</t>
  </si>
  <si>
    <t>Gearbox e Main Bearing</t>
  </si>
  <si>
    <t xml:space="preserve">14/05: Troca em andamento. </t>
  </si>
  <si>
    <t>Falha no Wye Ring. Seguiremos com a troca do gerador.</t>
  </si>
  <si>
    <t>30/04: Aguardando mobilização da Positivo.
07/05: Essentia decidiu realizar a troca do gerador.  Será utilizado um gerador de Asa Branca.
14/05: Troca em andamento. Será utilizado um gerador de Asa Branca. Previsão de chegada em 15/05.</t>
  </si>
  <si>
    <t xml:space="preserve">14/05: Reparo de pá sendo executado. 
21/05: Reparo sendo executado ainda. É esperado um atraso devido ao furto das ferramentas do time da MegaWind. </t>
  </si>
  <si>
    <t>Motor de pitch danificado</t>
  </si>
  <si>
    <t>Pitch Motor</t>
  </si>
  <si>
    <t xml:space="preserve">28/05: Aguardando a chegada do motor de pitch. </t>
  </si>
  <si>
    <t>Yaw Drive danificado</t>
  </si>
  <si>
    <t xml:space="preserve">28/05: Aguardando de acordo da Essentia para definirmos a estratégia de troca e retorno a operação. </t>
  </si>
  <si>
    <t>JOA01-03</t>
  </si>
  <si>
    <t>28/05: Troca em andamento.</t>
  </si>
  <si>
    <t>AUG03-08</t>
  </si>
  <si>
    <t>Troca da gearbox</t>
  </si>
  <si>
    <t>28/05: Troca em andamento.
18/06: Equipe realizando pós work.</t>
  </si>
  <si>
    <t xml:space="preserve">Dano generalizado no estator. </t>
  </si>
  <si>
    <t>11/06: Aguardando MCE. Pré - work se iniciando amanhã. Será feita a troca com guindaste. 
18/06: Equipe aguardando guindaste ser reparado. Guindaste reparado previsão de operação em 19/06.</t>
  </si>
  <si>
    <t>JOA07-02</t>
  </si>
  <si>
    <t>Falha do WyeRing</t>
  </si>
  <si>
    <t xml:space="preserve">25/06: Equipe positivo realizando inspeção. </t>
  </si>
  <si>
    <t>AUG03-14</t>
  </si>
  <si>
    <t>Yaw drive danificado</t>
  </si>
  <si>
    <t xml:space="preserve">02/07: Turbina em atendimento. Será retornada com apenas 03 yaw drives. </t>
  </si>
  <si>
    <t xml:space="preserve">28/05: Aguardando de acordo da Essentia para definirmos a estratégia de troca e retorno a operação. 
11/06: Após falha de um segundo yaw drive a turbina foi mantida em DT para posterior troca com o Liftra. 
18/06: Turbina em DT aguardando mob do liftra
25/06: Troca em andamento. </t>
  </si>
  <si>
    <t>Troca de HSS</t>
  </si>
  <si>
    <t xml:space="preserve">02/07: Troca de HSS em andamento. </t>
  </si>
  <si>
    <t>JOA13-08</t>
  </si>
  <si>
    <t>UPTOWER</t>
  </si>
  <si>
    <t xml:space="preserve">10/07: Troca de HSS em andamento. </t>
  </si>
  <si>
    <t>Reparo Pitch Bearing</t>
  </si>
  <si>
    <t xml:space="preserve">16/07: Now executando o reparo da cremalheira de pitch. Finalizando uma axis. Essentia solicitou a inclusão dessa atividade como espaço confinado. </t>
  </si>
  <si>
    <t>JOA09-11</t>
  </si>
  <si>
    <t>Falha Cabo do relead</t>
  </si>
  <si>
    <t xml:space="preserve">10/07: Aguardando mobilização da Positivo. Chegaram hoje ao parque. Positivo inspecionando hoje. 
16/07: Time Invenergy realizando o fechamento do gerador. </t>
  </si>
  <si>
    <t>JOA13-03</t>
  </si>
  <si>
    <r>
      <rPr>
        <strike/>
        <sz val="11"/>
        <color theme="1"/>
        <rFont val="Aptos Narrow"/>
        <family val="2"/>
        <scheme val="minor"/>
      </rPr>
      <t>UPTOWER REPAIR</t>
    </r>
    <r>
      <rPr>
        <sz val="11"/>
        <color theme="1"/>
        <rFont val="Aptos Narrow"/>
        <family val="2"/>
        <scheme val="minor"/>
      </rPr>
      <t xml:space="preserve"> MCE</t>
    </r>
  </si>
  <si>
    <t xml:space="preserve">11/06: Aguardando disposição. 
18/06: Gerador inspecionado pela Positivo e condenado. Gerador adicionado na campanha para troca completa. Definição de troca com liftra.
25/06: Aguardando o Liftra.
10/07: Troca em andamento. </t>
  </si>
  <si>
    <t>JOA04-10</t>
  </si>
  <si>
    <t>Falha de WyeRing</t>
  </si>
  <si>
    <t xml:space="preserve">10/07: Aguardando mobilização da Positivo. Será realizada após a JOA09-11.
16/07: Positivo realizando avaliação do gerador. </t>
  </si>
  <si>
    <t xml:space="preserve">16/07: Now executando o reparo da cremalheira de pitch. 
23/07: Now finalizando a terceira axis. </t>
  </si>
  <si>
    <t>AUG05-01</t>
  </si>
  <si>
    <t xml:space="preserve">16/07: Aguardando a disposição de engenharia.
23/07: Positivo realizando o reparo. 
</t>
  </si>
  <si>
    <t>Parada para troca do wye ring proativa</t>
  </si>
  <si>
    <t>30/07: Parada da máquina para realização de troca proativa do wyering.</t>
  </si>
  <si>
    <t xml:space="preserve">30/07: Now executando o reparo da cremalheira de pitch. 
06/08: Sendo executado reparo na axis 2. </t>
  </si>
  <si>
    <t>Falha de 2º Yaw Drive</t>
  </si>
  <si>
    <t xml:space="preserve">06/08: Falha no segundo YD dessa máquina. Aguardando desmontagem do 4º estágio para troca deste. </t>
  </si>
  <si>
    <t>JOA16-12</t>
  </si>
  <si>
    <t xml:space="preserve">06/08: Positivo realizando o reparo. </t>
  </si>
  <si>
    <t>Possível falha de Yaw Drives (DriveMec)</t>
  </si>
  <si>
    <t xml:space="preserve">16/07: Necessário troubleshooting para avaliação de possível falha de 03 yaw drives (reparados pela DriveMec).
23/07: Aguardando devolutiva da Essentia para definição da estratégia a ser seguida. 
30/07: Aguardando finalização da JOA16-16 para utilização do guindaste auxiliar.
06/08: Descida do ramal realizada.
13/08: Realizada a troca dos redutores. Inspeções finais sendo realizadas. </t>
  </si>
  <si>
    <t>AB08-02</t>
  </si>
  <si>
    <t xml:space="preserve">30/07: Now executando o reparo da cremalheira de pitch. 
06/08: Sendo executado reparo na axis 2. 
13/08: Sendo finalizado reparo na axis 3. </t>
  </si>
  <si>
    <t>JOA12-03</t>
  </si>
  <si>
    <t>Colapso de Blade</t>
  </si>
  <si>
    <t>Falha de Yaw Drive</t>
  </si>
  <si>
    <t xml:space="preserve">13/08: Sendo realizado troubleshooting da falha. </t>
  </si>
  <si>
    <t xml:space="preserve">Falha do gerador. </t>
  </si>
  <si>
    <t>06/08: Sendo executada a abertura do gerador para troubleshooting. 
13/08: Gerador necessitará de troca. Iniciado pré-work hoje.</t>
  </si>
  <si>
    <t>Falha de Main Bearing</t>
  </si>
  <si>
    <t xml:space="preserve">16/07: Aguardando de acordo da Essentia para planejamento da troca. 
23/07: Iniciado o procedimento de troca. 
30/07: Iniciando a descida do rotor. 
06/08: Substituição em andamento. 
13/08: Em processo de desmontagem do cabriolet. </t>
  </si>
  <si>
    <t>Reparo cremalheira pitch</t>
  </si>
  <si>
    <t xml:space="preserve">13/08: Now Solutions executando o reparo. </t>
  </si>
  <si>
    <t>AUG05-09</t>
  </si>
  <si>
    <t>Colapso de Acoplamento</t>
  </si>
  <si>
    <t>Acoplamento</t>
  </si>
  <si>
    <t xml:space="preserve">13/08: Colapso de acoplamento flexível. Sendo realizado corretiva da falha. </t>
  </si>
  <si>
    <t>JOA11-13</t>
  </si>
  <si>
    <t>Falha do Wye Ring</t>
  </si>
  <si>
    <t>20/08: Positivo finalizando reparo.</t>
  </si>
  <si>
    <t>JOA12-01</t>
  </si>
  <si>
    <t>Reparo de WyeRing</t>
  </si>
  <si>
    <t xml:space="preserve">27/08: Positivo executando o reparo. </t>
  </si>
  <si>
    <t xml:space="preserve">27/08: Sendo executado reparo na cremalheira do pitch pela Now Solutions. </t>
  </si>
  <si>
    <t xml:space="preserve">30/07: Houve o rompimento da gearbox. Troca será realizada pelo Liftra após finalização na JOA16-16.
20/08: Troca em andamento. Montagem do guindaste leve. 
27/08: Desmontagem do guindaste leve em andamento. </t>
  </si>
  <si>
    <t>JOA11-16</t>
  </si>
  <si>
    <t>27/08: Aguardando finalização do serviço na JOA11-16.</t>
  </si>
  <si>
    <t>JOA15-03</t>
  </si>
  <si>
    <t>18/07/2025</t>
  </si>
  <si>
    <t>25/06/2026</t>
  </si>
  <si>
    <t xml:space="preserve">18/06: Equipe positivo realizando inspeção. Aguardando parecer técnico para seguir com o reparo.
25/06: Positivo finalizou o reparo. Equipe Invenergy realizando o fechamento do gerador. </t>
  </si>
  <si>
    <t xml:space="preserve"> </t>
  </si>
  <si>
    <t>Pendente</t>
  </si>
  <si>
    <t xml:space="preserve">Reparo de Blade. </t>
  </si>
  <si>
    <t>Reparo sendo realizado.</t>
  </si>
  <si>
    <t>JOA16-05</t>
  </si>
  <si>
    <t>JOA09-09</t>
  </si>
  <si>
    <t>Reparo de Blade. Dano CAT5.</t>
  </si>
  <si>
    <t>Reparo de Blade.</t>
  </si>
  <si>
    <t>JOA05-15</t>
  </si>
  <si>
    <t>JOA15-04</t>
  </si>
  <si>
    <t>Verificar ICC</t>
  </si>
  <si>
    <t>AB08-03</t>
  </si>
  <si>
    <t>Danos na pista externa do pitch bearing. EQUIPAMENTO SUBSTITUÍDO</t>
  </si>
  <si>
    <t xml:space="preserve">Aguardando finalização das inspeções para disposição da engenharia. </t>
  </si>
  <si>
    <t xml:space="preserve">03/09: Positivo executando o reparo. 
10/09: Positivo finalizando a atividade. </t>
  </si>
  <si>
    <t>JOA01-02</t>
  </si>
  <si>
    <t>AB07-20</t>
  </si>
  <si>
    <t xml:space="preserve">10/09: Sendo executado reparo na cremalheira do pitch pela Now Solutions. </t>
  </si>
  <si>
    <t>AUG03-06</t>
  </si>
  <si>
    <t>Troca de gearbox</t>
  </si>
  <si>
    <t>10/09: Troca da gearbox em andamento.</t>
  </si>
  <si>
    <t>WTGs paradas</t>
  </si>
  <si>
    <t>2025</t>
  </si>
  <si>
    <t>2026</t>
  </si>
  <si>
    <t>01</t>
  </si>
  <si>
    <t>02</t>
  </si>
  <si>
    <t>03</t>
  </si>
  <si>
    <t>04</t>
  </si>
  <si>
    <t>05</t>
  </si>
  <si>
    <t>06</t>
  </si>
  <si>
    <t>07</t>
  </si>
  <si>
    <t>08</t>
  </si>
  <si>
    <t>09</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</si>
  <si>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</si>
  <si>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</si>
  <si>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</si>
  <si>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</si>
  <si>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</si>
  <si>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</si>
  <si>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</si>
  <si>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</si>
  <si>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</si>
  <si>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</si>
  <si>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</si>
  <si>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</si>
  <si>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</si>
  <si>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</si>
  <si>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</si>
  <si>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</si>
  <si>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</si>
  <si>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</si>
  <si>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</si>
  <si>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</si>
  <si>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</si>
  <si>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</si>
  <si>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</si>
  <si>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</si>
  <si>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</si>
  <si>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</si>
  <si>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</si>
  <si>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</si>
  <si>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</si>
  <si>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</si>
  <si>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</si>
  <si>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</si>
  <si>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</si>
  <si>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</si>
  <si>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</si>
  <si>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</si>
  <si>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46</t>
  </si>
  <si>
    <t>47</t>
  </si>
  <si>
    <t>48</t>
  </si>
  <si>
    <t>49</t>
  </si>
  <si>
    <t>50</t>
  </si>
  <si>
    <t>51</t>
  </si>
  <si>
    <t>52</t>
  </si>
  <si>
    <t>Stopped Turbines +7 days - Auren</t>
  </si>
  <si>
    <t>Quantidade de turbinas paradas - Auren</t>
  </si>
  <si>
    <t>Alto Sertão 2</t>
  </si>
  <si>
    <t>Caetés</t>
  </si>
  <si>
    <t>ALTO SERTÃO 2</t>
  </si>
  <si>
    <t>CAETÉS</t>
  </si>
  <si>
    <t>EBR04-15</t>
  </si>
  <si>
    <t>Troca Pitch Bearing</t>
  </si>
  <si>
    <t xml:space="preserve">16/07: Máquina parada para troca de pitch bearing. Responsabilidade Auren. </t>
  </si>
  <si>
    <t>EBR07-12</t>
  </si>
  <si>
    <t xml:space="preserve">16/07: Máquina parada para reparo de blades. Responsabilidade Auren.
23/07: Reparo em andamento. 
30/07: Sem previsão de retorno ainda.
10/09: Auren finalizando o reparo. </t>
  </si>
  <si>
    <t>PIL-18</t>
  </si>
  <si>
    <t xml:space="preserve">16/07: Falha de Main Bearing. Aguardando troca do componente. Em avaliação possibilidade de troca com FSO Invenergy. 
23/07: Invenergy contratada para troca. Previsão de guindaste operacional dia 17/08.
13/08: Guindaste só estará operacional a partir do dia 25/08 (info Auren). 
20/08: Mobilização do guindaste em andamento.
27/08: Montagem de guindaste em andamento.
10/09: Troca em andamento. </t>
  </si>
  <si>
    <t>EBR06-08</t>
  </si>
  <si>
    <t>Falha no Pitch Bearing</t>
  </si>
  <si>
    <t xml:space="preserve">30/07: Falha no pitch bearing devido a danos internos. Previsão de retorno no início de set/26.
13/08: Auren se planejando para realização da troca.
10/09: Troca será feita com o time de Field Services. </t>
  </si>
  <si>
    <t>DOU-10</t>
  </si>
  <si>
    <t>Falha de Gerador</t>
  </si>
  <si>
    <t xml:space="preserve">06/08: Disposição de troca da engenharia Invenergy. 
13/08: Auren executou seus próprios testes em campo e também concluiu para a troca do gerador. 
10/09: Aguardando a Auren realizar a troca. </t>
  </si>
  <si>
    <t>EBR02-13</t>
  </si>
  <si>
    <t>Troca de rolamento de HSS</t>
  </si>
  <si>
    <t xml:space="preserve">16/07: Troca de rolamento HSS em andamento - time Invenergy. </t>
  </si>
  <si>
    <t>PEL-03</t>
  </si>
  <si>
    <t>Troca de Gearbox</t>
  </si>
  <si>
    <t xml:space="preserve">16/07: Troca de gearbox em andamento. </t>
  </si>
  <si>
    <t>EBR04-14</t>
  </si>
  <si>
    <t>16/07: Troca de rolamento HSS em andamento - time Invenergy. 
30/07: Previsão de retorno dia 31/07.
06/08: Finalizado</t>
  </si>
  <si>
    <t>PEL-01</t>
  </si>
  <si>
    <t xml:space="preserve">Falha da fixação do bus bar </t>
  </si>
  <si>
    <t>Torre</t>
  </si>
  <si>
    <t xml:space="preserve">23/07: Máquina apresenta falha de Yaw Runaway, porém, não é possível atender devido a um dano na fixação do bus bar, o que impede asubida de forma segura à máquina. Tech End fará a correção. Início das atividades ocorrerá em 24/07.
30/07: Tech End realizando os reparos ainda.
06/08: Máquina rodando com 03 YDs </t>
  </si>
  <si>
    <t>PEL-06</t>
  </si>
  <si>
    <t>06/08: Auren realizando troca do HSS.</t>
  </si>
  <si>
    <t>AMT-02</t>
  </si>
  <si>
    <t xml:space="preserve">16/07: Aguardando mobilização da Positivo. Realizando treinamento de brigada de incêndio.
23/07: Previsão de mobilização da Positivo para semana que vem (28/07). 
30/07: Positivo iniciará o serviço amanhã.
06/08: Positivo trocando cabos do relead.
10/08:Troca dos cabos do relead e reparo do wye ring finalizado no dia 10/08.
11/08: Realizada a isolação dos cabos do slipring e retirada de ferramental e conclusão da cura da resina. WTG em operação. Houve recorrência de falha na sequência.
12/08: Identificado cabo da AEBI em curto, substituído cabo e placa. WTG em operação e houve nova falha. Em troubleshooting em máquina identificou IGBTs estourados.
13/08: Time em turbina para finalizar troubleshooting. Aguardando finalização para retorno a operação. </t>
  </si>
  <si>
    <t>EBR04-09</t>
  </si>
  <si>
    <t xml:space="preserve">Falha no Gerador. </t>
  </si>
  <si>
    <t xml:space="preserve">13/08: Identificado falhas nos cabos do relead. Aguardando mobilização da Positivo. Previsão de mobilização para essa semana. </t>
  </si>
  <si>
    <t>Falha no gerador</t>
  </si>
  <si>
    <t xml:space="preserve">12/08: Realizados testes e identificado danos no wye ring (12/08).
13/08: SS813. Aguardando finalização da abertura do gerador para confirmação do modo de falha. 
20/08: Aguardando mobilização da positivo (prevista para terça - 25/08).
27/08: Positivo realizou a inspeção e recomendou a troca. Aguardando devolutiva da Auren. </t>
  </si>
  <si>
    <t>CAE-10</t>
  </si>
  <si>
    <t>Falha do pitch drive</t>
  </si>
  <si>
    <t>Pitch Drive</t>
  </si>
  <si>
    <t xml:space="preserve">20/08: Previsão de chegada do hub crane no parque e início da atividade no dia 23/08.
27/08: Troca sendo realizada. </t>
  </si>
  <si>
    <t>BOR-04</t>
  </si>
  <si>
    <t>Troca do rolamento HSS</t>
  </si>
  <si>
    <t xml:space="preserve">20/08: Auren executando troca do rolamento do HSS. </t>
  </si>
  <si>
    <t>EBR01-02</t>
  </si>
  <si>
    <t xml:space="preserve">27/08: Invenergy executando troca do rolamento do HSS. </t>
  </si>
  <si>
    <t>MAR-12</t>
  </si>
  <si>
    <t xml:space="preserve">10/09: Aguardando mobilização da Positivo. </t>
  </si>
  <si>
    <t>EBR06-02</t>
  </si>
  <si>
    <t>EBR05-13</t>
  </si>
  <si>
    <t>Colapso da gearbox</t>
  </si>
  <si>
    <t>Falha de gerador</t>
  </si>
  <si>
    <t xml:space="preserve">10/09: Positivo executando o reparo no barramento. </t>
  </si>
  <si>
    <t>Soma de Total</t>
  </si>
  <si>
    <t>CAE</t>
  </si>
  <si>
    <t>AS2</t>
  </si>
  <si>
    <t>Start Date</t>
  </si>
  <si>
    <t># Turbines</t>
  </si>
  <si>
    <t>YTD Available Hours</t>
  </si>
  <si>
    <t>YTD Unvavailability of Stopped Turbines</t>
  </si>
  <si>
    <t>Rodando - Monitoramento</t>
  </si>
  <si>
    <t xml:space="preserve">Danos na pista externa do pitch bearing. </t>
  </si>
  <si>
    <t>Subsistema</t>
  </si>
  <si>
    <t>(Tudo)</t>
  </si>
  <si>
    <t>Soma de jan-25</t>
  </si>
  <si>
    <t>Soma de fev-25</t>
  </si>
  <si>
    <t>Soma de mar-25</t>
  </si>
  <si>
    <t>Soma de abr-25</t>
  </si>
  <si>
    <t>Soma de mai-25</t>
  </si>
  <si>
    <t>Soma de jun-25</t>
  </si>
  <si>
    <t>Soma de jul-25</t>
  </si>
  <si>
    <t>Soma de ago-25</t>
  </si>
  <si>
    <t>Soma de set-25</t>
  </si>
  <si>
    <t>JOA04-07</t>
  </si>
  <si>
    <t>Falha de gearbox</t>
  </si>
  <si>
    <t xml:space="preserve">17/09: Falha do estágio planetário da gearbox. Aguardando troca. </t>
  </si>
  <si>
    <t>JOA16-15</t>
  </si>
  <si>
    <t>Falha do gerador</t>
  </si>
  <si>
    <t xml:space="preserve">17/09: Falha do gerador que necessitará de troca. </t>
  </si>
  <si>
    <t>10/09: Aguardando mobilização da positivo da JOA09-11 para esta máquina. 
17/09: Atividade será finalizada em 21/09.</t>
  </si>
  <si>
    <t xml:space="preserve">10/09: Auren solicitou a parada da máquina devido a falha do planetário. 
17/09: Troca finalizada. </t>
  </si>
  <si>
    <t xml:space="preserve">10/09: Houve o colapso da gearbox.
17/09: Auren mobilizando para troca. Previsão de finalização da atividade na semana que vem. Atividade será realizada com Liftra. </t>
  </si>
  <si>
    <t xml:space="preserve">10/07: Investigação e plano de atendimento em planejamento e estruturação. 
16/07: Aguardando janela de vento para intervenção na máquina e quebra dos pedaços da pá restantes.
23/07: Foi realizada primeira intervenção e identificado danos da torre e falha de ping test em algumas juntas. Segundo atendimento em andamento. 
30/07: Em processo de contratação de empresa para realização de ensaio de ultrassom na torre. 
06/08: Aguardando mobilização da TechWind ao parque. 
13/08: TechWind mobilizada. Atividades iniciadas hoje. 
20/08: Atividades finalizadas, aguardando envio do relatório. 
27/08: Aguardando cotação de reparo pela TechWind.
03/09: Sendo executada a corretiva para posicionamento do rotor e posteriro quebra da pá.
10/09: Pá sendo posicionada em 6h para corretiva em pitch. 
17/09: Amanhã será realizada a remoção do toco da pá. 
24/09: Aguardando para realizar a descida das 2 blades. </t>
  </si>
  <si>
    <t>AB08-19</t>
  </si>
  <si>
    <t>Reparo da cremalheira do pitch</t>
  </si>
  <si>
    <t>24/09: Reparo da cremalheira sendo executado pela Now Solutions.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</si>
</sst>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d/m/yy\ h:mm;@"/>
    <numFmt numFmtId="165" formatCode="0.000%"/>
    <numFmt numFmtId="166" formatCode="0.0"/>
    <numFmt numFmtId="167" formatCode="[$-416]mmm\-yy;@"/>
  </numFmts>
  <fonts count="28" x14ac:knownFonts="1">
    <font>
      <sz val="11"/>
      <color theme="1"/>
      <name val="Aptos Narrow"/>
      <family val="2"/>
      <scheme val="minor"/>
    </font>
    <font>
      <b/>
      <sz val="11"/>
      <color theme="0"/>
      <name val="Aptos Narrow"/>
      <family val="2"/>
      <scheme val="minor"/>
    </font>
    <font>
      <sz val="11"/>
      <color theme="1"/>
      <name val="Calibri"/>
      <family val="2"/>
    </font>
    <font>
      <sz val="11"/>
      <name val="Aptos Narrow"/>
      <family val="2"/>
      <scheme val="minor"/>
    </font>
    <font>
      <b/>
      <sz val="16"/>
      <color theme="0"/>
      <name val="Aptos Narrow"/>
      <family val="2"/>
      <scheme val="minor"/>
    </font>
    <font>
      <sz val="11"/>
      <color rgb="FFFF0000"/>
      <name val="Aptos Narrow"/>
      <family val="2"/>
      <scheme val="minor"/>
    </font>
    <font>
      <sz val="11"/>
      <color theme="1"/>
      <name val="Aptos Narrow"/>
      <family val="2"/>
      <scheme val="minor"/>
    </font>
    <font>
      <sz val="11"/>
      <name val="Calibri"/>
      <family val="2"/>
    </font>
    <font>
      <sz val="9"/>
      <color indexed="81"/>
      <name val="Segoe UI"/>
      <family val="2"/>
    </font>
    <font>
      <b/>
      <sz val="9"/>
      <color indexed="81"/>
      <name val="Segoe UI"/>
      <family val="2"/>
    </font>
    <font>
      <sz val="8"/>
      <name val="Aptos Narrow"/>
      <family val="2"/>
      <scheme val="minor"/>
    </font>
    <font>
      <b/>
      <sz val="11"/>
      <color theme="1"/>
      <name val="Aptos Narrow"/>
      <family val="2"/>
      <scheme val="minor"/>
    </font>
    <font>
      <b/>
      <sz val="16"/>
      <color theme="1"/>
      <name val="Aptos Narrow"/>
      <family val="2"/>
      <scheme val="minor"/>
    </font>
    <font>
      <b/>
      <sz val="14"/>
      <color theme="0"/>
      <name val="Aptos Narrow"/>
      <family val="2"/>
      <scheme val="minor"/>
    </font>
    <font>
      <b/>
      <sz val="12"/>
      <color theme="1"/>
      <name val="Aptos Narrow"/>
      <family val="2"/>
      <scheme val="minor"/>
    </font>
    <font>
      <b/>
      <sz val="28"/>
      <color theme="1"/>
      <name val="Aptos Narrow"/>
      <family val="2"/>
      <scheme val="minor"/>
    </font>
    <font>
      <b/>
      <sz val="36"/>
      <color theme="1"/>
      <name val="Aptos Narrow"/>
      <family val="2"/>
      <scheme val="minor"/>
    </font>
    <font>
      <strike/>
      <sz val="11"/>
      <color theme="1"/>
      <name val="Aptos Narrow"/>
      <family val="2"/>
      <scheme val="minor"/>
    </font>
    <font>
      <sz val="11"/>
      <color theme="0"/>
      <name val="Aptos Narrow"/>
      <family val="2"/>
      <scheme val="minor"/>
    </font>
    <font>
      <b/>
      <sz val="12"/>
      <color theme="0"/>
      <name val="Aptos Narrow"/>
      <family val="2"/>
      <scheme val="minor"/>
    </font>
    <font>
      <sz val="11"/>
      <color rgb="FFECECEC"/>
      <name val="Aptos Narrow"/>
      <family val="2"/>
      <scheme val="minor"/>
    </font>
    <font>
      <b/>
      <sz val="18"/>
      <color rgb="FFFFFFFF"/>
      <name val="Aptos Narrow"/>
      <family val="2"/>
      <scheme val="minor"/>
    </font>
    <font>
      <b/>
      <sz val="14"/>
      <color rgb="FFFFFFFF"/>
      <name val="Aptos Narrow"/>
      <family val="2"/>
      <scheme val="minor"/>
    </font>
    <font>
      <b/>
      <sz val="12"/>
      <color rgb="FFFFFFFF"/>
      <name val="Aptos Narrow"/>
      <family val="2"/>
      <scheme val="minor"/>
    </font>
    <font>
      <b/>
      <sz val="13"/>
      <color rgb="FFFFFFFF"/>
      <name val="Aptos Narrow"/>
      <family val="2"/>
      <scheme val="minor"/>
    </font>
    <font>
      <i/>
      <sz val="11"/>
      <color theme="1"/>
      <name val="Aptos Narrow"/>
      <family val="2"/>
      <scheme val="minor"/>
    </font>
    <font>
      <i/>
      <sz val="9"/>
      <color rgb="FF808080"/>
      <name val="Aptos Narrow"/>
      <family val="2"/>
      <scheme val="minor"/>
    </font>
    <font>
      <b/>
      <sz val="11"/>
      <color rgb="FFFFFFFF"/>
      <name val="Aptos Narrow"/>
      <family val="2"/>
      <scheme val="minor"/>
    </font>
  </fonts>
  <fills count="21">
    <fill>
      <patternFill patternType="none"/>
    </fill>
    <fill>
      <patternFill patternType="gray125"/>
    </fill>
    <fill>
      <patternFill patternType="solid">
        <fgColor theme="9" tint="-0.499984740745262"/>
        <bgColor indexed="64"/>
      </patternFill>
    </fill>
    <fill>
      <patternFill patternType="solid">
        <fgColor rgb="FF00B050"/>
        <bgColor indexed="64"/>
      </patternFill>
    </fill>
    <fill>
      <patternFill patternType="solid">
        <fgColor theme="7" tint="-0.499984740745262"/>
        <bgColor indexed="64"/>
      </patternFill>
    </fill>
    <fill>
      <patternFill patternType="solid">
        <fgColor theme="5" tint="-0.499984740745262"/>
        <bgColor indexed="64"/>
      </patternFill>
    </fill>
    <fill>
      <patternFill patternType="solid">
        <fgColor rgb="FF118751"/>
        <bgColor indexed="64"/>
      </patternFill>
    </fill>
    <fill>
      <patternFill patternType="solid">
        <fgColor rgb="FFECECEC"/>
        <bgColor indexed="64"/>
      </patternFill>
    </fill>
    <fill>
      <patternFill patternType="solid">
        <fgColor rgb="FF1F2A44"/>
        <bgColor indexed="64"/>
      </patternFill>
    </fill>
    <fill>
      <patternFill patternType="solid">
        <fgColor rgb="FF0F633C"/>
        <bgColor indexed="64"/>
      </patternFill>
    </fill>
    <fill>
      <patternFill patternType="solid">
        <fgColor rgb="FF616E69"/>
        <bgColor indexed="64"/>
      </patternFill>
    </fill>
    <fill>
      <patternFill patternType="solid">
        <fgColor theme="0"/>
        <bgColor indexed="64"/>
      </patternFill>
    </fill>
    <fill>
      <patternFill patternType="solid">
        <fgColor rgb="FF1F4E79"/>
        <bgColor indexed="64"/>
      </patternFill>
    </fill>
    <fill>
      <patternFill patternType="solid">
        <fgColor rgb="FF2E75B6"/>
        <bgColor indexed="64"/>
      </patternFill>
    </fill>
    <fill>
      <patternFill patternType="solid">
        <fgColor rgb="FFBDD7EE"/>
        <bgColor indexed="64"/>
      </patternFill>
    </fill>
    <fill>
      <patternFill patternType="solid">
        <fgColor rgb="FF538135"/>
        <bgColor indexed="64"/>
      </patternFill>
    </fill>
    <fill>
      <patternFill patternType="solid">
        <fgColor rgb="FFC6E0B4"/>
        <bgColor indexed="64"/>
      </patternFill>
    </fill>
    <fill>
      <patternFill patternType="solid">
        <fgColor rgb="FFC00000"/>
        <bgColor indexed="64"/>
      </patternFill>
    </fill>
    <fill>
      <patternFill patternType="solid">
        <fgColor rgb="FFF8CBAD"/>
        <bgColor indexed="64"/>
      </patternFill>
    </fill>
    <fill>
      <patternFill patternType="solid">
        <fgColor rgb="FFD6DCE4"/>
        <bgColor indexed="64"/>
      </patternFill>
    </fill>
    <fill>
      <patternFill patternType="solid">
        <fgColor rgb="FFF2F2F2"/>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right/>
      <top style="thin">
        <color indexed="64"/>
      </top>
      <bottom/>
      <diagonal/>
    </border>
    <border>
      <left/>
      <right style="thin">
        <color indexed="64"/>
      </right>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style="thin">
        <color rgb="FF000000"/>
      </left>
      <right style="thin">
        <color rgb="FF000000"/>
      </right>
      <top style="thin">
        <color rgb="FF000000"/>
      </top>
      <bottom/>
      <diagonal/>
    </border>
  </borders>
  <cellStyleXfs count="2">
    <xf numFmtId="0" fontId="0" fillId="0" borderId="0"/>
    <xf numFmtId="9" fontId="6" fillId="0" borderId="0" applyFont="0" applyFill="0" applyBorder="0" applyAlignment="0" applyProtection="0"/>
  </cellStyleXfs>
  <cellXfs count="190">
    <xf numFmtId="0" fontId="0" fillId="0" borderId="0" xfId="0"/>
    <xf numFmtId="0" fontId="0" fillId="0" borderId="0" xfId="0" applyAlignment="1">
      <alignment vertical="center"/>
    </xf>
    <xf numFmtId="0" fontId="0" fillId="0" borderId="1" xfId="0" applyBorder="1"/>
    <xf numFmtId="14" fontId="0" fillId="0" borderId="1" xfId="0" applyNumberFormat="1" applyBorder="1"/>
    <xf numFmtId="0" fontId="0" fillId="0" borderId="0" xfId="0" pivotButton="1"/>
    <xf numFmtId="0" fontId="0" fillId="0" borderId="0" xfId="0" applyAlignment="1">
      <alignment horizontal="center"/>
    </xf>
    <xf numFmtId="0" fontId="0" fillId="0" borderId="0" xfId="0" applyAlignment="1">
      <alignment wrapText="1"/>
    </xf>
    <xf numFmtId="0" fontId="0" fillId="0" borderId="0" xfId="0" applyAlignment="1">
      <alignment horizontal="center" vertical="center"/>
    </xf>
    <xf numFmtId="0" fontId="0" fillId="0" borderId="0" xfId="0" applyAlignment="1">
      <alignment horizontal="left" vertical="center"/>
    </xf>
    <xf numFmtId="0" fontId="0" fillId="0" borderId="1" xfId="0" pivotButton="1" applyBorder="1" applyAlignment="1">
      <alignment horizontal="center" vertical="center"/>
    </xf>
    <xf numFmtId="0" fontId="0" fillId="0" borderId="1" xfId="0" pivotButton="1" applyBorder="1" applyAlignment="1">
      <alignment vertical="center"/>
    </xf>
    <xf numFmtId="0" fontId="0" fillId="0" borderId="1" xfId="0" pivotButton="1" applyBorder="1" applyAlignment="1">
      <alignment wrapText="1"/>
    </xf>
    <xf numFmtId="0" fontId="0" fillId="0" borderId="1" xfId="0" applyBorder="1" applyAlignment="1">
      <alignment horizontal="center"/>
    </xf>
    <xf numFmtId="0" fontId="0" fillId="0" borderId="1" xfId="0" applyBorder="1" applyAlignment="1">
      <alignment horizontal="center" vertical="center"/>
    </xf>
    <xf numFmtId="0" fontId="0" fillId="0" borderId="1" xfId="0" applyBorder="1" applyAlignment="1">
      <alignment vertical="center"/>
    </xf>
    <xf numFmtId="0" fontId="0" fillId="0" borderId="1" xfId="0" applyBorder="1" applyAlignment="1">
      <alignment wrapText="1"/>
    </xf>
    <xf numFmtId="0" fontId="0" fillId="0" borderId="1" xfId="0" pivotButton="1" applyBorder="1"/>
    <xf numFmtId="0" fontId="0" fillId="0" borderId="1" xfId="0" applyBorder="1" applyAlignment="1">
      <alignment vertical="center" wrapText="1"/>
    </xf>
    <xf numFmtId="1" fontId="0" fillId="0" borderId="1" xfId="0" applyNumberFormat="1" applyBorder="1"/>
    <xf numFmtId="164" fontId="0" fillId="0" borderId="0" xfId="0" applyNumberFormat="1" applyAlignment="1">
      <alignment vertical="center"/>
    </xf>
    <xf numFmtId="0" fontId="0" fillId="0" borderId="0" xfId="0" applyAlignment="1">
      <alignment vertical="center" wrapText="1"/>
    </xf>
    <xf numFmtId="0" fontId="1" fillId="2" borderId="1" xfId="0" applyFont="1" applyFill="1" applyBorder="1" applyAlignment="1">
      <alignment horizontal="center" vertical="center"/>
    </xf>
    <xf numFmtId="0" fontId="2" fillId="0" borderId="1" xfId="0" applyFont="1" applyBorder="1" applyAlignment="1">
      <alignment horizontal="center" vertical="center"/>
    </xf>
    <xf numFmtId="0" fontId="1" fillId="2" borderId="2" xfId="0" applyFont="1" applyFill="1" applyBorder="1" applyAlignment="1">
      <alignment horizontal="center" vertical="center"/>
    </xf>
    <xf numFmtId="0" fontId="0" fillId="0" borderId="0" xfId="0" applyAlignment="1">
      <alignment horizontal="left"/>
    </xf>
    <xf numFmtId="10" fontId="0" fillId="0" borderId="0" xfId="1" applyNumberFormat="1" applyFont="1"/>
    <xf numFmtId="10" fontId="0" fillId="0" borderId="0" xfId="0" applyNumberFormat="1"/>
    <xf numFmtId="165" fontId="0" fillId="0" borderId="1" xfId="1" applyNumberFormat="1" applyFont="1" applyBorder="1"/>
    <xf numFmtId="0" fontId="0" fillId="0" borderId="2" xfId="0" applyBorder="1" applyAlignment="1">
      <alignment horizontal="center" vertical="center"/>
    </xf>
    <xf numFmtId="164" fontId="0" fillId="0" borderId="0" xfId="0" applyNumberFormat="1" applyAlignment="1">
      <alignment horizontal="center" vertical="center"/>
    </xf>
    <xf numFmtId="0" fontId="0" fillId="0" borderId="0" xfId="0" applyAlignment="1">
      <alignment horizontal="right" vertical="center"/>
    </xf>
    <xf numFmtId="14" fontId="0" fillId="0" borderId="1" xfId="0" applyNumberFormat="1" applyBorder="1" applyAlignment="1">
      <alignment horizontal="center"/>
    </xf>
    <xf numFmtId="14" fontId="0" fillId="0" borderId="1" xfId="0" applyNumberFormat="1" applyBorder="1" applyAlignment="1">
      <alignment horizontal="center" vertical="center"/>
    </xf>
    <xf numFmtId="14" fontId="3" fillId="0" borderId="1" xfId="0" applyNumberFormat="1" applyFont="1" applyBorder="1" applyAlignment="1">
      <alignment horizontal="center" vertical="center"/>
    </xf>
    <xf numFmtId="0" fontId="1" fillId="3" borderId="1" xfId="0" applyFont="1" applyFill="1" applyBorder="1"/>
    <xf numFmtId="0" fontId="3" fillId="0" borderId="1" xfId="0" applyFont="1" applyBorder="1" applyAlignment="1">
      <alignment horizontal="center" vertical="center"/>
    </xf>
    <xf numFmtId="14" fontId="5" fillId="0" borderId="1" xfId="0" applyNumberFormat="1" applyFont="1" applyBorder="1" applyAlignment="1">
      <alignment horizontal="center" vertical="center"/>
    </xf>
    <xf numFmtId="0" fontId="1" fillId="3" borderId="1" xfId="0" applyFont="1" applyFill="1" applyBorder="1" applyAlignment="1">
      <alignment horizontal="center" vertical="center"/>
    </xf>
    <xf numFmtId="0" fontId="1" fillId="3" borderId="1" xfId="0" applyFont="1" applyFill="1" applyBorder="1" applyAlignment="1">
      <alignment horizontal="center" vertical="center" wrapText="1"/>
    </xf>
    <xf numFmtId="0" fontId="11" fillId="0" borderId="0" xfId="0" applyFont="1" applyAlignment="1">
      <alignment vertical="center"/>
    </xf>
    <xf numFmtId="0" fontId="7" fillId="0" borderId="1" xfId="0" applyFont="1" applyBorder="1" applyAlignment="1">
      <alignment horizontal="center" vertical="center"/>
    </xf>
    <xf numFmtId="0" fontId="1" fillId="2" borderId="1" xfId="0" applyFont="1" applyFill="1" applyBorder="1" applyAlignment="1">
      <alignment vertical="center" wrapText="1"/>
    </xf>
    <xf numFmtId="0" fontId="1" fillId="2" borderId="1" xfId="0" applyFont="1" applyFill="1" applyBorder="1"/>
    <xf numFmtId="9" fontId="0" fillId="0" borderId="0" xfId="1" applyFont="1" applyAlignment="1">
      <alignment horizontal="center" vertical="center"/>
    </xf>
    <xf numFmtId="0" fontId="1" fillId="2" borderId="1" xfId="0" applyFont="1" applyFill="1" applyBorder="1" applyAlignment="1">
      <alignment horizontal="center" vertical="center" wrapText="1"/>
    </xf>
    <xf numFmtId="0" fontId="1" fillId="2" borderId="1" xfId="0" applyFont="1" applyFill="1" applyBorder="1" applyAlignment="1">
      <alignment horizontal="left" vertical="center" wrapText="1"/>
    </xf>
    <xf numFmtId="14" fontId="0" fillId="0" borderId="2" xfId="0" applyNumberFormat="1" applyBorder="1" applyAlignment="1">
      <alignment horizontal="center" vertical="center"/>
    </xf>
    <xf numFmtId="0" fontId="0" fillId="0" borderId="2" xfId="0" applyBorder="1" applyAlignment="1">
      <alignment vertical="center" wrapText="1"/>
    </xf>
    <xf numFmtId="14" fontId="0" fillId="0" borderId="1" xfId="0" applyNumberFormat="1" applyBorder="1" applyAlignment="1">
      <alignment vertical="center" wrapText="1"/>
    </xf>
    <xf numFmtId="0" fontId="3" fillId="0" borderId="2" xfId="0" applyFont="1" applyBorder="1" applyAlignment="1">
      <alignment horizontal="center" vertical="center"/>
    </xf>
    <xf numFmtId="14" fontId="0" fillId="0" borderId="0" xfId="0" applyNumberFormat="1" applyAlignment="1">
      <alignment horizontal="center" vertical="center"/>
    </xf>
    <xf numFmtId="14" fontId="1" fillId="2" borderId="1" xfId="0" applyNumberFormat="1" applyFont="1" applyFill="1" applyBorder="1" applyAlignment="1">
      <alignment horizontal="center" vertical="center" wrapText="1"/>
    </xf>
    <xf numFmtId="14" fontId="0" fillId="0" borderId="2" xfId="0" applyNumberFormat="1" applyBorder="1" applyAlignment="1">
      <alignment vertical="center" wrapText="1"/>
    </xf>
    <xf numFmtId="166" fontId="0" fillId="0" borderId="1" xfId="0" applyNumberFormat="1" applyBorder="1"/>
    <xf numFmtId="166" fontId="0" fillId="0" borderId="0" xfId="0" applyNumberFormat="1"/>
    <xf numFmtId="167" fontId="1" fillId="2" borderId="1" xfId="0" applyNumberFormat="1" applyFont="1" applyFill="1" applyBorder="1" applyAlignment="1">
      <alignment horizontal="center" vertical="center" wrapText="1"/>
    </xf>
    <xf numFmtId="0" fontId="0" fillId="6" borderId="0" xfId="0" applyFill="1"/>
    <xf numFmtId="0" fontId="0" fillId="7" borderId="0" xfId="0" applyFill="1"/>
    <xf numFmtId="0" fontId="0" fillId="7" borderId="0" xfId="0" applyFill="1" applyAlignment="1">
      <alignment horizontal="left"/>
    </xf>
    <xf numFmtId="0" fontId="11" fillId="7" borderId="0" xfId="0" applyFont="1" applyFill="1" applyAlignment="1">
      <alignment vertical="center"/>
    </xf>
    <xf numFmtId="0" fontId="1" fillId="6" borderId="1" xfId="0" applyFont="1" applyFill="1" applyBorder="1" applyAlignment="1">
      <alignment horizontal="center" vertical="center" wrapText="1"/>
    </xf>
    <xf numFmtId="0" fontId="1" fillId="6" borderId="1" xfId="0" applyFont="1" applyFill="1" applyBorder="1" applyAlignment="1">
      <alignment horizontal="center" vertical="center"/>
    </xf>
    <xf numFmtId="0" fontId="0" fillId="6" borderId="0" xfId="0" applyFill="1" applyAlignment="1">
      <alignment horizontal="center" vertical="center"/>
    </xf>
    <xf numFmtId="0" fontId="0" fillId="6" borderId="0" xfId="0" applyFill="1" applyAlignment="1">
      <alignment horizontal="right" vertical="center"/>
    </xf>
    <xf numFmtId="14" fontId="0" fillId="6" borderId="0" xfId="0" applyNumberFormat="1" applyFill="1" applyAlignment="1">
      <alignment horizontal="center" vertical="center"/>
    </xf>
    <xf numFmtId="0" fontId="0" fillId="6" borderId="0" xfId="0" applyFill="1" applyAlignment="1">
      <alignment vertical="center"/>
    </xf>
    <xf numFmtId="9" fontId="0" fillId="6" borderId="0" xfId="1" applyFont="1" applyFill="1" applyAlignment="1">
      <alignment horizontal="center" vertical="center"/>
    </xf>
    <xf numFmtId="0" fontId="0" fillId="6" borderId="0" xfId="0" applyFill="1" applyAlignment="1">
      <alignment horizontal="left" vertical="center"/>
    </xf>
    <xf numFmtId="0" fontId="0" fillId="7" borderId="0" xfId="0" applyFill="1" applyAlignment="1">
      <alignment horizontal="center" vertical="center"/>
    </xf>
    <xf numFmtId="0" fontId="18" fillId="7" borderId="0" xfId="0" applyFont="1" applyFill="1" applyAlignment="1">
      <alignment horizontal="right" vertical="center"/>
    </xf>
    <xf numFmtId="14" fontId="0" fillId="7" borderId="2" xfId="0" applyNumberFormat="1" applyFill="1" applyBorder="1" applyAlignment="1">
      <alignment horizontal="center" vertical="center"/>
    </xf>
    <xf numFmtId="0" fontId="0" fillId="7" borderId="0" xfId="0" applyFill="1" applyAlignment="1">
      <alignment vertical="center" wrapText="1"/>
    </xf>
    <xf numFmtId="0" fontId="0" fillId="7" borderId="0" xfId="0" applyFill="1" applyAlignment="1">
      <alignment vertical="center"/>
    </xf>
    <xf numFmtId="9" fontId="0" fillId="7" borderId="0" xfId="1" applyFont="1" applyFill="1" applyAlignment="1">
      <alignment horizontal="center" vertical="center"/>
    </xf>
    <xf numFmtId="0" fontId="0" fillId="7" borderId="0" xfId="0" applyFill="1" applyAlignment="1">
      <alignment horizontal="left" vertical="center"/>
    </xf>
    <xf numFmtId="164" fontId="0" fillId="7" borderId="0" xfId="0" applyNumberFormat="1" applyFill="1" applyAlignment="1">
      <alignment vertical="center"/>
    </xf>
    <xf numFmtId="0" fontId="20" fillId="7" borderId="0" xfId="0" applyFont="1" applyFill="1" applyAlignment="1">
      <alignment horizontal="center"/>
    </xf>
    <xf numFmtId="0" fontId="20" fillId="7" borderId="0" xfId="0" applyFont="1" applyFill="1" applyAlignment="1">
      <alignment horizontal="center" vertical="center"/>
    </xf>
    <xf numFmtId="164" fontId="20" fillId="7" borderId="0" xfId="0" applyNumberFormat="1" applyFont="1" applyFill="1" applyAlignment="1">
      <alignment horizontal="center" vertical="center"/>
    </xf>
    <xf numFmtId="0" fontId="19" fillId="6" borderId="0" xfId="0" applyFont="1" applyFill="1" applyAlignment="1">
      <alignment horizontal="center" vertical="center" wrapText="1"/>
    </xf>
    <xf numFmtId="0" fontId="1" fillId="9" borderId="1" xfId="0" applyFont="1" applyFill="1" applyBorder="1" applyAlignment="1">
      <alignment horizontal="center" vertical="center" wrapText="1"/>
    </xf>
    <xf numFmtId="14" fontId="1" fillId="9" borderId="1" xfId="0" applyNumberFormat="1" applyFont="1" applyFill="1" applyBorder="1" applyAlignment="1">
      <alignment horizontal="center" vertical="center" wrapText="1"/>
    </xf>
    <xf numFmtId="0" fontId="1" fillId="9" borderId="1" xfId="0" applyFont="1" applyFill="1" applyBorder="1" applyAlignment="1">
      <alignment vertical="center" wrapText="1"/>
    </xf>
    <xf numFmtId="9" fontId="1" fillId="9" borderId="1" xfId="1" applyFont="1" applyFill="1" applyBorder="1" applyAlignment="1">
      <alignment horizontal="center" vertical="center" wrapText="1"/>
    </xf>
    <xf numFmtId="0" fontId="1" fillId="9" borderId="1" xfId="0" applyFont="1" applyFill="1" applyBorder="1" applyAlignment="1">
      <alignment horizontal="left" vertical="center" wrapText="1"/>
    </xf>
    <xf numFmtId="0" fontId="0" fillId="7" borderId="1" xfId="0" applyFill="1" applyBorder="1" applyAlignment="1">
      <alignment horizontal="center" vertical="center"/>
    </xf>
    <xf numFmtId="14" fontId="0" fillId="7" borderId="0" xfId="0" applyNumberFormat="1" applyFill="1" applyAlignment="1">
      <alignment horizontal="center" vertical="center"/>
    </xf>
    <xf numFmtId="0" fontId="0" fillId="7" borderId="0" xfId="0" applyFill="1" applyAlignment="1">
      <alignment horizontal="right" vertical="center"/>
    </xf>
    <xf numFmtId="0" fontId="0" fillId="11" borderId="1" xfId="0" applyFill="1" applyBorder="1" applyAlignment="1">
      <alignment horizontal="center" vertical="center"/>
    </xf>
    <xf numFmtId="0" fontId="2" fillId="11" borderId="1" xfId="0" applyFont="1" applyFill="1" applyBorder="1" applyAlignment="1">
      <alignment horizontal="center" vertical="center"/>
    </xf>
    <xf numFmtId="14" fontId="0" fillId="11" borderId="1" xfId="0" applyNumberFormat="1" applyFill="1" applyBorder="1" applyAlignment="1">
      <alignment horizontal="center" vertical="center"/>
    </xf>
    <xf numFmtId="0" fontId="0" fillId="11" borderId="1" xfId="0" applyFill="1" applyBorder="1" applyAlignment="1">
      <alignment vertical="center" wrapText="1"/>
    </xf>
    <xf numFmtId="14" fontId="3" fillId="11" borderId="1" xfId="0" applyNumberFormat="1" applyFont="1" applyFill="1" applyBorder="1" applyAlignment="1">
      <alignment horizontal="center" vertical="center"/>
    </xf>
    <xf numFmtId="0" fontId="0" fillId="11" borderId="1" xfId="0" applyFill="1" applyBorder="1" applyAlignment="1">
      <alignment vertical="center"/>
    </xf>
    <xf numFmtId="9" fontId="0" fillId="11" borderId="1" xfId="1" applyFont="1" applyFill="1" applyBorder="1" applyAlignment="1">
      <alignment vertical="center"/>
    </xf>
    <xf numFmtId="14" fontId="0" fillId="11" borderId="1" xfId="0" applyNumberFormat="1" applyFill="1" applyBorder="1" applyAlignment="1">
      <alignment horizontal="left" vertical="center"/>
    </xf>
    <xf numFmtId="0" fontId="0" fillId="11" borderId="1" xfId="0" applyFill="1" applyBorder="1"/>
    <xf numFmtId="2" fontId="0" fillId="11" borderId="1" xfId="0" applyNumberFormat="1" applyFill="1" applyBorder="1" applyAlignment="1">
      <alignment vertical="center"/>
    </xf>
    <xf numFmtId="10" fontId="0" fillId="11" borderId="1" xfId="1" applyNumberFormat="1" applyFont="1" applyFill="1" applyBorder="1"/>
    <xf numFmtId="0" fontId="0" fillId="11" borderId="0" xfId="0" applyFill="1"/>
    <xf numFmtId="14" fontId="0" fillId="11" borderId="1" xfId="0" applyNumberFormat="1" applyFill="1" applyBorder="1" applyAlignment="1">
      <alignment horizontal="center"/>
    </xf>
    <xf numFmtId="0" fontId="0" fillId="11" borderId="1" xfId="0" applyFill="1" applyBorder="1" applyAlignment="1">
      <alignment horizontal="left" vertical="center"/>
    </xf>
    <xf numFmtId="0" fontId="0" fillId="11" borderId="0" xfId="0" applyFill="1" applyAlignment="1">
      <alignment vertical="center"/>
    </xf>
    <xf numFmtId="9" fontId="0" fillId="11" borderId="1" xfId="1" applyFont="1" applyFill="1" applyBorder="1" applyAlignment="1">
      <alignment vertical="center" wrapText="1"/>
    </xf>
    <xf numFmtId="14" fontId="5" fillId="11" borderId="1" xfId="0" applyNumberFormat="1" applyFont="1" applyFill="1" applyBorder="1" applyAlignment="1">
      <alignment horizontal="center" vertical="center"/>
    </xf>
    <xf numFmtId="0" fontId="3" fillId="11" borderId="1" xfId="0" applyFont="1" applyFill="1" applyBorder="1" applyAlignment="1">
      <alignment horizontal="center" vertical="center"/>
    </xf>
    <xf numFmtId="0" fontId="7" fillId="11" borderId="1" xfId="0" applyFont="1" applyFill="1" applyBorder="1" applyAlignment="1">
      <alignment horizontal="center" vertical="center"/>
    </xf>
    <xf numFmtId="14" fontId="0" fillId="11" borderId="1" xfId="0" applyNumberFormat="1" applyFill="1" applyBorder="1" applyAlignment="1">
      <alignment horizontal="left" vertical="center" wrapText="1"/>
    </xf>
    <xf numFmtId="9" fontId="0" fillId="11" borderId="1" xfId="1" applyFont="1" applyFill="1" applyBorder="1" applyAlignment="1">
      <alignment horizontal="left" vertical="center" wrapText="1"/>
    </xf>
    <xf numFmtId="10" fontId="0" fillId="11" borderId="1" xfId="1" applyNumberFormat="1" applyFont="1" applyFill="1" applyBorder="1" applyAlignment="1">
      <alignment vertical="center"/>
    </xf>
    <xf numFmtId="9" fontId="0" fillId="11" borderId="1" xfId="1" applyFont="1" applyFill="1" applyBorder="1" applyAlignment="1">
      <alignment horizontal="center" vertical="center"/>
    </xf>
    <xf numFmtId="9" fontId="0" fillId="11" borderId="1" xfId="1" applyFont="1" applyFill="1" applyBorder="1" applyAlignment="1">
      <alignment horizontal="center" vertical="center" wrapText="1"/>
    </xf>
    <xf numFmtId="9" fontId="3" fillId="11" borderId="1" xfId="1" applyFont="1" applyFill="1" applyBorder="1" applyAlignment="1">
      <alignment horizontal="center" vertical="center"/>
    </xf>
    <xf numFmtId="14" fontId="0" fillId="11" borderId="1" xfId="0" applyNumberFormat="1" applyFill="1" applyBorder="1" applyAlignment="1">
      <alignment vertical="center" wrapText="1"/>
    </xf>
    <xf numFmtId="9" fontId="0" fillId="11" borderId="1" xfId="1" quotePrefix="1" applyFont="1" applyFill="1" applyBorder="1" applyAlignment="1">
      <alignment horizontal="center" vertical="center"/>
    </xf>
    <xf numFmtId="14" fontId="0" fillId="11" borderId="0" xfId="0" applyNumberFormat="1" applyFill="1" applyAlignment="1">
      <alignment horizontal="center" vertical="center"/>
    </xf>
    <xf numFmtId="0" fontId="0" fillId="11" borderId="2" xfId="0" applyFill="1" applyBorder="1" applyAlignment="1">
      <alignment horizontal="center" vertical="center"/>
    </xf>
    <xf numFmtId="0" fontId="0" fillId="11" borderId="3" xfId="0" applyFill="1" applyBorder="1" applyAlignment="1">
      <alignment vertical="center"/>
    </xf>
    <xf numFmtId="0" fontId="0" fillId="11" borderId="2" xfId="0" applyFill="1" applyBorder="1" applyAlignment="1">
      <alignment vertical="center"/>
    </xf>
    <xf numFmtId="0" fontId="0" fillId="11" borderId="2" xfId="0" applyFill="1" applyBorder="1"/>
    <xf numFmtId="14" fontId="0" fillId="11" borderId="2" xfId="0" applyNumberFormat="1" applyFill="1" applyBorder="1" applyAlignment="1">
      <alignment horizontal="center" vertical="center"/>
    </xf>
    <xf numFmtId="0" fontId="0" fillId="11" borderId="2" xfId="0" applyFill="1" applyBorder="1" applyAlignment="1">
      <alignment vertical="center" wrapText="1"/>
    </xf>
    <xf numFmtId="9" fontId="0" fillId="11" borderId="2" xfId="1" applyFont="1" applyFill="1" applyBorder="1" applyAlignment="1">
      <alignment horizontal="center" vertical="center" wrapText="1"/>
    </xf>
    <xf numFmtId="0" fontId="0" fillId="11" borderId="2" xfId="0" applyFill="1" applyBorder="1" applyAlignment="1">
      <alignment horizontal="left" vertical="center"/>
    </xf>
    <xf numFmtId="0" fontId="0" fillId="11" borderId="6" xfId="0" applyFill="1" applyBorder="1" applyAlignment="1">
      <alignment vertical="center"/>
    </xf>
    <xf numFmtId="0" fontId="0" fillId="11" borderId="6" xfId="0" applyFill="1" applyBorder="1"/>
    <xf numFmtId="9" fontId="0" fillId="11" borderId="2" xfId="1" applyFont="1" applyFill="1" applyBorder="1" applyAlignment="1">
      <alignment horizontal="center" vertical="center"/>
    </xf>
    <xf numFmtId="0" fontId="0" fillId="11" borderId="4" xfId="0" applyFill="1" applyBorder="1"/>
    <xf numFmtId="0" fontId="0" fillId="11" borderId="7" xfId="0" applyFill="1" applyBorder="1"/>
    <xf numFmtId="0" fontId="0" fillId="11" borderId="5" xfId="0" applyFill="1" applyBorder="1"/>
    <xf numFmtId="0" fontId="0" fillId="11" borderId="8" xfId="0" applyFill="1" applyBorder="1"/>
    <xf numFmtId="16" fontId="0" fillId="11" borderId="1" xfId="0" applyNumberFormat="1" applyFill="1" applyBorder="1" applyAlignment="1">
      <alignment horizontal="center" vertical="center"/>
    </xf>
    <xf numFmtId="14" fontId="3" fillId="11" borderId="2" xfId="0" applyNumberFormat="1" applyFont="1" applyFill="1" applyBorder="1" applyAlignment="1">
      <alignment horizontal="center" vertical="center"/>
    </xf>
    <xf numFmtId="14" fontId="0" fillId="11" borderId="2" xfId="0" applyNumberFormat="1" applyFill="1" applyBorder="1" applyAlignment="1">
      <alignment horizontal="left" vertical="center" wrapText="1"/>
    </xf>
    <xf numFmtId="2" fontId="0" fillId="11" borderId="2" xfId="0" applyNumberFormat="1" applyFill="1" applyBorder="1" applyAlignment="1">
      <alignment vertical="center"/>
    </xf>
    <xf numFmtId="10" fontId="0" fillId="11" borderId="2" xfId="1" applyNumberFormat="1" applyFont="1" applyFill="1" applyBorder="1"/>
    <xf numFmtId="14" fontId="0" fillId="11" borderId="9" xfId="0" applyNumberFormat="1" applyFill="1" applyBorder="1" applyAlignment="1">
      <alignment horizontal="center" vertical="center"/>
    </xf>
    <xf numFmtId="0" fontId="0" fillId="11" borderId="0" xfId="0" applyFill="1" applyAlignment="1">
      <alignment vertical="center" wrapText="1"/>
    </xf>
    <xf numFmtId="0" fontId="0" fillId="11" borderId="10" xfId="0" applyFill="1" applyBorder="1" applyAlignment="1">
      <alignment horizontal="center" vertical="center"/>
    </xf>
    <xf numFmtId="14" fontId="0" fillId="11" borderId="10" xfId="0" applyNumberFormat="1" applyFill="1" applyBorder="1" applyAlignment="1">
      <alignment horizontal="center" vertical="center"/>
    </xf>
    <xf numFmtId="0" fontId="0" fillId="11" borderId="10" xfId="0" applyFill="1" applyBorder="1" applyAlignment="1">
      <alignment vertical="center" wrapText="1"/>
    </xf>
    <xf numFmtId="9" fontId="0" fillId="11" borderId="10" xfId="1" applyFont="1" applyFill="1" applyBorder="1" applyAlignment="1">
      <alignment horizontal="center" vertical="center"/>
    </xf>
    <xf numFmtId="0" fontId="0" fillId="11" borderId="10" xfId="0" applyFill="1" applyBorder="1"/>
    <xf numFmtId="0" fontId="0" fillId="11" borderId="10" xfId="0" applyFill="1" applyBorder="1" applyAlignment="1">
      <alignment vertical="center"/>
    </xf>
    <xf numFmtId="9" fontId="0" fillId="11" borderId="1" xfId="0" applyNumberFormat="1" applyFill="1" applyBorder="1" applyAlignment="1">
      <alignment horizontal="left" vertical="center"/>
    </xf>
    <xf numFmtId="0" fontId="0" fillId="11" borderId="1" xfId="0" applyFill="1" applyBorder="1" applyAlignment="1">
      <alignment horizontal="left" vertical="center" wrapText="1"/>
    </xf>
    <xf numFmtId="0" fontId="0" fillId="11" borderId="1" xfId="0" applyFill="1" applyBorder="1" applyAlignment="1">
      <alignment horizontal="center"/>
    </xf>
    <xf numFmtId="0" fontId="0" fillId="11" borderId="1" xfId="0" applyFill="1" applyBorder="1" applyAlignment="1">
      <alignment wrapText="1"/>
    </xf>
    <xf numFmtId="14" fontId="0" fillId="11" borderId="1" xfId="0" applyNumberFormat="1" applyFill="1" applyBorder="1" applyAlignment="1">
      <alignment vertical="center"/>
    </xf>
    <xf numFmtId="9" fontId="0" fillId="11" borderId="1" xfId="1" applyFont="1" applyFill="1" applyBorder="1"/>
    <xf numFmtId="0" fontId="1" fillId="3" borderId="6" xfId="0" applyFont="1" applyFill="1" applyBorder="1"/>
    <xf numFmtId="0" fontId="11" fillId="0" borderId="0" xfId="0" applyFont="1"/>
    <xf numFmtId="0" fontId="11" fillId="14" borderId="0" xfId="0" applyFont="1" applyFill="1"/>
    <xf numFmtId="0" fontId="11" fillId="16" borderId="0" xfId="0" applyFont="1" applyFill="1"/>
    <xf numFmtId="0" fontId="25" fillId="0" borderId="0" xfId="0" applyFont="1"/>
    <xf numFmtId="0" fontId="11" fillId="16" borderId="0" xfId="0" applyFont="1" applyFill="1" applyAlignment="1">
      <alignment wrapText="1"/>
    </xf>
    <xf numFmtId="0" fontId="11" fillId="14" borderId="1" xfId="0" applyFont="1" applyFill="1" applyBorder="1"/>
    <xf numFmtId="0" fontId="11" fillId="18" borderId="1" xfId="0" applyFont="1" applyFill="1" applyBorder="1"/>
    <xf numFmtId="1" fontId="0" fillId="0" borderId="1" xfId="0" applyNumberFormat="1" applyBorder="1" applyAlignment="1">
      <alignment horizontal="center"/>
    </xf>
    <xf numFmtId="0" fontId="0" fillId="7" borderId="1" xfId="0" applyFill="1" applyBorder="1"/>
    <xf numFmtId="2" fontId="0" fillId="11" borderId="0" xfId="0" applyNumberFormat="1" applyFill="1" applyAlignment="1">
      <alignment vertical="center"/>
    </xf>
    <xf numFmtId="0" fontId="0" fillId="7" borderId="1" xfId="0" applyFill="1" applyBorder="1" applyAlignment="1">
      <alignment vertical="center"/>
    </xf>
    <xf numFmtId="10" fontId="0" fillId="11" borderId="0" xfId="1" applyNumberFormat="1" applyFont="1" applyFill="1" applyBorder="1"/>
    <xf numFmtId="0" fontId="0" fillId="11" borderId="0" xfId="0" applyFill="1" applyAlignment="1">
      <alignment horizontal="center" vertical="center"/>
    </xf>
    <xf numFmtId="14" fontId="0" fillId="11" borderId="0" xfId="0" applyNumberFormat="1" applyFill="1" applyAlignment="1">
      <alignment vertical="center"/>
    </xf>
    <xf numFmtId="0" fontId="0" fillId="20" borderId="0" xfId="0" applyFill="1"/>
    <xf numFmtId="0" fontId="23" fillId="12" borderId="0" xfId="0" applyFont="1" applyFill="1"/>
    <xf numFmtId="0" fontId="23" fillId="15" borderId="0" xfId="0" applyFont="1" applyFill="1"/>
    <xf numFmtId="0" fontId="23" fillId="15" borderId="0" xfId="0" applyFont="1" applyFill="1" applyAlignment="1">
      <alignment wrapText="1"/>
    </xf>
    <xf numFmtId="0" fontId="27" fillId="17" borderId="1" xfId="0" applyFont="1" applyFill="1" applyBorder="1"/>
    <xf numFmtId="0" fontId="26" fillId="0" borderId="0" xfId="0" applyFont="1" applyAlignment="1">
      <alignment horizontal="center"/>
    </xf>
    <xf numFmtId="0" fontId="21" fillId="12" borderId="0" xfId="0" applyFont="1" applyFill="1" applyAlignment="1">
      <alignment horizontal="center"/>
    </xf>
    <xf numFmtId="0" fontId="25" fillId="19" borderId="0" xfId="0" applyFont="1" applyFill="1" applyAlignment="1">
      <alignment horizontal="center"/>
    </xf>
    <xf numFmtId="0" fontId="22" fillId="13" borderId="0" xfId="0" applyFont="1" applyFill="1"/>
    <xf numFmtId="0" fontId="11" fillId="14" borderId="1" xfId="0" applyFont="1" applyFill="1" applyBorder="1"/>
    <xf numFmtId="0" fontId="11" fillId="14" borderId="0" xfId="0" applyFont="1" applyFill="1"/>
    <xf numFmtId="0" fontId="24" fillId="13" borderId="0" xfId="0" applyFont="1" applyFill="1"/>
    <xf numFmtId="0" fontId="4" fillId="2" borderId="0" xfId="0" applyFont="1" applyFill="1" applyAlignment="1">
      <alignment horizontal="center" vertical="center"/>
    </xf>
    <xf numFmtId="0" fontId="19" fillId="6" borderId="0" xfId="0" applyFont="1" applyFill="1" applyAlignment="1">
      <alignment horizontal="center" vertical="center"/>
    </xf>
    <xf numFmtId="10" fontId="14" fillId="0" borderId="1" xfId="1" applyNumberFormat="1" applyFont="1" applyBorder="1" applyAlignment="1">
      <alignment horizontal="center" vertical="center"/>
    </xf>
    <xf numFmtId="10" fontId="12" fillId="0" borderId="1" xfId="1" applyNumberFormat="1" applyFont="1" applyBorder="1" applyAlignment="1">
      <alignment horizontal="center" vertical="center"/>
    </xf>
    <xf numFmtId="0" fontId="1" fillId="6" borderId="1" xfId="0" applyFont="1" applyFill="1" applyBorder="1" applyAlignment="1">
      <alignment horizontal="center" vertical="center"/>
    </xf>
    <xf numFmtId="0" fontId="16" fillId="0" borderId="1" xfId="0" applyFont="1" applyBorder="1" applyAlignment="1">
      <alignment horizontal="center" vertical="center"/>
    </xf>
    <xf numFmtId="0" fontId="13" fillId="8" borderId="1" xfId="0" applyFont="1" applyFill="1" applyBorder="1" applyAlignment="1">
      <alignment horizontal="center"/>
    </xf>
    <xf numFmtId="0" fontId="13" fillId="10" borderId="1" xfId="0" applyFont="1" applyFill="1" applyBorder="1" applyAlignment="1">
      <alignment horizontal="center"/>
    </xf>
    <xf numFmtId="0" fontId="15" fillId="0" borderId="1" xfId="0" applyFont="1" applyBorder="1" applyAlignment="1">
      <alignment horizontal="center" vertical="center"/>
    </xf>
    <xf numFmtId="0" fontId="19" fillId="6" borderId="0" xfId="0" applyFont="1" applyFill="1" applyAlignment="1">
      <alignment horizontal="center" vertical="center" wrapText="1"/>
    </xf>
    <xf numFmtId="0" fontId="1" fillId="3" borderId="1" xfId="0" applyFont="1" applyFill="1" applyBorder="1" applyAlignment="1">
      <alignment horizontal="center" vertical="center"/>
    </xf>
    <xf numFmtId="0" fontId="13" fillId="4" borderId="1" xfId="0" applyFont="1" applyFill="1" applyBorder="1" applyAlignment="1">
      <alignment horizontal="center"/>
    </xf>
    <xf numFmtId="0" fontId="13" fillId="5" borderId="1" xfId="0" applyFont="1" applyFill="1" applyBorder="1" applyAlignment="1">
      <alignment horizontal="center"/>
    </xf>
  </cellXfs>
  <cellStyles count="2">
    <cellStyle name="Normal" xfId="0" builtinId="0"/>
    <cellStyle name="Porcentagem" xfId="1" builtinId="5"/>
  </cellStyles>
  <dxfs count="224">
    <dxf>
      <fill>
        <patternFill patternType="solid">
          <bgColor rgb="FFECECEC"/>
        </patternFill>
      </fill>
    </dxf>
    <dxf>
      <fill>
        <patternFill patternType="solid">
          <bgColor rgb="FFECECEC"/>
        </patternFill>
      </fill>
    </dxf>
    <dxf>
      <fill>
        <patternFill patternType="solid">
          <bgColor rgb="FFECECEC"/>
        </patternFill>
      </fill>
    </dxf>
    <dxf>
      <fill>
        <patternFill patternType="solid">
          <bgColor rgb="FFECECEC"/>
        </patternFill>
      </fill>
    </dxf>
    <dxf>
      <fill>
        <patternFill patternType="solid">
          <bgColor rgb="FFECECEC"/>
        </patternFill>
      </fill>
    </dxf>
    <dxf>
      <fill>
        <patternFill patternType="solid">
          <bgColor rgb="FFECECEC"/>
        </patternFill>
      </fill>
    </dxf>
    <dxf>
      <fill>
        <patternFill patternType="solid">
          <bgColor rgb="FFECECEC"/>
        </patternFill>
      </fill>
    </dxf>
    <dxf>
      <fill>
        <patternFill patternType="solid">
          <bgColor rgb="FFECECEC"/>
        </patternFill>
      </fill>
    </dxf>
    <dxf>
      <fill>
        <patternFill patternType="solid">
          <bgColor rgb="FFECECEC"/>
        </patternFill>
      </fill>
    </dxf>
    <dxf>
      <fill>
        <patternFill patternType="solid">
          <bgColor rgb="FFECECEC"/>
        </patternFill>
      </fill>
    </dxf>
    <dxf>
      <fill>
        <patternFill patternType="solid">
          <bgColor rgb="FFECECEC"/>
        </patternFill>
      </fill>
    </dxf>
    <dxf>
      <fill>
        <patternFill patternType="solid">
          <bgColor rgb="FFECECEC"/>
        </patternFill>
      </fill>
    </dxf>
    <dxf>
      <fill>
        <patternFill patternType="solid">
          <bgColor rgb="FFECECEC"/>
        </patternFill>
      </fill>
    </dxf>
    <dxf>
      <fill>
        <patternFill patternType="solid">
          <bgColor rgb="FFECECEC"/>
        </patternFill>
      </fill>
    </dxf>
    <dxf>
      <fill>
        <patternFill patternType="solid">
          <bgColor rgb="FFECECEC"/>
        </patternFill>
      </fill>
    </dxf>
    <dxf>
      <fill>
        <patternFill patternType="solid">
          <bgColor rgb="FFECECEC"/>
        </patternFill>
      </fill>
    </dxf>
    <dxf>
      <fill>
        <patternFill patternType="solid">
          <bgColor rgb="FFECECEC"/>
        </patternFill>
      </fill>
    </dxf>
    <dxf>
      <fill>
        <patternFill patternType="solid">
          <bgColor rgb="FFECECE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patternType="solid">
          <fgColor indexed="64"/>
          <bgColor rgb="FFFFCCCC"/>
        </patternFill>
      </fill>
    </dxf>
    <dxf>
      <font>
        <b/>
        <i val="0"/>
        <color rgb="FFC00000"/>
      </font>
      <fill>
        <patternFill patternType="solid">
          <fgColor indexed="64"/>
          <bgColor rgb="FFFFCCCC"/>
        </patternFill>
      </fill>
    </dxf>
    <dxf>
      <font>
        <b/>
        <i val="0"/>
        <color rgb="FFC00000"/>
      </font>
      <fill>
        <patternFill patternType="solid">
          <fgColor indexed="64"/>
          <bgColor rgb="FFFFCCCC"/>
        </patternFill>
      </fill>
    </dxf>
    <dxf>
      <fill>
        <patternFill patternType="solid">
          <bgColor rgb="FFECECEC"/>
        </patternFill>
      </fill>
    </dxf>
    <dxf>
      <fill>
        <patternFill patternType="solid">
          <bgColor rgb="FFECECEC"/>
        </patternFill>
      </fill>
    </dxf>
    <dxf>
      <fill>
        <patternFill patternType="solid">
          <bgColor rgb="FFECECEC"/>
        </patternFill>
      </fill>
    </dxf>
    <dxf>
      <fill>
        <patternFill patternType="solid">
          <bgColor rgb="FFECECEC"/>
        </patternFill>
      </fill>
    </dxf>
    <dxf>
      <fill>
        <patternFill patternType="solid">
          <bgColor rgb="FFECECEC"/>
        </patternFill>
      </fill>
    </dxf>
    <dxf>
      <fill>
        <patternFill patternType="solid">
          <bgColor rgb="FFECECEC"/>
        </patternFill>
      </fill>
    </dxf>
    <dxf>
      <fill>
        <patternFill patternType="solid">
          <bgColor rgb="FFECECEC"/>
        </patternFill>
      </fill>
    </dxf>
    <dxf>
      <fill>
        <patternFill patternType="solid">
          <bgColor rgb="FFECECEC"/>
        </patternFill>
      </fill>
    </dxf>
    <dxf>
      <fill>
        <patternFill patternType="solid">
          <bgColor rgb="FFECECEC"/>
        </patternFill>
      </fill>
    </dxf>
    <dxf>
      <fill>
        <patternFill patternType="solid">
          <bgColor rgb="FFECECEC"/>
        </patternFill>
      </fill>
    </dxf>
    <dxf>
      <fill>
        <patternFill patternType="solid">
          <bgColor rgb="FFECECEC"/>
        </patternFill>
      </fill>
    </dxf>
    <dxf>
      <fill>
        <patternFill patternType="solid">
          <bgColor rgb="FFECECEC"/>
        </patternFill>
      </fill>
    </dxf>
    <dxf>
      <fill>
        <patternFill patternType="solid">
          <bgColor rgb="FFECECEC"/>
        </patternFill>
      </fill>
    </dxf>
    <dxf>
      <fill>
        <patternFill patternType="solid">
          <bgColor rgb="FFECECEC"/>
        </patternFill>
      </fill>
    </dxf>
    <dxf>
      <fill>
        <patternFill patternType="solid">
          <bgColor rgb="FFECECEC"/>
        </patternFill>
      </fill>
    </dxf>
    <dxf>
      <fill>
        <patternFill patternType="solid">
          <bgColor rgb="FFECECEC"/>
        </patternFill>
      </fill>
    </dxf>
    <dxf>
      <fill>
        <patternFill patternType="solid">
          <bgColor rgb="FFECECEC"/>
        </patternFill>
      </fill>
    </dxf>
    <dxf>
      <fill>
        <patternFill patternType="solid">
          <bgColor rgb="FFECECEC"/>
        </patternFill>
      </fill>
    </dxf>
    <dxf>
      <numFmt numFmtId="14" formatCode="0.00%"/>
    </dxf>
    <dxf>
      <numFmt numFmtId="14"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alignment wrapText="1"/>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vertical="center"/>
    </dxf>
    <dxf>
      <alignment vertical="center"/>
    </dxf>
    <dxf>
      <alignment vertical="center"/>
    </dxf>
    <dxf>
      <alignment wrapText="1"/>
    </dxf>
    <dxf>
      <alignment wrapText="1"/>
    </dxf>
    <dxf>
      <alignment wrapText="1"/>
    </dxf>
    <dxf>
      <alignment wrapText="1"/>
    </dxf>
    <dxf>
      <alignment wrapText="1"/>
    </dxf>
    <dxf>
      <alignment wrapText="1"/>
    </dxf>
    <dxf>
      <alignment wrapText="1"/>
    </dxf>
    <dxf>
      <alignment wrapText="1"/>
    </dxf>
  </dxfs>
  <tableStyles count="0" defaultTableStyle="TableStyleMedium2" defaultPivotStyle="PivotStyleLight16"/>
  <colors>
    <mruColors>
      <color rgb="FF118751"/>
      <color rgb="FFCEE4DA"/>
      <color rgb="FF0F633C"/>
      <color rgb="FF004976"/>
      <color rgb="FFECECEC"/>
      <color rgb="FF616E69"/>
      <color rgb="FF1F2A44"/>
      <color rgb="FF97A79F"/>
      <color rgb="FFD85700"/>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pivotCacheDefinition" Target="pivotCache/pivotCacheDefinition8.xml"/><Relationship Id="rId21" Type="http://schemas.openxmlformats.org/officeDocument/2006/relationships/pivotCacheDefinition" Target="pivotCache/pivotCacheDefinition3.xml"/><Relationship Id="rId34"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pivotCacheDefinition" Target="pivotCache/pivotCacheDefinition7.xml"/><Relationship Id="rId33"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pivotCacheDefinition" Target="pivotCache/pivotCacheDefinition2.xml"/><Relationship Id="rId29"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ivotCacheDefinition" Target="pivotCache/pivotCacheDefinition6.xml"/><Relationship Id="rId32" Type="http://schemas.openxmlformats.org/officeDocument/2006/relationships/sheetMetadata" Target="metadata.xml"/><Relationship Id="rId37"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pivotCacheDefinition" Target="pivotCache/pivotCacheDefinition5.xml"/><Relationship Id="rId28" Type="http://schemas.microsoft.com/office/2007/relationships/slicerCache" Target="slicerCaches/slicerCache2.xml"/><Relationship Id="rId36"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pivotCacheDefinition" Target="pivotCache/pivotCacheDefinition1.xml"/><Relationship Id="rId31"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pivotCacheDefinition" Target="pivotCache/pivotCacheDefinition4.xml"/><Relationship Id="rId27" Type="http://schemas.microsoft.com/office/2007/relationships/slicerCache" Target="slicerCaches/slicerCache1.xml"/><Relationship Id="rId30" Type="http://schemas.openxmlformats.org/officeDocument/2006/relationships/styles" Target="styles.xml"/><Relationship Id="rId35" Type="http://schemas.openxmlformats.org/officeDocument/2006/relationships/customXml" Target="../customXml/item1.xml"/><Relationship Id="rId8" Type="http://schemas.openxmlformats.org/officeDocument/2006/relationships/worksheet" Target="worksheets/sheet8.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2.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3.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4.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5.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7.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8.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9.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r>
              <a:rPr lang="en-US"/>
              <a:t>Turbinas Paradas ≥7 dias - Comparativo Semanal</a:t>
            </a:r>
          </a:p>
        </c:rich>
      </c:tx>
      <c:overlay val="0"/>
      <c:spPr>
        <a:noFill/>
        <a:ln>
          <a:noFill/>
        </a:ln>
        <a:effectLst/>
      </c:spPr>
      <c:txPr>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endParaRPr lang="pt-BR"/>
        </a:p>
      </c:txPr>
    </c:title>
    <c:autoTitleDeleted val="0"/>
    <c:plotArea>
      <c:layout/>
      <c:barChart>
        <c:barDir val="col"/>
        <c:grouping val="clustered"/>
        <c:varyColors val="0"/>
        <c:ser>
          <c:idx val="0"/>
          <c:order val="0"/>
          <c:spPr>
            <a:solidFill>
              <a:schemeClr val="accent1"/>
            </a:solidFill>
            <a:ln>
              <a:noFill/>
            </a:ln>
            <a:effectLst/>
          </c:spPr>
          <c:invertIfNegative val="0"/>
          <c:val>
            <c:numRef>
              <c:f>'Relatório Executivo'!$P$3:$P$15</c:f>
            </c:numRef>
          </c:val>
          <c:extLst>
            <c:ext xmlns:c15="http://schemas.microsoft.com/office/drawing/2012/chart" uri="{02D57815-91ED-43cb-92C2-25804820EDAC}">
              <c15:filteredCategoryTitle>
                <c15:cat>
                  <c:multiLvlStrRef>
                    <c:extLst>
                      <c:ext uri="{02D57815-91ED-43cb-92C2-25804820EDAC}">
                        <c15:formulaRef>
                          <c15:sqref>'Relatório Executivo'!$N$4:$N$15</c15:sqref>
                        </c15:formulaRef>
                      </c:ext>
                    </c:extLst>
                  </c:multiLvlStrRef>
                </c15:cat>
              </c15:filteredCategoryTitle>
            </c:ext>
            <c:ext xmlns:c16="http://schemas.microsoft.com/office/drawing/2014/chart" uri="{C3380CC4-5D6E-409C-BE32-E72D297353CC}">
              <c16:uniqueId val="{00000000-D127-4B03-9ADE-7E1F8202439F}"/>
            </c:ext>
          </c:extLst>
        </c:ser>
        <c:ser>
          <c:idx val="1"/>
          <c:order val="1"/>
          <c:spPr>
            <a:solidFill>
              <a:schemeClr val="accent2"/>
            </a:solidFill>
            <a:ln>
              <a:noFill/>
            </a:ln>
            <a:effectLst/>
          </c:spPr>
          <c:invertIfNegative val="0"/>
          <c:val>
            <c:numRef>
              <c:f>'Relatório Executivo'!$Q$3:$Q$15</c:f>
            </c:numRef>
          </c:val>
          <c:extLst>
            <c:ext xmlns:c15="http://schemas.microsoft.com/office/drawing/2012/chart" uri="{02D57815-91ED-43cb-92C2-25804820EDAC}">
              <c15:filteredCategoryTitle>
                <c15:cat>
                  <c:multiLvlStrRef>
                    <c:extLst>
                      <c:ext uri="{02D57815-91ED-43cb-92C2-25804820EDAC}">
                        <c15:formulaRef>
                          <c15:sqref>'Relatório Executivo'!$N$4:$N$15</c15:sqref>
                        </c15:formulaRef>
                      </c:ext>
                    </c:extLst>
                  </c:multiLvlStrRef>
                </c15:cat>
              </c15:filteredCategoryTitle>
            </c:ext>
            <c:ext xmlns:c16="http://schemas.microsoft.com/office/drawing/2014/chart" uri="{C3380CC4-5D6E-409C-BE32-E72D297353CC}">
              <c16:uniqueId val="{00000001-D127-4B03-9ADE-7E1F8202439F}"/>
            </c:ext>
          </c:extLst>
        </c:ser>
        <c:dLbls>
          <c:showLegendKey val="0"/>
          <c:showVal val="0"/>
          <c:showCatName val="0"/>
          <c:showSerName val="0"/>
          <c:showPercent val="0"/>
          <c:showBubbleSize val="0"/>
        </c:dLbls>
        <c:gapWidth val="219"/>
        <c:overlap val="-27"/>
        <c:axId val="1959101919"/>
        <c:axId val="1959101439"/>
      </c:barChart>
      <c:catAx>
        <c:axId val="19591019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1959101439"/>
        <c:crosses val="autoZero"/>
        <c:auto val="1"/>
        <c:lblAlgn val="ctr"/>
        <c:lblOffset val="100"/>
        <c:noMultiLvlLbl val="0"/>
      </c:catAx>
      <c:valAx>
        <c:axId val="195910143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pt-BR"/>
                  <a:t>Turbinas Paradas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pt-BR"/>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195910191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orientation="landscape"/>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aseline="0"/>
              <a:t>Time Responsável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BR"/>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pt-BR"/>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pt-BR"/>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pt-BR"/>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pt-BR"/>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s>
    <c:plotArea>
      <c:layout/>
      <c:doughnutChart>
        <c:varyColors val="1"/>
        <c:ser>
          <c:idx val="0"/>
          <c:order val="0"/>
          <c:tx>
            <c:v>Série1</c:v>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DBC-4418-BAC9-68225096A00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DBC-4418-BAC9-68225096A00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DBC-4418-BAC9-68225096A00A}"/>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FDB6-4B45-BB00-467DC88D26EC}"/>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FDB6-4B45-BB00-467DC88D26EC}"/>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pt-BR"/>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1"/>
              <c:pt idx="0">
                <c:v>Total</c:v>
              </c:pt>
            </c:strLit>
          </c:cat>
          <c:val>
            <c:numLit>
              <c:formatCode>General</c:formatCode>
              <c:ptCount val="1"/>
              <c:pt idx="0">
                <c:v>22</c:v>
              </c:pt>
            </c:numLit>
          </c:val>
          <c:extLst>
            <c:ext xmlns:c16="http://schemas.microsoft.com/office/drawing/2014/chart" uri="{C3380CC4-5D6E-409C-BE32-E72D297353CC}">
              <c16:uniqueId val="{00000006-EDBC-4418-BAC9-68225096A00A}"/>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l"/>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pivotSource>
    <c:name>[Stopped Turbines - Report.xlsx]Dashboard_Essentia!Tabela dinâmica2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t-BR" sz="1200"/>
              <a:t>ASA - Total turbinas paradas</a:t>
            </a:r>
          </a:p>
        </c:rich>
      </c:tx>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4">
              <a:lumMod val="60000"/>
              <a:lumOff val="40000"/>
            </a:schemeClr>
          </a:solidFill>
          <a:ln>
            <a:noFill/>
          </a:ln>
          <a:effectLst/>
        </c:spPr>
      </c:pivotFmt>
      <c:pivotFmt>
        <c:idx val="2"/>
        <c:spPr>
          <a:solidFill>
            <a:schemeClr val="accent4">
              <a:lumMod val="75000"/>
            </a:schemeClr>
          </a:solidFill>
          <a:ln>
            <a:noFill/>
          </a:ln>
          <a:effectLst/>
        </c:spPr>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
        <c:spPr>
          <a:solidFill>
            <a:schemeClr val="accent4">
              <a:lumMod val="75000"/>
            </a:schemeClr>
          </a:solidFill>
          <a:ln>
            <a:noFill/>
          </a:ln>
          <a:effectLst/>
        </c:spPr>
      </c:pivotFmt>
      <c:pivotFmt>
        <c:idx val="5"/>
        <c:spPr>
          <a:solidFill>
            <a:schemeClr val="accent4">
              <a:lumMod val="60000"/>
              <a:lumOff val="40000"/>
            </a:schemeClr>
          </a:solidFill>
          <a:ln>
            <a:noFill/>
          </a:ln>
          <a:effectLst/>
        </c:spPr>
      </c:pivotFmt>
      <c:pivotFmt>
        <c:idx val="6"/>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7"/>
        <c:spPr>
          <a:solidFill>
            <a:schemeClr val="accent4">
              <a:lumMod val="75000"/>
            </a:schemeClr>
          </a:solidFill>
          <a:ln>
            <a:noFill/>
          </a:ln>
          <a:effectLst/>
        </c:spPr>
      </c:pivotFmt>
      <c:pivotFmt>
        <c:idx val="8"/>
        <c:spPr>
          <a:solidFill>
            <a:schemeClr val="accent4">
              <a:lumMod val="60000"/>
              <a:lumOff val="40000"/>
            </a:schemeClr>
          </a:solidFill>
          <a:ln>
            <a:noFill/>
          </a:ln>
          <a:effectLst/>
        </c:spPr>
      </c:pivotFmt>
      <c:pivotFmt>
        <c:idx val="9"/>
        <c:spPr>
          <a:solidFill>
            <a:schemeClr val="accent1"/>
          </a:solidFill>
          <a:ln>
            <a:noFill/>
          </a:ln>
          <a:effectLst/>
        </c:spPr>
        <c:marker>
          <c:symbol val="none"/>
        </c:marker>
        <c:dLbl>
          <c:idx val="0"/>
          <c:spPr>
            <a:noFill/>
            <a:ln>
              <a:noFill/>
            </a:ln>
            <a:effectLst/>
          </c:spPr>
          <c:txPr>
            <a:bodyPr wrap="square" lIns="38100" tIns="19050" rIns="38100" bIns="19050" anchor="ctr">
              <a:spAutoFit/>
            </a:bodyPr>
            <a:lstStyle/>
            <a:p>
              <a:pPr>
                <a:defRPr b="1">
                  <a:solidFill>
                    <a:schemeClr val="bg1"/>
                  </a:solidFill>
                </a:defRPr>
              </a:pPr>
              <a:endParaRPr lang="pt-BR"/>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4">
              <a:lumMod val="75000"/>
            </a:schemeClr>
          </a:solidFill>
          <a:ln>
            <a:noFill/>
          </a:ln>
          <a:effectLst/>
        </c:spPr>
      </c:pivotFmt>
      <c:pivotFmt>
        <c:idx val="11"/>
        <c:spPr>
          <a:solidFill>
            <a:schemeClr val="accent4">
              <a:lumMod val="60000"/>
              <a:lumOff val="40000"/>
            </a:schemeClr>
          </a:solidFill>
          <a:ln>
            <a:noFill/>
          </a:ln>
          <a:effectLst/>
        </c:spPr>
      </c:pivotFmt>
      <c:pivotFmt>
        <c:idx val="12"/>
        <c:spPr>
          <a:solidFill>
            <a:schemeClr val="accent1"/>
          </a:solidFill>
          <a:ln>
            <a:noFill/>
          </a:ln>
          <a:effectLst/>
        </c:spPr>
        <c:marker>
          <c:symbol val="none"/>
        </c:marker>
        <c:dLbl>
          <c:idx val="0"/>
          <c:spPr>
            <a:noFill/>
            <a:ln>
              <a:noFill/>
            </a:ln>
            <a:effectLst/>
          </c:spPr>
          <c:txPr>
            <a:bodyPr wrap="square" lIns="38100" tIns="19050" rIns="38100" bIns="19050" anchor="ctr">
              <a:spAutoFit/>
            </a:bodyPr>
            <a:lstStyle/>
            <a:p>
              <a:pPr>
                <a:defRPr b="1">
                  <a:solidFill>
                    <a:schemeClr val="bg1"/>
                  </a:solidFill>
                </a:defRPr>
              </a:pPr>
              <a:endParaRPr lang="pt-BR"/>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wrap="square" lIns="38100" tIns="19050" rIns="38100" bIns="19050" anchor="ctr">
              <a:spAutoFit/>
            </a:bodyPr>
            <a:lstStyle/>
            <a:p>
              <a:pPr>
                <a:defRPr b="1">
                  <a:solidFill>
                    <a:schemeClr val="bg1"/>
                  </a:solidFill>
                </a:defRPr>
              </a:pPr>
              <a:endParaRPr lang="pt-BR"/>
            </a:p>
          </c:txPr>
          <c:showLegendKey val="0"/>
          <c:showVal val="1"/>
          <c:showCatName val="0"/>
          <c:showSerName val="0"/>
          <c:showPercent val="0"/>
          <c:showBubbleSize val="0"/>
          <c:extLst>
            <c:ext xmlns:c15="http://schemas.microsoft.com/office/drawing/2012/chart" uri="{CE6537A1-D6FC-4f65-9D91-7224C49458BB}"/>
          </c:extLst>
        </c:dLbl>
      </c:pivotFmt>
      <c:pivotFmt>
        <c:idx val="14"/>
      </c:pivotFmt>
      <c:pivotFmt>
        <c:idx val="15"/>
      </c:pivotFmt>
      <c:pivotFmt>
        <c:idx val="16"/>
      </c:pivotFmt>
      <c:pivotFmt>
        <c:idx val="17"/>
      </c:pivotFmt>
    </c:pivotFmts>
    <c:plotArea>
      <c:layout/>
      <c:barChart>
        <c:barDir val="col"/>
        <c:grouping val="stacked"/>
        <c:varyColors val="0"/>
        <c:ser>
          <c:idx val="0"/>
          <c:order val="0"/>
          <c:tx>
            <c:strRef>
              <c:f>Dashboard_Essentia!$AK$38:$AK$39</c:f>
              <c:strCache>
                <c:ptCount val="1"/>
                <c:pt idx="0">
                  <c:v>Total Geral</c:v>
                </c:pt>
              </c:strCache>
            </c:strRef>
          </c:tx>
          <c:spPr>
            <a:solidFill>
              <a:schemeClr val="accent1"/>
            </a:solidFill>
            <a:ln>
              <a:noFill/>
            </a:ln>
            <a:effectLst/>
          </c:spPr>
          <c:invertIfNegative val="0"/>
          <c:dPt>
            <c:idx val="0"/>
            <c:invertIfNegative val="0"/>
            <c:bubble3D val="0"/>
            <c:extLst>
              <c:ext xmlns:c16="http://schemas.microsoft.com/office/drawing/2014/chart" uri="{C3380CC4-5D6E-409C-BE32-E72D297353CC}">
                <c16:uniqueId val="{00000006-E320-42EC-90AA-72B9AE1CC29B}"/>
              </c:ext>
            </c:extLst>
          </c:dPt>
          <c:dPt>
            <c:idx val="1"/>
            <c:invertIfNegative val="0"/>
            <c:bubble3D val="0"/>
            <c:extLst>
              <c:ext xmlns:c16="http://schemas.microsoft.com/office/drawing/2014/chart" uri="{C3380CC4-5D6E-409C-BE32-E72D297353CC}">
                <c16:uniqueId val="{00000008-E320-42EC-90AA-72B9AE1CC29B}"/>
              </c:ext>
            </c:extLst>
          </c:dPt>
          <c:dLbls>
            <c:spPr>
              <a:noFill/>
              <a:ln>
                <a:noFill/>
              </a:ln>
              <a:effectLst/>
            </c:spPr>
            <c:txPr>
              <a:bodyPr wrap="square" lIns="38100" tIns="19050" rIns="38100" bIns="19050" anchor="ctr">
                <a:spAutoFit/>
              </a:bodyPr>
              <a:lstStyle/>
              <a:p>
                <a:pPr>
                  <a:defRPr b="1">
                    <a:solidFill>
                      <a:schemeClr val="bg1"/>
                    </a:solidFill>
                  </a:defRPr>
                </a:pPr>
                <a:endParaRPr lang="pt-BR"/>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Dashboard_Essentia!$AJ$40</c:f>
              <c:strCache>
                <c:ptCount val="1"/>
                <c:pt idx="0">
                  <c:v>Total Geral</c:v>
                </c:pt>
              </c:strCache>
            </c:strRef>
          </c:cat>
          <c:val>
            <c:numRef>
              <c:f>Dashboard_Essentia!$AK$40</c:f>
              <c:numCache>
                <c:formatCode>General</c:formatCode>
                <c:ptCount val="1"/>
              </c:numCache>
            </c:numRef>
          </c:val>
          <c:extLst>
            <c:ext xmlns:c16="http://schemas.microsoft.com/office/drawing/2014/chart" uri="{C3380CC4-5D6E-409C-BE32-E72D297353CC}">
              <c16:uniqueId val="{00000009-E320-42EC-90AA-72B9AE1CC29B}"/>
            </c:ext>
          </c:extLst>
        </c:ser>
        <c:dLbls>
          <c:showLegendKey val="0"/>
          <c:showVal val="1"/>
          <c:showCatName val="0"/>
          <c:showSerName val="0"/>
          <c:showPercent val="0"/>
          <c:showBubbleSize val="0"/>
        </c:dLbls>
        <c:gapWidth val="219"/>
        <c:overlap val="100"/>
        <c:axId val="230157664"/>
        <c:axId val="230155264"/>
      </c:barChart>
      <c:catAx>
        <c:axId val="2301576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230155264"/>
        <c:crosses val="autoZero"/>
        <c:auto val="1"/>
        <c:lblAlgn val="ctr"/>
        <c:lblOffset val="100"/>
        <c:noMultiLvlLbl val="0"/>
      </c:catAx>
      <c:valAx>
        <c:axId val="230155264"/>
        <c:scaling>
          <c:orientation val="minMax"/>
          <c:max val="10"/>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230157664"/>
        <c:crosses val="autoZero"/>
        <c:crossBetween val="between"/>
      </c:valAx>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legend>
    <c:plotVisOnly val="1"/>
    <c:dispBlanksAs val="gap"/>
    <c:showDLblsOverMax val="0"/>
    <c:extLst/>
  </c:chart>
  <c:spPr>
    <a:ln>
      <a:solidFill>
        <a:schemeClr val="tx1"/>
      </a:solidFill>
    </a:ln>
  </c:spPr>
  <c:txPr>
    <a:bodyPr/>
    <a:lstStyle/>
    <a:p>
      <a:pPr>
        <a:defRPr/>
      </a:pPr>
      <a:endParaRPr lang="pt-BR"/>
    </a:p>
  </c:txPr>
  <c:printSettings>
    <c:headerFooter/>
    <c:pageMargins b="0.78740157499999996" l="0.511811024" r="0.511811024" t="0.78740157499999996" header="0.31496062000000002" footer="0.31496062000000002"/>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pivotSource>
    <c:name>[Stopped Turbines - Report.xlsx]Dashboard_Essentia!Tabela dinâmica3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a:t>CHA - Total de turbinas</a:t>
            </a:r>
            <a:r>
              <a:rPr lang="en-US" sz="1200" baseline="0"/>
              <a:t> paradas</a:t>
            </a:r>
            <a:endParaRPr lang="en-US" sz="120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pt-BR"/>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lumMod val="50000"/>
            </a:schemeClr>
          </a:solidFill>
          <a:ln>
            <a:noFill/>
          </a:ln>
          <a:effectLst/>
        </c:spPr>
      </c:pivotFmt>
      <c:pivotFmt>
        <c:idx val="2"/>
        <c:spPr>
          <a:solidFill>
            <a:schemeClr val="accent2">
              <a:lumMod val="75000"/>
            </a:schemeClr>
          </a:solidFill>
          <a:ln>
            <a:noFill/>
          </a:ln>
          <a:effectLst/>
        </c:spPr>
      </c:pivotFmt>
      <c:pivotFmt>
        <c:idx val="3"/>
        <c:spPr>
          <a:solidFill>
            <a:schemeClr val="accent2">
              <a:lumMod val="60000"/>
              <a:lumOff val="40000"/>
            </a:schemeClr>
          </a:solidFill>
          <a:ln>
            <a:noFill/>
          </a:ln>
          <a:effectLst/>
        </c:spPr>
      </c:pivotFmt>
      <c:pivotFmt>
        <c:idx val="4"/>
        <c:spPr>
          <a:solidFill>
            <a:schemeClr val="accent2">
              <a:lumMod val="40000"/>
              <a:lumOff val="60000"/>
            </a:schemeClr>
          </a:solidFill>
          <a:ln>
            <a:noFill/>
          </a:ln>
          <a:effectLst/>
        </c:spPr>
      </c:pivotFmt>
      <c:pivotFmt>
        <c:idx val="5"/>
        <c:spPr>
          <a:solidFill>
            <a:schemeClr val="accent2">
              <a:lumMod val="20000"/>
              <a:lumOff val="80000"/>
            </a:schemeClr>
          </a:solidFill>
          <a:ln>
            <a:noFill/>
          </a:ln>
          <a:effectLst/>
        </c:spPr>
      </c:pivotFmt>
      <c:pivotFmt>
        <c:idx val="6"/>
        <c:spPr>
          <a:solidFill>
            <a:schemeClr val="accent2">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pt-BR"/>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2">
              <a:lumMod val="50000"/>
            </a:schemeClr>
          </a:solidFill>
          <a:ln>
            <a:noFill/>
          </a:ln>
          <a:effectLst/>
        </c:spPr>
      </c:pivotFmt>
      <c:pivotFmt>
        <c:idx val="9"/>
        <c:spPr>
          <a:solidFill>
            <a:schemeClr val="accent2">
              <a:lumMod val="50000"/>
            </a:schemeClr>
          </a:solidFill>
          <a:ln>
            <a:noFill/>
          </a:ln>
          <a:effectLst/>
        </c:spPr>
      </c:pivotFmt>
      <c:pivotFmt>
        <c:idx val="10"/>
        <c:spPr>
          <a:solidFill>
            <a:schemeClr val="accent2">
              <a:lumMod val="50000"/>
            </a:schemeClr>
          </a:solidFill>
          <a:ln>
            <a:noFill/>
          </a:ln>
          <a:effectLst/>
        </c:spPr>
      </c:pivotFmt>
      <c:pivotFmt>
        <c:idx val="11"/>
        <c:spPr>
          <a:solidFill>
            <a:schemeClr val="accent2">
              <a:lumMod val="50000"/>
            </a:schemeClr>
          </a:solidFill>
          <a:ln>
            <a:noFill/>
          </a:ln>
          <a:effectLst/>
        </c:spPr>
      </c:pivotFmt>
      <c:pivotFmt>
        <c:idx val="12"/>
        <c:spPr>
          <a:solidFill>
            <a:schemeClr val="accent2">
              <a:lumMod val="50000"/>
            </a:schemeClr>
          </a:solidFill>
          <a:ln>
            <a:noFill/>
          </a:ln>
          <a:effectLst/>
        </c:spPr>
      </c:pivotFmt>
      <c:pivotFmt>
        <c:idx val="13"/>
        <c:spPr>
          <a:solidFill>
            <a:schemeClr val="accent2">
              <a:lumMod val="20000"/>
              <a:lumOff val="80000"/>
            </a:schemeClr>
          </a:solidFill>
          <a:ln>
            <a:noFill/>
          </a:ln>
          <a:effectLst/>
        </c:spPr>
      </c:pivotFmt>
      <c:pivotFmt>
        <c:idx val="14"/>
        <c:spPr>
          <a:solidFill>
            <a:schemeClr val="accent2">
              <a:lumMod val="20000"/>
              <a:lumOff val="80000"/>
            </a:schemeClr>
          </a:solidFill>
          <a:ln>
            <a:noFill/>
          </a:ln>
          <a:effectLst/>
        </c:spPr>
      </c:pivotFmt>
      <c:pivotFmt>
        <c:idx val="15"/>
        <c:spPr>
          <a:solidFill>
            <a:schemeClr val="accent2">
              <a:lumMod val="20000"/>
              <a:lumOff val="80000"/>
            </a:schemeClr>
          </a:solidFill>
          <a:ln>
            <a:noFill/>
          </a:ln>
          <a:effectLst/>
        </c:spPr>
      </c:pivotFmt>
      <c:pivotFmt>
        <c:idx val="16"/>
        <c:spPr>
          <a:solidFill>
            <a:schemeClr val="accent2">
              <a:lumMod val="20000"/>
              <a:lumOff val="80000"/>
            </a:schemeClr>
          </a:solidFill>
          <a:ln>
            <a:noFill/>
          </a:ln>
          <a:effectLst/>
        </c:spPr>
      </c:pivotFmt>
      <c:pivotFmt>
        <c:idx val="17"/>
        <c:spPr>
          <a:solidFill>
            <a:schemeClr val="accent2">
              <a:lumMod val="20000"/>
              <a:lumOff val="80000"/>
            </a:schemeClr>
          </a:solidFill>
          <a:ln>
            <a:noFill/>
          </a:ln>
          <a:effectLst/>
        </c:spPr>
      </c:pivotFmt>
      <c:pivotFmt>
        <c:idx val="18"/>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pt-BR"/>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2">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pt-BR"/>
            </a:p>
          </c:txP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pt-BR"/>
            </a:p>
          </c:txP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Dashboard_Essentia!$AQ$38:$AQ$39</c:f>
              <c:strCache>
                <c:ptCount val="1"/>
                <c:pt idx="0">
                  <c:v>MCE</c:v>
                </c:pt>
              </c:strCache>
            </c:strRef>
          </c:tx>
          <c:spPr>
            <a:solidFill>
              <a:schemeClr val="accent2">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pt-B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Dashboard_Essentia!$AP$40:$AP$43</c:f>
              <c:strCache>
                <c:ptCount val="3"/>
                <c:pt idx="0">
                  <c:v>Blade</c:v>
                </c:pt>
                <c:pt idx="1">
                  <c:v>Gearbox</c:v>
                </c:pt>
                <c:pt idx="2">
                  <c:v>Gerador</c:v>
                </c:pt>
              </c:strCache>
            </c:strRef>
          </c:cat>
          <c:val>
            <c:numRef>
              <c:f>Dashboard_Essentia!$AQ$40:$AQ$43</c:f>
              <c:numCache>
                <c:formatCode>General</c:formatCode>
                <c:ptCount val="3"/>
                <c:pt idx="0">
                  <c:v>1</c:v>
                </c:pt>
                <c:pt idx="1">
                  <c:v>2</c:v>
                </c:pt>
                <c:pt idx="2">
                  <c:v>1</c:v>
                </c:pt>
              </c:numCache>
            </c:numRef>
          </c:val>
          <c:extLst>
            <c:ext xmlns:c16="http://schemas.microsoft.com/office/drawing/2014/chart" uri="{C3380CC4-5D6E-409C-BE32-E72D297353CC}">
              <c16:uniqueId val="{00000000-19BA-4381-9F98-E6FFCCC74CA7}"/>
            </c:ext>
          </c:extLst>
        </c:ser>
        <c:dLbls>
          <c:showLegendKey val="0"/>
          <c:showVal val="1"/>
          <c:showCatName val="0"/>
          <c:showSerName val="0"/>
          <c:showPercent val="0"/>
          <c:showBubbleSize val="0"/>
        </c:dLbls>
        <c:gapWidth val="219"/>
        <c:overlap val="100"/>
        <c:axId val="1318550431"/>
        <c:axId val="1318551391"/>
      </c:barChart>
      <c:catAx>
        <c:axId val="13185504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1318551391"/>
        <c:crosses val="autoZero"/>
        <c:auto val="1"/>
        <c:lblAlgn val="ctr"/>
        <c:lblOffset val="100"/>
        <c:noMultiLvlLbl val="0"/>
      </c:catAx>
      <c:valAx>
        <c:axId val="1318551391"/>
        <c:scaling>
          <c:orientation val="minMax"/>
          <c:max val="10"/>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131855043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9050" cap="flat" cmpd="sng" algn="ctr">
      <a:solidFill>
        <a:schemeClr val="tx1"/>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t-BR"/>
              <a:t>Histórico - N° de WTGs paradas </a:t>
            </a:r>
            <a:r>
              <a:rPr lang="pt-BR" baseline="0"/>
              <a:t>7d+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BR"/>
        </a:p>
      </c:txPr>
    </c:title>
    <c:autoTitleDeleted val="0"/>
    <c:plotArea>
      <c:layout>
        <c:manualLayout>
          <c:layoutTarget val="inner"/>
          <c:xMode val="edge"/>
          <c:yMode val="edge"/>
          <c:x val="6.9403547738711296E-2"/>
          <c:y val="0.1137336242256715"/>
          <c:w val="0.91407416343346648"/>
          <c:h val="0.5937560208950784"/>
        </c:manualLayout>
      </c:layout>
      <c:barChart>
        <c:barDir val="col"/>
        <c:grouping val="stacked"/>
        <c:varyColors val="0"/>
        <c:ser>
          <c:idx val="0"/>
          <c:order val="0"/>
          <c:tx>
            <c:strRef>
              <c:f>Historic!$F$1</c:f>
              <c:strCache>
                <c:ptCount val="1"/>
                <c:pt idx="0">
                  <c:v>ASA</c:v>
                </c:pt>
              </c:strCache>
            </c:strRef>
          </c:tx>
          <c:spPr>
            <a:solidFill>
              <a:schemeClr val="tx2">
                <a:lumMod val="90000"/>
                <a:lumOff val="1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pt-BR"/>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Historic!$A$2:$A$119</c15:sqref>
                  </c15:fullRef>
                </c:ext>
              </c:extLst>
              <c:f>Historic!$A$2:$A$97</c:f>
              <c:strCache>
                <c:ptCount val="82"/>
                <c:pt idx="0">
                  <c:v>2025W01</c:v>
                </c:pt>
                <c:pt idx="1">
                  <c:v>2025W02</c:v>
                </c:pt>
                <c:pt idx="2">
                  <c:v>2025W03</c:v>
                </c:pt>
                <c:pt idx="3">
                  <c:v>2025W04</c:v>
                </c:pt>
                <c:pt idx="4">
                  <c:v>2025W05</c:v>
                </c:pt>
                <c:pt idx="5">
                  <c:v>2025W06</c:v>
                </c:pt>
                <c:pt idx="6">
                  <c:v>2025W07</c:v>
                </c:pt>
                <c:pt idx="7">
                  <c:v>2025W08</c:v>
                </c:pt>
                <c:pt idx="8">
                  <c:v>2025W09</c:v>
                </c:pt>
                <c:pt idx="9">
                  <c:v>2025W10</c:v>
                </c:pt>
                <c:pt idx="10">
                  <c:v>2025W11</c:v>
                </c:pt>
                <c:pt idx="11">
                  <c:v>2025W12</c:v>
                </c:pt>
                <c:pt idx="12">
                  <c:v>2025W13</c:v>
                </c:pt>
                <c:pt idx="13">
                  <c:v>2025W14</c:v>
                </c:pt>
                <c:pt idx="14">
                  <c:v>2025W15</c:v>
                </c:pt>
                <c:pt idx="15">
                  <c:v>2025W16</c:v>
                </c:pt>
                <c:pt idx="16">
                  <c:v>2025W17</c:v>
                </c:pt>
                <c:pt idx="17">
                  <c:v>2025W18</c:v>
                </c:pt>
                <c:pt idx="18">
                  <c:v>2025W19</c:v>
                </c:pt>
                <c:pt idx="19">
                  <c:v>2025W20</c:v>
                </c:pt>
                <c:pt idx="20">
                  <c:v>2025W21</c:v>
                </c:pt>
                <c:pt idx="21">
                  <c:v>2025W22</c:v>
                </c:pt>
                <c:pt idx="22">
                  <c:v>2025W23</c:v>
                </c:pt>
                <c:pt idx="23">
                  <c:v>2025W24</c:v>
                </c:pt>
                <c:pt idx="24">
                  <c:v>2025W25</c:v>
                </c:pt>
                <c:pt idx="25">
                  <c:v>2025W26</c:v>
                </c:pt>
                <c:pt idx="26">
                  <c:v>2025W27</c:v>
                </c:pt>
                <c:pt idx="27">
                  <c:v>2025W28</c:v>
                </c:pt>
                <c:pt idx="28">
                  <c:v>2025W29</c:v>
                </c:pt>
                <c:pt idx="29">
                  <c:v>2025W30</c:v>
                </c:pt>
                <c:pt idx="30">
                  <c:v>2025W31</c:v>
                </c:pt>
                <c:pt idx="31">
                  <c:v>2025W32</c:v>
                </c:pt>
                <c:pt idx="32">
                  <c:v>2025W33</c:v>
                </c:pt>
                <c:pt idx="33">
                  <c:v>2025W34</c:v>
                </c:pt>
                <c:pt idx="34">
                  <c:v>2025W35</c:v>
                </c:pt>
                <c:pt idx="35">
                  <c:v>2025W36</c:v>
                </c:pt>
                <c:pt idx="36">
                  <c:v>2025W37</c:v>
                </c:pt>
                <c:pt idx="37">
                  <c:v>2025W38</c:v>
                </c:pt>
                <c:pt idx="38">
                  <c:v>2025W39</c:v>
                </c:pt>
                <c:pt idx="39">
                  <c:v>2025W40</c:v>
                </c:pt>
                <c:pt idx="40">
                  <c:v>2025W41</c:v>
                </c:pt>
                <c:pt idx="41">
                  <c:v>2025W42</c:v>
                </c:pt>
                <c:pt idx="42">
                  <c:v>2025W43</c:v>
                </c:pt>
                <c:pt idx="43">
                  <c:v>2025W44</c:v>
                </c:pt>
                <c:pt idx="44">
                  <c:v>2025W45</c:v>
                </c:pt>
                <c:pt idx="45">
                  <c:v>2025W46</c:v>
                </c:pt>
                <c:pt idx="46">
                  <c:v>2025W47</c:v>
                </c:pt>
                <c:pt idx="47">
                  <c:v>2025W48</c:v>
                </c:pt>
                <c:pt idx="48">
                  <c:v>2025W49</c:v>
                </c:pt>
                <c:pt idx="49">
                  <c:v>2025W50</c:v>
                </c:pt>
                <c:pt idx="50">
                  <c:v>2025W51</c:v>
                </c:pt>
                <c:pt idx="51">
                  <c:v>2025W52</c:v>
                </c:pt>
                <c:pt idx="52">
                  <c:v>2026W01</c:v>
                </c:pt>
                <c:pt idx="53">
                  <c:v>2026W02</c:v>
                </c:pt>
                <c:pt idx="54">
                  <c:v>2026W03</c:v>
                </c:pt>
                <c:pt idx="55">
                  <c:v>2026W04</c:v>
                </c:pt>
                <c:pt idx="56">
                  <c:v>2026W05</c:v>
                </c:pt>
                <c:pt idx="57">
                  <c:v>2026W06</c:v>
                </c:pt>
                <c:pt idx="58">
                  <c:v>2026W07</c:v>
                </c:pt>
                <c:pt idx="59">
                  <c:v>2026W08</c:v>
                </c:pt>
                <c:pt idx="60">
                  <c:v>2026W09</c:v>
                </c:pt>
                <c:pt idx="61">
                  <c:v>2026W10</c:v>
                </c:pt>
                <c:pt idx="62">
                  <c:v>2026W11</c:v>
                </c:pt>
                <c:pt idx="63">
                  <c:v>2026W12</c:v>
                </c:pt>
                <c:pt idx="64">
                  <c:v>2026W13</c:v>
                </c:pt>
                <c:pt idx="65">
                  <c:v>2026W14</c:v>
                </c:pt>
                <c:pt idx="66">
                  <c:v>2026W15</c:v>
                </c:pt>
                <c:pt idx="67">
                  <c:v>2026W16</c:v>
                </c:pt>
                <c:pt idx="68">
                  <c:v>2026W17</c:v>
                </c:pt>
                <c:pt idx="69">
                  <c:v>2026W18</c:v>
                </c:pt>
                <c:pt idx="70">
                  <c:v>2026W19</c:v>
                </c:pt>
                <c:pt idx="71">
                  <c:v>2026W20</c:v>
                </c:pt>
                <c:pt idx="72">
                  <c:v>2026W21</c:v>
                </c:pt>
                <c:pt idx="73">
                  <c:v>2026W22</c:v>
                </c:pt>
                <c:pt idx="74">
                  <c:v>2026W23</c:v>
                </c:pt>
                <c:pt idx="75">
                  <c:v>2026W24</c:v>
                </c:pt>
                <c:pt idx="76">
                  <c:v>2026W25</c:v>
                </c:pt>
                <c:pt idx="77">
                  <c:v>2026W26</c:v>
                </c:pt>
                <c:pt idx="78">
                  <c:v>2026W27</c:v>
                </c:pt>
                <c:pt idx="79">
                  <c:v>2026W28</c:v>
                </c:pt>
                <c:pt idx="80">
                  <c:v>2026W29</c:v>
                </c:pt>
                <c:pt idx="81">
                  <c:v>2026W30</c:v>
                </c:pt>
              </c:strCache>
            </c:strRef>
          </c:cat>
          <c:val>
            <c:numRef>
              <c:extLst>
                <c:ext xmlns:c15="http://schemas.microsoft.com/office/drawing/2012/chart" uri="{02D57815-91ED-43cb-92C2-25804820EDAC}">
                  <c15:fullRef>
                    <c15:sqref>Historic!$F$2:$F$119</c15:sqref>
                  </c15:fullRef>
                </c:ext>
              </c:extLst>
              <c:f>Historic!$F$2:$F$97</c:f>
              <c:numCache>
                <c:formatCode>General</c:formatCode>
                <c:ptCount val="82"/>
                <c:pt idx="0">
                  <c:v>2</c:v>
                </c:pt>
                <c:pt idx="1">
                  <c:v>2</c:v>
                </c:pt>
                <c:pt idx="2">
                  <c:v>2</c:v>
                </c:pt>
                <c:pt idx="3">
                  <c:v>3</c:v>
                </c:pt>
                <c:pt idx="4">
                  <c:v>3</c:v>
                </c:pt>
                <c:pt idx="5">
                  <c:v>3</c:v>
                </c:pt>
                <c:pt idx="6">
                  <c:v>3</c:v>
                </c:pt>
                <c:pt idx="7">
                  <c:v>2</c:v>
                </c:pt>
                <c:pt idx="8">
                  <c:v>2</c:v>
                </c:pt>
                <c:pt idx="9">
                  <c:v>2</c:v>
                </c:pt>
                <c:pt idx="10">
                  <c:v>2</c:v>
                </c:pt>
                <c:pt idx="11">
                  <c:v>2</c:v>
                </c:pt>
                <c:pt idx="12">
                  <c:v>2</c:v>
                </c:pt>
                <c:pt idx="13">
                  <c:v>2</c:v>
                </c:pt>
                <c:pt idx="14">
                  <c:v>2</c:v>
                </c:pt>
                <c:pt idx="15">
                  <c:v>2</c:v>
                </c:pt>
                <c:pt idx="16">
                  <c:v>1</c:v>
                </c:pt>
                <c:pt idx="17">
                  <c:v>1</c:v>
                </c:pt>
                <c:pt idx="18">
                  <c:v>1</c:v>
                </c:pt>
                <c:pt idx="19">
                  <c:v>0</c:v>
                </c:pt>
                <c:pt idx="20">
                  <c:v>1</c:v>
                </c:pt>
                <c:pt idx="21">
                  <c:v>1</c:v>
                </c:pt>
                <c:pt idx="22">
                  <c:v>2</c:v>
                </c:pt>
                <c:pt idx="23">
                  <c:v>1</c:v>
                </c:pt>
                <c:pt idx="24">
                  <c:v>1</c:v>
                </c:pt>
                <c:pt idx="25">
                  <c:v>1</c:v>
                </c:pt>
                <c:pt idx="26">
                  <c:v>1</c:v>
                </c:pt>
                <c:pt idx="27">
                  <c:v>1</c:v>
                </c:pt>
                <c:pt idx="28">
                  <c:v>1</c:v>
                </c:pt>
                <c:pt idx="29">
                  <c:v>1</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1</c:v>
                </c:pt>
                <c:pt idx="61">
                  <c:v>1</c:v>
                </c:pt>
                <c:pt idx="62">
                  <c:v>1</c:v>
                </c:pt>
                <c:pt idx="63">
                  <c:v>1</c:v>
                </c:pt>
                <c:pt idx="64">
                  <c:v>0</c:v>
                </c:pt>
                <c:pt idx="65">
                  <c:v>1</c:v>
                </c:pt>
                <c:pt idx="66">
                  <c:v>1</c:v>
                </c:pt>
                <c:pt idx="67">
                  <c:v>1</c:v>
                </c:pt>
                <c:pt idx="68">
                  <c:v>1</c:v>
                </c:pt>
                <c:pt idx="69">
                  <c:v>1</c:v>
                </c:pt>
                <c:pt idx="70">
                  <c:v>1</c:v>
                </c:pt>
                <c:pt idx="71">
                  <c:v>0</c:v>
                </c:pt>
                <c:pt idx="72">
                  <c:v>1</c:v>
                </c:pt>
                <c:pt idx="73">
                  <c:v>0</c:v>
                </c:pt>
                <c:pt idx="74">
                  <c:v>0</c:v>
                </c:pt>
                <c:pt idx="75">
                  <c:v>0</c:v>
                </c:pt>
                <c:pt idx="76">
                  <c:v>0</c:v>
                </c:pt>
                <c:pt idx="77">
                  <c:v>0</c:v>
                </c:pt>
                <c:pt idx="78">
                  <c:v>0</c:v>
                </c:pt>
                <c:pt idx="79">
                  <c:v>0</c:v>
                </c:pt>
                <c:pt idx="80">
                  <c:v>0</c:v>
                </c:pt>
                <c:pt idx="81">
                  <c:v>0</c:v>
                </c:pt>
              </c:numCache>
            </c:numRef>
          </c:val>
          <c:extLst>
            <c:ext xmlns:c16="http://schemas.microsoft.com/office/drawing/2014/chart" uri="{C3380CC4-5D6E-409C-BE32-E72D297353CC}">
              <c16:uniqueId val="{00000000-55A6-4753-868D-FE542ACBFD5E}"/>
            </c:ext>
          </c:extLst>
        </c:ser>
        <c:ser>
          <c:idx val="1"/>
          <c:order val="1"/>
          <c:tx>
            <c:strRef>
              <c:f>Historic!$G$1</c:f>
              <c:strCache>
                <c:ptCount val="1"/>
                <c:pt idx="0">
                  <c:v>CHA</c:v>
                </c:pt>
              </c:strCache>
            </c:strRef>
          </c:tx>
          <c:spPr>
            <a:solidFill>
              <a:schemeClr val="accent2">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FFFF"/>
                    </a:solidFill>
                    <a:latin typeface="+mn-lt"/>
                    <a:ea typeface="+mn-ea"/>
                    <a:cs typeface="+mn-cs"/>
                  </a:defRPr>
                </a:pPr>
                <a:endParaRPr lang="pt-BR"/>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Historic!$A$2:$A$119</c15:sqref>
                  </c15:fullRef>
                </c:ext>
              </c:extLst>
              <c:f>Historic!$A$2:$A$97</c:f>
              <c:strCache>
                <c:ptCount val="82"/>
                <c:pt idx="0">
                  <c:v>2025W01</c:v>
                </c:pt>
                <c:pt idx="1">
                  <c:v>2025W02</c:v>
                </c:pt>
                <c:pt idx="2">
                  <c:v>2025W03</c:v>
                </c:pt>
                <c:pt idx="3">
                  <c:v>2025W04</c:v>
                </c:pt>
                <c:pt idx="4">
                  <c:v>2025W05</c:v>
                </c:pt>
                <c:pt idx="5">
                  <c:v>2025W06</c:v>
                </c:pt>
                <c:pt idx="6">
                  <c:v>2025W07</c:v>
                </c:pt>
                <c:pt idx="7">
                  <c:v>2025W08</c:v>
                </c:pt>
                <c:pt idx="8">
                  <c:v>2025W09</c:v>
                </c:pt>
                <c:pt idx="9">
                  <c:v>2025W10</c:v>
                </c:pt>
                <c:pt idx="10">
                  <c:v>2025W11</c:v>
                </c:pt>
                <c:pt idx="11">
                  <c:v>2025W12</c:v>
                </c:pt>
                <c:pt idx="12">
                  <c:v>2025W13</c:v>
                </c:pt>
                <c:pt idx="13">
                  <c:v>2025W14</c:v>
                </c:pt>
                <c:pt idx="14">
                  <c:v>2025W15</c:v>
                </c:pt>
                <c:pt idx="15">
                  <c:v>2025W16</c:v>
                </c:pt>
                <c:pt idx="16">
                  <c:v>2025W17</c:v>
                </c:pt>
                <c:pt idx="17">
                  <c:v>2025W18</c:v>
                </c:pt>
                <c:pt idx="18">
                  <c:v>2025W19</c:v>
                </c:pt>
                <c:pt idx="19">
                  <c:v>2025W20</c:v>
                </c:pt>
                <c:pt idx="20">
                  <c:v>2025W21</c:v>
                </c:pt>
                <c:pt idx="21">
                  <c:v>2025W22</c:v>
                </c:pt>
                <c:pt idx="22">
                  <c:v>2025W23</c:v>
                </c:pt>
                <c:pt idx="23">
                  <c:v>2025W24</c:v>
                </c:pt>
                <c:pt idx="24">
                  <c:v>2025W25</c:v>
                </c:pt>
                <c:pt idx="25">
                  <c:v>2025W26</c:v>
                </c:pt>
                <c:pt idx="26">
                  <c:v>2025W27</c:v>
                </c:pt>
                <c:pt idx="27">
                  <c:v>2025W28</c:v>
                </c:pt>
                <c:pt idx="28">
                  <c:v>2025W29</c:v>
                </c:pt>
                <c:pt idx="29">
                  <c:v>2025W30</c:v>
                </c:pt>
                <c:pt idx="30">
                  <c:v>2025W31</c:v>
                </c:pt>
                <c:pt idx="31">
                  <c:v>2025W32</c:v>
                </c:pt>
                <c:pt idx="32">
                  <c:v>2025W33</c:v>
                </c:pt>
                <c:pt idx="33">
                  <c:v>2025W34</c:v>
                </c:pt>
                <c:pt idx="34">
                  <c:v>2025W35</c:v>
                </c:pt>
                <c:pt idx="35">
                  <c:v>2025W36</c:v>
                </c:pt>
                <c:pt idx="36">
                  <c:v>2025W37</c:v>
                </c:pt>
                <c:pt idx="37">
                  <c:v>2025W38</c:v>
                </c:pt>
                <c:pt idx="38">
                  <c:v>2025W39</c:v>
                </c:pt>
                <c:pt idx="39">
                  <c:v>2025W40</c:v>
                </c:pt>
                <c:pt idx="40">
                  <c:v>2025W41</c:v>
                </c:pt>
                <c:pt idx="41">
                  <c:v>2025W42</c:v>
                </c:pt>
                <c:pt idx="42">
                  <c:v>2025W43</c:v>
                </c:pt>
                <c:pt idx="43">
                  <c:v>2025W44</c:v>
                </c:pt>
                <c:pt idx="44">
                  <c:v>2025W45</c:v>
                </c:pt>
                <c:pt idx="45">
                  <c:v>2025W46</c:v>
                </c:pt>
                <c:pt idx="46">
                  <c:v>2025W47</c:v>
                </c:pt>
                <c:pt idx="47">
                  <c:v>2025W48</c:v>
                </c:pt>
                <c:pt idx="48">
                  <c:v>2025W49</c:v>
                </c:pt>
                <c:pt idx="49">
                  <c:v>2025W50</c:v>
                </c:pt>
                <c:pt idx="50">
                  <c:v>2025W51</c:v>
                </c:pt>
                <c:pt idx="51">
                  <c:v>2025W52</c:v>
                </c:pt>
                <c:pt idx="52">
                  <c:v>2026W01</c:v>
                </c:pt>
                <c:pt idx="53">
                  <c:v>2026W02</c:v>
                </c:pt>
                <c:pt idx="54">
                  <c:v>2026W03</c:v>
                </c:pt>
                <c:pt idx="55">
                  <c:v>2026W04</c:v>
                </c:pt>
                <c:pt idx="56">
                  <c:v>2026W05</c:v>
                </c:pt>
                <c:pt idx="57">
                  <c:v>2026W06</c:v>
                </c:pt>
                <c:pt idx="58">
                  <c:v>2026W07</c:v>
                </c:pt>
                <c:pt idx="59">
                  <c:v>2026W08</c:v>
                </c:pt>
                <c:pt idx="60">
                  <c:v>2026W09</c:v>
                </c:pt>
                <c:pt idx="61">
                  <c:v>2026W10</c:v>
                </c:pt>
                <c:pt idx="62">
                  <c:v>2026W11</c:v>
                </c:pt>
                <c:pt idx="63">
                  <c:v>2026W12</c:v>
                </c:pt>
                <c:pt idx="64">
                  <c:v>2026W13</c:v>
                </c:pt>
                <c:pt idx="65">
                  <c:v>2026W14</c:v>
                </c:pt>
                <c:pt idx="66">
                  <c:v>2026W15</c:v>
                </c:pt>
                <c:pt idx="67">
                  <c:v>2026W16</c:v>
                </c:pt>
                <c:pt idx="68">
                  <c:v>2026W17</c:v>
                </c:pt>
                <c:pt idx="69">
                  <c:v>2026W18</c:v>
                </c:pt>
                <c:pt idx="70">
                  <c:v>2026W19</c:v>
                </c:pt>
                <c:pt idx="71">
                  <c:v>2026W20</c:v>
                </c:pt>
                <c:pt idx="72">
                  <c:v>2026W21</c:v>
                </c:pt>
                <c:pt idx="73">
                  <c:v>2026W22</c:v>
                </c:pt>
                <c:pt idx="74">
                  <c:v>2026W23</c:v>
                </c:pt>
                <c:pt idx="75">
                  <c:v>2026W24</c:v>
                </c:pt>
                <c:pt idx="76">
                  <c:v>2026W25</c:v>
                </c:pt>
                <c:pt idx="77">
                  <c:v>2026W26</c:v>
                </c:pt>
                <c:pt idx="78">
                  <c:v>2026W27</c:v>
                </c:pt>
                <c:pt idx="79">
                  <c:v>2026W28</c:v>
                </c:pt>
                <c:pt idx="80">
                  <c:v>2026W29</c:v>
                </c:pt>
                <c:pt idx="81">
                  <c:v>2026W30</c:v>
                </c:pt>
              </c:strCache>
            </c:strRef>
          </c:cat>
          <c:val>
            <c:numRef>
              <c:extLst>
                <c:ext xmlns:c15="http://schemas.microsoft.com/office/drawing/2012/chart" uri="{02D57815-91ED-43cb-92C2-25804820EDAC}">
                  <c15:fullRef>
                    <c15:sqref>Historic!$G$2:$G$119</c15:sqref>
                  </c15:fullRef>
                </c:ext>
              </c:extLst>
              <c:f>Historic!$G$2:$G$97</c:f>
              <c:numCache>
                <c:formatCode>General</c:formatCode>
                <c:ptCount val="82"/>
                <c:pt idx="0">
                  <c:v>10</c:v>
                </c:pt>
                <c:pt idx="1">
                  <c:v>9</c:v>
                </c:pt>
                <c:pt idx="2">
                  <c:v>11</c:v>
                </c:pt>
                <c:pt idx="3">
                  <c:v>12</c:v>
                </c:pt>
                <c:pt idx="4">
                  <c:v>12</c:v>
                </c:pt>
                <c:pt idx="5">
                  <c:v>10</c:v>
                </c:pt>
                <c:pt idx="6">
                  <c:v>15</c:v>
                </c:pt>
                <c:pt idx="7">
                  <c:v>13</c:v>
                </c:pt>
                <c:pt idx="8">
                  <c:v>12</c:v>
                </c:pt>
                <c:pt idx="9">
                  <c:v>11</c:v>
                </c:pt>
                <c:pt idx="10">
                  <c:v>10</c:v>
                </c:pt>
                <c:pt idx="11">
                  <c:v>12</c:v>
                </c:pt>
                <c:pt idx="12">
                  <c:v>11</c:v>
                </c:pt>
                <c:pt idx="13">
                  <c:v>10</c:v>
                </c:pt>
                <c:pt idx="14">
                  <c:v>11</c:v>
                </c:pt>
                <c:pt idx="15">
                  <c:v>12</c:v>
                </c:pt>
                <c:pt idx="16">
                  <c:v>15</c:v>
                </c:pt>
                <c:pt idx="17">
                  <c:v>13</c:v>
                </c:pt>
                <c:pt idx="18">
                  <c:v>13</c:v>
                </c:pt>
                <c:pt idx="19">
                  <c:v>9</c:v>
                </c:pt>
                <c:pt idx="20">
                  <c:v>10</c:v>
                </c:pt>
                <c:pt idx="21">
                  <c:v>11</c:v>
                </c:pt>
                <c:pt idx="22">
                  <c:v>9</c:v>
                </c:pt>
                <c:pt idx="23">
                  <c:v>10</c:v>
                </c:pt>
                <c:pt idx="24">
                  <c:v>16</c:v>
                </c:pt>
                <c:pt idx="25">
                  <c:v>17</c:v>
                </c:pt>
                <c:pt idx="26">
                  <c:v>17</c:v>
                </c:pt>
                <c:pt idx="27">
                  <c:v>15</c:v>
                </c:pt>
                <c:pt idx="28">
                  <c:v>11</c:v>
                </c:pt>
                <c:pt idx="29">
                  <c:v>9</c:v>
                </c:pt>
                <c:pt idx="30">
                  <c:v>7</c:v>
                </c:pt>
                <c:pt idx="31">
                  <c:v>8</c:v>
                </c:pt>
                <c:pt idx="32">
                  <c:v>7</c:v>
                </c:pt>
                <c:pt idx="33">
                  <c:v>6</c:v>
                </c:pt>
                <c:pt idx="34">
                  <c:v>4</c:v>
                </c:pt>
                <c:pt idx="35">
                  <c:v>4</c:v>
                </c:pt>
                <c:pt idx="36">
                  <c:v>9</c:v>
                </c:pt>
                <c:pt idx="37">
                  <c:v>9</c:v>
                </c:pt>
                <c:pt idx="38">
                  <c:v>7</c:v>
                </c:pt>
                <c:pt idx="39">
                  <c:v>9</c:v>
                </c:pt>
                <c:pt idx="40">
                  <c:v>10</c:v>
                </c:pt>
                <c:pt idx="41">
                  <c:v>10</c:v>
                </c:pt>
                <c:pt idx="42">
                  <c:v>9</c:v>
                </c:pt>
                <c:pt idx="43">
                  <c:v>10</c:v>
                </c:pt>
                <c:pt idx="44">
                  <c:v>13</c:v>
                </c:pt>
                <c:pt idx="45">
                  <c:v>10</c:v>
                </c:pt>
                <c:pt idx="46">
                  <c:v>11</c:v>
                </c:pt>
                <c:pt idx="47">
                  <c:v>10</c:v>
                </c:pt>
                <c:pt idx="48">
                  <c:v>11</c:v>
                </c:pt>
                <c:pt idx="49">
                  <c:v>5</c:v>
                </c:pt>
                <c:pt idx="50">
                  <c:v>3</c:v>
                </c:pt>
                <c:pt idx="51">
                  <c:v>3</c:v>
                </c:pt>
                <c:pt idx="52">
                  <c:v>2</c:v>
                </c:pt>
                <c:pt idx="53">
                  <c:v>3</c:v>
                </c:pt>
                <c:pt idx="54">
                  <c:v>6</c:v>
                </c:pt>
                <c:pt idx="55">
                  <c:v>6</c:v>
                </c:pt>
                <c:pt idx="56">
                  <c:v>7</c:v>
                </c:pt>
                <c:pt idx="57">
                  <c:v>6</c:v>
                </c:pt>
                <c:pt idx="58">
                  <c:v>5</c:v>
                </c:pt>
                <c:pt idx="59">
                  <c:v>6</c:v>
                </c:pt>
                <c:pt idx="60">
                  <c:v>5</c:v>
                </c:pt>
                <c:pt idx="61">
                  <c:v>4</c:v>
                </c:pt>
                <c:pt idx="62">
                  <c:v>3</c:v>
                </c:pt>
                <c:pt idx="63">
                  <c:v>4</c:v>
                </c:pt>
                <c:pt idx="64">
                  <c:v>2</c:v>
                </c:pt>
                <c:pt idx="65">
                  <c:v>3</c:v>
                </c:pt>
                <c:pt idx="66">
                  <c:v>4</c:v>
                </c:pt>
                <c:pt idx="67">
                  <c:v>1</c:v>
                </c:pt>
                <c:pt idx="68">
                  <c:v>2</c:v>
                </c:pt>
                <c:pt idx="69">
                  <c:v>3</c:v>
                </c:pt>
                <c:pt idx="70">
                  <c:v>3</c:v>
                </c:pt>
                <c:pt idx="71">
                  <c:v>3</c:v>
                </c:pt>
                <c:pt idx="72">
                  <c:v>5</c:v>
                </c:pt>
                <c:pt idx="73">
                  <c:v>2</c:v>
                </c:pt>
                <c:pt idx="74">
                  <c:v>4</c:v>
                </c:pt>
                <c:pt idx="75">
                  <c:v>3</c:v>
                </c:pt>
                <c:pt idx="76">
                  <c:v>4</c:v>
                </c:pt>
                <c:pt idx="77">
                  <c:v>3</c:v>
                </c:pt>
                <c:pt idx="78">
                  <c:v>2</c:v>
                </c:pt>
                <c:pt idx="79">
                  <c:v>2</c:v>
                </c:pt>
                <c:pt idx="80">
                  <c:v>4</c:v>
                </c:pt>
                <c:pt idx="81">
                  <c:v>4</c:v>
                </c:pt>
              </c:numCache>
            </c:numRef>
          </c:val>
          <c:extLst>
            <c:ext xmlns:c16="http://schemas.microsoft.com/office/drawing/2014/chart" uri="{C3380CC4-5D6E-409C-BE32-E72D297353CC}">
              <c16:uniqueId val="{00000001-55A6-4753-868D-FE542ACBFD5E}"/>
            </c:ext>
          </c:extLst>
        </c:ser>
        <c:dLbls>
          <c:dLblPos val="ctr"/>
          <c:showLegendKey val="0"/>
          <c:showVal val="1"/>
          <c:showCatName val="0"/>
          <c:showSerName val="0"/>
          <c:showPercent val="0"/>
          <c:showBubbleSize val="0"/>
        </c:dLbls>
        <c:gapWidth val="150"/>
        <c:overlap val="100"/>
        <c:axId val="1170091967"/>
        <c:axId val="1170090047"/>
      </c:barChart>
      <c:lineChart>
        <c:grouping val="standard"/>
        <c:varyColors val="0"/>
        <c:ser>
          <c:idx val="3"/>
          <c:order val="3"/>
          <c:tx>
            <c:strRef>
              <c:f>Historic!$K$1</c:f>
              <c:strCache>
                <c:ptCount val="1"/>
                <c:pt idx="0">
                  <c:v>MÉDIA ACUMULADA</c:v>
                </c:pt>
              </c:strCache>
            </c:strRef>
          </c:tx>
          <c:spPr>
            <a:ln w="12700" cap="rnd">
              <a:solidFill>
                <a:srgbClr val="FF0000"/>
              </a:solidFill>
              <a:prstDash val="sysDash"/>
              <a:round/>
            </a:ln>
            <a:effectLst/>
          </c:spPr>
          <c:marker>
            <c:symbol val="none"/>
          </c:marker>
          <c:cat>
            <c:strRef>
              <c:extLst>
                <c:ext xmlns:c15="http://schemas.microsoft.com/office/drawing/2012/chart" uri="{02D57815-91ED-43cb-92C2-25804820EDAC}">
                  <c15:fullRef>
                    <c15:sqref>Historic!$A$2:$A$119</c15:sqref>
                  </c15:fullRef>
                </c:ext>
              </c:extLst>
              <c:f>Historic!$A$2:$A$97</c:f>
              <c:strCache>
                <c:ptCount val="82"/>
                <c:pt idx="0">
                  <c:v>2025W01</c:v>
                </c:pt>
                <c:pt idx="1">
                  <c:v>2025W02</c:v>
                </c:pt>
                <c:pt idx="2">
                  <c:v>2025W03</c:v>
                </c:pt>
                <c:pt idx="3">
                  <c:v>2025W04</c:v>
                </c:pt>
                <c:pt idx="4">
                  <c:v>2025W05</c:v>
                </c:pt>
                <c:pt idx="5">
                  <c:v>2025W06</c:v>
                </c:pt>
                <c:pt idx="6">
                  <c:v>2025W07</c:v>
                </c:pt>
                <c:pt idx="7">
                  <c:v>2025W08</c:v>
                </c:pt>
                <c:pt idx="8">
                  <c:v>2025W09</c:v>
                </c:pt>
                <c:pt idx="9">
                  <c:v>2025W10</c:v>
                </c:pt>
                <c:pt idx="10">
                  <c:v>2025W11</c:v>
                </c:pt>
                <c:pt idx="11">
                  <c:v>2025W12</c:v>
                </c:pt>
                <c:pt idx="12">
                  <c:v>2025W13</c:v>
                </c:pt>
                <c:pt idx="13">
                  <c:v>2025W14</c:v>
                </c:pt>
                <c:pt idx="14">
                  <c:v>2025W15</c:v>
                </c:pt>
                <c:pt idx="15">
                  <c:v>2025W16</c:v>
                </c:pt>
                <c:pt idx="16">
                  <c:v>2025W17</c:v>
                </c:pt>
                <c:pt idx="17">
                  <c:v>2025W18</c:v>
                </c:pt>
                <c:pt idx="18">
                  <c:v>2025W19</c:v>
                </c:pt>
                <c:pt idx="19">
                  <c:v>2025W20</c:v>
                </c:pt>
                <c:pt idx="20">
                  <c:v>2025W21</c:v>
                </c:pt>
                <c:pt idx="21">
                  <c:v>2025W22</c:v>
                </c:pt>
                <c:pt idx="22">
                  <c:v>2025W23</c:v>
                </c:pt>
                <c:pt idx="23">
                  <c:v>2025W24</c:v>
                </c:pt>
                <c:pt idx="24">
                  <c:v>2025W25</c:v>
                </c:pt>
                <c:pt idx="25">
                  <c:v>2025W26</c:v>
                </c:pt>
                <c:pt idx="26">
                  <c:v>2025W27</c:v>
                </c:pt>
                <c:pt idx="27">
                  <c:v>2025W28</c:v>
                </c:pt>
                <c:pt idx="28">
                  <c:v>2025W29</c:v>
                </c:pt>
                <c:pt idx="29">
                  <c:v>2025W30</c:v>
                </c:pt>
                <c:pt idx="30">
                  <c:v>2025W31</c:v>
                </c:pt>
                <c:pt idx="31">
                  <c:v>2025W32</c:v>
                </c:pt>
                <c:pt idx="32">
                  <c:v>2025W33</c:v>
                </c:pt>
                <c:pt idx="33">
                  <c:v>2025W34</c:v>
                </c:pt>
                <c:pt idx="34">
                  <c:v>2025W35</c:v>
                </c:pt>
                <c:pt idx="35">
                  <c:v>2025W36</c:v>
                </c:pt>
                <c:pt idx="36">
                  <c:v>2025W37</c:v>
                </c:pt>
                <c:pt idx="37">
                  <c:v>2025W38</c:v>
                </c:pt>
                <c:pt idx="38">
                  <c:v>2025W39</c:v>
                </c:pt>
                <c:pt idx="39">
                  <c:v>2025W40</c:v>
                </c:pt>
                <c:pt idx="40">
                  <c:v>2025W41</c:v>
                </c:pt>
                <c:pt idx="41">
                  <c:v>2025W42</c:v>
                </c:pt>
                <c:pt idx="42">
                  <c:v>2025W43</c:v>
                </c:pt>
                <c:pt idx="43">
                  <c:v>2025W44</c:v>
                </c:pt>
                <c:pt idx="44">
                  <c:v>2025W45</c:v>
                </c:pt>
                <c:pt idx="45">
                  <c:v>2025W46</c:v>
                </c:pt>
                <c:pt idx="46">
                  <c:v>2025W47</c:v>
                </c:pt>
                <c:pt idx="47">
                  <c:v>2025W48</c:v>
                </c:pt>
                <c:pt idx="48">
                  <c:v>2025W49</c:v>
                </c:pt>
                <c:pt idx="49">
                  <c:v>2025W50</c:v>
                </c:pt>
                <c:pt idx="50">
                  <c:v>2025W51</c:v>
                </c:pt>
                <c:pt idx="51">
                  <c:v>2025W52</c:v>
                </c:pt>
                <c:pt idx="52">
                  <c:v>2026W01</c:v>
                </c:pt>
                <c:pt idx="53">
                  <c:v>2026W02</c:v>
                </c:pt>
                <c:pt idx="54">
                  <c:v>2026W03</c:v>
                </c:pt>
                <c:pt idx="55">
                  <c:v>2026W04</c:v>
                </c:pt>
                <c:pt idx="56">
                  <c:v>2026W05</c:v>
                </c:pt>
                <c:pt idx="57">
                  <c:v>2026W06</c:v>
                </c:pt>
                <c:pt idx="58">
                  <c:v>2026W07</c:v>
                </c:pt>
                <c:pt idx="59">
                  <c:v>2026W08</c:v>
                </c:pt>
                <c:pt idx="60">
                  <c:v>2026W09</c:v>
                </c:pt>
                <c:pt idx="61">
                  <c:v>2026W10</c:v>
                </c:pt>
                <c:pt idx="62">
                  <c:v>2026W11</c:v>
                </c:pt>
                <c:pt idx="63">
                  <c:v>2026W12</c:v>
                </c:pt>
                <c:pt idx="64">
                  <c:v>2026W13</c:v>
                </c:pt>
                <c:pt idx="65">
                  <c:v>2026W14</c:v>
                </c:pt>
                <c:pt idx="66">
                  <c:v>2026W15</c:v>
                </c:pt>
                <c:pt idx="67">
                  <c:v>2026W16</c:v>
                </c:pt>
                <c:pt idx="68">
                  <c:v>2026W17</c:v>
                </c:pt>
                <c:pt idx="69">
                  <c:v>2026W18</c:v>
                </c:pt>
                <c:pt idx="70">
                  <c:v>2026W19</c:v>
                </c:pt>
                <c:pt idx="71">
                  <c:v>2026W20</c:v>
                </c:pt>
                <c:pt idx="72">
                  <c:v>2026W21</c:v>
                </c:pt>
                <c:pt idx="73">
                  <c:v>2026W22</c:v>
                </c:pt>
                <c:pt idx="74">
                  <c:v>2026W23</c:v>
                </c:pt>
                <c:pt idx="75">
                  <c:v>2026W24</c:v>
                </c:pt>
                <c:pt idx="76">
                  <c:v>2026W25</c:v>
                </c:pt>
                <c:pt idx="77">
                  <c:v>2026W26</c:v>
                </c:pt>
                <c:pt idx="78">
                  <c:v>2026W27</c:v>
                </c:pt>
                <c:pt idx="79">
                  <c:v>2026W28</c:v>
                </c:pt>
                <c:pt idx="80">
                  <c:v>2026W29</c:v>
                </c:pt>
                <c:pt idx="81">
                  <c:v>2026W30</c:v>
                </c:pt>
              </c:strCache>
            </c:strRef>
          </c:cat>
          <c:val>
            <c:numRef>
              <c:extLst>
                <c:ext xmlns:c15="http://schemas.microsoft.com/office/drawing/2012/chart" uri="{02D57815-91ED-43cb-92C2-25804820EDAC}">
                  <c15:fullRef>
                    <c15:sqref>Historic!$K$2:$K$119</c15:sqref>
                  </c15:fullRef>
                </c:ext>
              </c:extLst>
              <c:f>Historic!$K$2:$K$97</c:f>
              <c:numCache>
                <c:formatCode>0.0</c:formatCode>
                <c:ptCount val="82"/>
                <c:pt idx="0">
                  <c:v>12.6</c:v>
                </c:pt>
                <c:pt idx="1">
                  <c:v>12.5</c:v>
                </c:pt>
                <c:pt idx="2">
                  <c:v>12.529411764705882</c:v>
                </c:pt>
                <c:pt idx="3">
                  <c:v>12.666666666666666</c:v>
                </c:pt>
                <c:pt idx="4">
                  <c:v>12.789473684210526</c:v>
                </c:pt>
                <c:pt idx="5">
                  <c:v>12.8</c:v>
                </c:pt>
                <c:pt idx="6">
                  <c:v>13.047619047619047</c:v>
                </c:pt>
                <c:pt idx="7">
                  <c:v>13.136363636363637</c:v>
                </c:pt>
                <c:pt idx="8">
                  <c:v>13.173913043478262</c:v>
                </c:pt>
                <c:pt idx="9">
                  <c:v>13.166666666666666</c:v>
                </c:pt>
                <c:pt idx="10">
                  <c:v>13.12</c:v>
                </c:pt>
                <c:pt idx="11">
                  <c:v>13.153846153846153</c:v>
                </c:pt>
                <c:pt idx="12">
                  <c:v>13.148148148148149</c:v>
                </c:pt>
                <c:pt idx="13">
                  <c:v>13.107142857142858</c:v>
                </c:pt>
                <c:pt idx="14">
                  <c:v>13.103448275862069</c:v>
                </c:pt>
                <c:pt idx="15">
                  <c:v>13.133333333333333</c:v>
                </c:pt>
                <c:pt idx="16">
                  <c:v>13.225806451612904</c:v>
                </c:pt>
                <c:pt idx="17">
                  <c:v>13.25</c:v>
                </c:pt>
                <c:pt idx="18">
                  <c:v>13.030303030303031</c:v>
                </c:pt>
                <c:pt idx="19">
                  <c:v>13.147058823529411</c:v>
                </c:pt>
                <c:pt idx="20">
                  <c:v>13.085714285714285</c:v>
                </c:pt>
                <c:pt idx="21">
                  <c:v>13.055555555555555</c:v>
                </c:pt>
                <c:pt idx="22">
                  <c:v>13</c:v>
                </c:pt>
                <c:pt idx="23">
                  <c:v>12.947368421052632</c:v>
                </c:pt>
                <c:pt idx="24">
                  <c:v>13.051282051282051</c:v>
                </c:pt>
                <c:pt idx="25">
                  <c:v>13.175000000000001</c:v>
                </c:pt>
                <c:pt idx="26">
                  <c:v>13.292682926829269</c:v>
                </c:pt>
                <c:pt idx="27">
                  <c:v>13.357142857142858</c:v>
                </c:pt>
                <c:pt idx="28">
                  <c:v>13.325581395348838</c:v>
                </c:pt>
                <c:pt idx="29">
                  <c:v>13.25</c:v>
                </c:pt>
                <c:pt idx="30">
                  <c:v>13.111111111111111</c:v>
                </c:pt>
                <c:pt idx="31">
                  <c:v>13</c:v>
                </c:pt>
                <c:pt idx="32">
                  <c:v>12.872340425531915</c:v>
                </c:pt>
                <c:pt idx="33">
                  <c:v>12.729166666666666</c:v>
                </c:pt>
                <c:pt idx="34">
                  <c:v>12.551020408163266</c:v>
                </c:pt>
                <c:pt idx="35">
                  <c:v>12.38</c:v>
                </c:pt>
                <c:pt idx="36">
                  <c:v>12.313725490196079</c:v>
                </c:pt>
                <c:pt idx="37">
                  <c:v>12.25</c:v>
                </c:pt>
                <c:pt idx="38">
                  <c:v>12.150943396226415</c:v>
                </c:pt>
                <c:pt idx="39">
                  <c:v>12.092592592592593</c:v>
                </c:pt>
                <c:pt idx="40">
                  <c:v>12.054545454545455</c:v>
                </c:pt>
                <c:pt idx="41">
                  <c:v>12.017857142857142</c:v>
                </c:pt>
                <c:pt idx="42">
                  <c:v>11.964912280701755</c:v>
                </c:pt>
                <c:pt idx="43">
                  <c:v>11.931034482758621</c:v>
                </c:pt>
                <c:pt idx="44">
                  <c:v>11.949152542372881</c:v>
                </c:pt>
                <c:pt idx="45">
                  <c:v>11.916666666666666</c:v>
                </c:pt>
                <c:pt idx="46">
                  <c:v>11.901639344262295</c:v>
                </c:pt>
                <c:pt idx="47">
                  <c:v>11.870967741935484</c:v>
                </c:pt>
                <c:pt idx="48">
                  <c:v>11.857142857142858</c:v>
                </c:pt>
                <c:pt idx="49">
                  <c:v>11.75</c:v>
                </c:pt>
                <c:pt idx="50">
                  <c:v>11.615384615384615</c:v>
                </c:pt>
                <c:pt idx="51">
                  <c:v>11.484848484848484</c:v>
                </c:pt>
                <c:pt idx="52">
                  <c:v>11.343283582089553</c:v>
                </c:pt>
                <c:pt idx="53">
                  <c:v>11.220588235294118</c:v>
                </c:pt>
                <c:pt idx="54">
                  <c:v>11.144927536231885</c:v>
                </c:pt>
                <c:pt idx="55">
                  <c:v>11.071428571428571</c:v>
                </c:pt>
                <c:pt idx="56">
                  <c:v>11.014084507042254</c:v>
                </c:pt>
                <c:pt idx="57">
                  <c:v>10.944444444444445</c:v>
                </c:pt>
                <c:pt idx="58">
                  <c:v>10.863013698630137</c:v>
                </c:pt>
                <c:pt idx="59">
                  <c:v>10.797297297297296</c:v>
                </c:pt>
                <c:pt idx="60">
                  <c:v>10.733333333333333</c:v>
                </c:pt>
                <c:pt idx="61">
                  <c:v>10.657894736842104</c:v>
                </c:pt>
                <c:pt idx="62">
                  <c:v>10.571428571428571</c:v>
                </c:pt>
                <c:pt idx="63">
                  <c:v>10.5</c:v>
                </c:pt>
                <c:pt idx="64">
                  <c:v>10.39240506329114</c:v>
                </c:pt>
                <c:pt idx="65">
                  <c:v>10.3125</c:v>
                </c:pt>
                <c:pt idx="66">
                  <c:v>10.246913580246913</c:v>
                </c:pt>
                <c:pt idx="67">
                  <c:v>10.146341463414634</c:v>
                </c:pt>
                <c:pt idx="68">
                  <c:v>10.060240963855422</c:v>
                </c:pt>
                <c:pt idx="69">
                  <c:v>9.9880952380952372</c:v>
                </c:pt>
                <c:pt idx="70">
                  <c:v>9.9176470588235297</c:v>
                </c:pt>
                <c:pt idx="71">
                  <c:v>9.8372093023255811</c:v>
                </c:pt>
                <c:pt idx="72">
                  <c:v>9.7931034482758612</c:v>
                </c:pt>
                <c:pt idx="73">
                  <c:v>9.704545454545455</c:v>
                </c:pt>
                <c:pt idx="74">
                  <c:v>9.6404494382022463</c:v>
                </c:pt>
                <c:pt idx="75">
                  <c:v>9.5666666666666664</c:v>
                </c:pt>
                <c:pt idx="76">
                  <c:v>9.5054945054945055</c:v>
                </c:pt>
                <c:pt idx="77">
                  <c:v>9.4347826086956523</c:v>
                </c:pt>
                <c:pt idx="78">
                  <c:v>9.3548387096774199</c:v>
                </c:pt>
                <c:pt idx="79">
                  <c:v>9.2765957446808507</c:v>
                </c:pt>
                <c:pt idx="80">
                  <c:v>9.2210526315789476</c:v>
                </c:pt>
              </c:numCache>
            </c:numRef>
          </c:val>
          <c:smooth val="0"/>
          <c:extLst>
            <c:ext xmlns:c16="http://schemas.microsoft.com/office/drawing/2014/chart" uri="{C3380CC4-5D6E-409C-BE32-E72D297353CC}">
              <c16:uniqueId val="{00000000-0EB7-4542-822D-8CC98B2D88F1}"/>
            </c:ext>
          </c:extLst>
        </c:ser>
        <c:dLbls>
          <c:showLegendKey val="0"/>
          <c:showVal val="0"/>
          <c:showCatName val="0"/>
          <c:showSerName val="0"/>
          <c:showPercent val="0"/>
          <c:showBubbleSize val="0"/>
        </c:dLbls>
        <c:marker val="1"/>
        <c:smooth val="0"/>
        <c:axId val="1170091967"/>
        <c:axId val="1170090047"/>
      </c:lineChart>
      <c:lineChart>
        <c:grouping val="standard"/>
        <c:varyColors val="0"/>
        <c:ser>
          <c:idx val="2"/>
          <c:order val="2"/>
          <c:tx>
            <c:strRef>
              <c:f>Historic!$I$1</c:f>
              <c:strCache>
                <c:ptCount val="1"/>
                <c:pt idx="0">
                  <c:v>Turbinas afetadas</c:v>
                </c:pt>
              </c:strCache>
            </c:strRef>
          </c:tx>
          <c:spPr>
            <a:ln w="28575" cap="rnd">
              <a:solidFill>
                <a:schemeClr val="accent3"/>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Historic!$A$2:$A$119</c15:sqref>
                  </c15:fullRef>
                </c:ext>
              </c:extLst>
              <c:f>Historic!$A$2:$A$97</c:f>
              <c:strCache>
                <c:ptCount val="82"/>
                <c:pt idx="0">
                  <c:v>2025W01</c:v>
                </c:pt>
                <c:pt idx="1">
                  <c:v>2025W02</c:v>
                </c:pt>
                <c:pt idx="2">
                  <c:v>2025W03</c:v>
                </c:pt>
                <c:pt idx="3">
                  <c:v>2025W04</c:v>
                </c:pt>
                <c:pt idx="4">
                  <c:v>2025W05</c:v>
                </c:pt>
                <c:pt idx="5">
                  <c:v>2025W06</c:v>
                </c:pt>
                <c:pt idx="6">
                  <c:v>2025W07</c:v>
                </c:pt>
                <c:pt idx="7">
                  <c:v>2025W08</c:v>
                </c:pt>
                <c:pt idx="8">
                  <c:v>2025W09</c:v>
                </c:pt>
                <c:pt idx="9">
                  <c:v>2025W10</c:v>
                </c:pt>
                <c:pt idx="10">
                  <c:v>2025W11</c:v>
                </c:pt>
                <c:pt idx="11">
                  <c:v>2025W12</c:v>
                </c:pt>
                <c:pt idx="12">
                  <c:v>2025W13</c:v>
                </c:pt>
                <c:pt idx="13">
                  <c:v>2025W14</c:v>
                </c:pt>
                <c:pt idx="14">
                  <c:v>2025W15</c:v>
                </c:pt>
                <c:pt idx="15">
                  <c:v>2025W16</c:v>
                </c:pt>
                <c:pt idx="16">
                  <c:v>2025W17</c:v>
                </c:pt>
                <c:pt idx="17">
                  <c:v>2025W18</c:v>
                </c:pt>
                <c:pt idx="18">
                  <c:v>2025W19</c:v>
                </c:pt>
                <c:pt idx="19">
                  <c:v>2025W20</c:v>
                </c:pt>
                <c:pt idx="20">
                  <c:v>2025W21</c:v>
                </c:pt>
                <c:pt idx="21">
                  <c:v>2025W22</c:v>
                </c:pt>
                <c:pt idx="22">
                  <c:v>2025W23</c:v>
                </c:pt>
                <c:pt idx="23">
                  <c:v>2025W24</c:v>
                </c:pt>
                <c:pt idx="24">
                  <c:v>2025W25</c:v>
                </c:pt>
                <c:pt idx="25">
                  <c:v>2025W26</c:v>
                </c:pt>
                <c:pt idx="26">
                  <c:v>2025W27</c:v>
                </c:pt>
                <c:pt idx="27">
                  <c:v>2025W28</c:v>
                </c:pt>
                <c:pt idx="28">
                  <c:v>2025W29</c:v>
                </c:pt>
                <c:pt idx="29">
                  <c:v>2025W30</c:v>
                </c:pt>
                <c:pt idx="30">
                  <c:v>2025W31</c:v>
                </c:pt>
                <c:pt idx="31">
                  <c:v>2025W32</c:v>
                </c:pt>
                <c:pt idx="32">
                  <c:v>2025W33</c:v>
                </c:pt>
                <c:pt idx="33">
                  <c:v>2025W34</c:v>
                </c:pt>
                <c:pt idx="34">
                  <c:v>2025W35</c:v>
                </c:pt>
                <c:pt idx="35">
                  <c:v>2025W36</c:v>
                </c:pt>
                <c:pt idx="36">
                  <c:v>2025W37</c:v>
                </c:pt>
                <c:pt idx="37">
                  <c:v>2025W38</c:v>
                </c:pt>
                <c:pt idx="38">
                  <c:v>2025W39</c:v>
                </c:pt>
                <c:pt idx="39">
                  <c:v>2025W40</c:v>
                </c:pt>
                <c:pt idx="40">
                  <c:v>2025W41</c:v>
                </c:pt>
                <c:pt idx="41">
                  <c:v>2025W42</c:v>
                </c:pt>
                <c:pt idx="42">
                  <c:v>2025W43</c:v>
                </c:pt>
                <c:pt idx="43">
                  <c:v>2025W44</c:v>
                </c:pt>
                <c:pt idx="44">
                  <c:v>2025W45</c:v>
                </c:pt>
                <c:pt idx="45">
                  <c:v>2025W46</c:v>
                </c:pt>
                <c:pt idx="46">
                  <c:v>2025W47</c:v>
                </c:pt>
                <c:pt idx="47">
                  <c:v>2025W48</c:v>
                </c:pt>
                <c:pt idx="48">
                  <c:v>2025W49</c:v>
                </c:pt>
                <c:pt idx="49">
                  <c:v>2025W50</c:v>
                </c:pt>
                <c:pt idx="50">
                  <c:v>2025W51</c:v>
                </c:pt>
                <c:pt idx="51">
                  <c:v>2025W52</c:v>
                </c:pt>
                <c:pt idx="52">
                  <c:v>2026W01</c:v>
                </c:pt>
                <c:pt idx="53">
                  <c:v>2026W02</c:v>
                </c:pt>
                <c:pt idx="54">
                  <c:v>2026W03</c:v>
                </c:pt>
                <c:pt idx="55">
                  <c:v>2026W04</c:v>
                </c:pt>
                <c:pt idx="56">
                  <c:v>2026W05</c:v>
                </c:pt>
                <c:pt idx="57">
                  <c:v>2026W06</c:v>
                </c:pt>
                <c:pt idx="58">
                  <c:v>2026W07</c:v>
                </c:pt>
                <c:pt idx="59">
                  <c:v>2026W08</c:v>
                </c:pt>
                <c:pt idx="60">
                  <c:v>2026W09</c:v>
                </c:pt>
                <c:pt idx="61">
                  <c:v>2026W10</c:v>
                </c:pt>
                <c:pt idx="62">
                  <c:v>2026W11</c:v>
                </c:pt>
                <c:pt idx="63">
                  <c:v>2026W12</c:v>
                </c:pt>
                <c:pt idx="64">
                  <c:v>2026W13</c:v>
                </c:pt>
                <c:pt idx="65">
                  <c:v>2026W14</c:v>
                </c:pt>
                <c:pt idx="66">
                  <c:v>2026W15</c:v>
                </c:pt>
                <c:pt idx="67">
                  <c:v>2026W16</c:v>
                </c:pt>
                <c:pt idx="68">
                  <c:v>2026W17</c:v>
                </c:pt>
                <c:pt idx="69">
                  <c:v>2026W18</c:v>
                </c:pt>
                <c:pt idx="70">
                  <c:v>2026W19</c:v>
                </c:pt>
                <c:pt idx="71">
                  <c:v>2026W20</c:v>
                </c:pt>
                <c:pt idx="72">
                  <c:v>2026W21</c:v>
                </c:pt>
                <c:pt idx="73">
                  <c:v>2026W22</c:v>
                </c:pt>
                <c:pt idx="74">
                  <c:v>2026W23</c:v>
                </c:pt>
                <c:pt idx="75">
                  <c:v>2026W24</c:v>
                </c:pt>
                <c:pt idx="76">
                  <c:v>2026W25</c:v>
                </c:pt>
                <c:pt idx="77">
                  <c:v>2026W26</c:v>
                </c:pt>
                <c:pt idx="78">
                  <c:v>2026W27</c:v>
                </c:pt>
                <c:pt idx="79">
                  <c:v>2026W28</c:v>
                </c:pt>
                <c:pt idx="80">
                  <c:v>2026W29</c:v>
                </c:pt>
                <c:pt idx="81">
                  <c:v>2026W30</c:v>
                </c:pt>
              </c:strCache>
            </c:strRef>
          </c:cat>
          <c:val>
            <c:numRef>
              <c:extLst>
                <c:ext xmlns:c15="http://schemas.microsoft.com/office/drawing/2012/chart" uri="{02D57815-91ED-43cb-92C2-25804820EDAC}">
                  <c15:fullRef>
                    <c15:sqref>Historic!$I$2:$I$119</c15:sqref>
                  </c15:fullRef>
                </c:ext>
              </c:extLst>
              <c:f>Historic!$I$2:$I$97</c:f>
              <c:numCache>
                <c:formatCode>General</c:formatCode>
                <c:ptCount val="82"/>
                <c:pt idx="0">
                  <c:v>32</c:v>
                </c:pt>
                <c:pt idx="1">
                  <c:v>33</c:v>
                </c:pt>
                <c:pt idx="2">
                  <c:v>34</c:v>
                </c:pt>
                <c:pt idx="3">
                  <c:v>35</c:v>
                </c:pt>
                <c:pt idx="4">
                  <c:v>36</c:v>
                </c:pt>
                <c:pt idx="5">
                  <c:v>43</c:v>
                </c:pt>
                <c:pt idx="6">
                  <c:v>44</c:v>
                </c:pt>
                <c:pt idx="7">
                  <c:v>49</c:v>
                </c:pt>
                <c:pt idx="8">
                  <c:v>53</c:v>
                </c:pt>
                <c:pt idx="9">
                  <c:v>55</c:v>
                </c:pt>
                <c:pt idx="10">
                  <c:v>57</c:v>
                </c:pt>
                <c:pt idx="11">
                  <c:v>60</c:v>
                </c:pt>
                <c:pt idx="12">
                  <c:v>61</c:v>
                </c:pt>
                <c:pt idx="13">
                  <c:v>62</c:v>
                </c:pt>
                <c:pt idx="14">
                  <c:v>65</c:v>
                </c:pt>
                <c:pt idx="15">
                  <c:v>69</c:v>
                </c:pt>
                <c:pt idx="16">
                  <c:v>69</c:v>
                </c:pt>
                <c:pt idx="17">
                  <c:v>70</c:v>
                </c:pt>
                <c:pt idx="18">
                  <c:v>72</c:v>
                </c:pt>
                <c:pt idx="19">
                  <c:v>74</c:v>
                </c:pt>
                <c:pt idx="20">
                  <c:v>76</c:v>
                </c:pt>
                <c:pt idx="21">
                  <c:v>76</c:v>
                </c:pt>
                <c:pt idx="22">
                  <c:v>78</c:v>
                </c:pt>
                <c:pt idx="23">
                  <c:v>87</c:v>
                </c:pt>
                <c:pt idx="24">
                  <c:v>87</c:v>
                </c:pt>
                <c:pt idx="25">
                  <c:v>88</c:v>
                </c:pt>
                <c:pt idx="26">
                  <c:v>90</c:v>
                </c:pt>
                <c:pt idx="27">
                  <c:v>91</c:v>
                </c:pt>
                <c:pt idx="28">
                  <c:v>93</c:v>
                </c:pt>
                <c:pt idx="29">
                  <c:v>93</c:v>
                </c:pt>
                <c:pt idx="30">
                  <c:v>94</c:v>
                </c:pt>
                <c:pt idx="31">
                  <c:v>96</c:v>
                </c:pt>
                <c:pt idx="32">
                  <c:v>97</c:v>
                </c:pt>
                <c:pt idx="33">
                  <c:v>98</c:v>
                </c:pt>
                <c:pt idx="34">
                  <c:v>102</c:v>
                </c:pt>
                <c:pt idx="35">
                  <c:v>104</c:v>
                </c:pt>
                <c:pt idx="36">
                  <c:v>107</c:v>
                </c:pt>
                <c:pt idx="37">
                  <c:v>107</c:v>
                </c:pt>
                <c:pt idx="38">
                  <c:v>109</c:v>
                </c:pt>
                <c:pt idx="39">
                  <c:v>112</c:v>
                </c:pt>
                <c:pt idx="40">
                  <c:v>113</c:v>
                </c:pt>
                <c:pt idx="41">
                  <c:v>115</c:v>
                </c:pt>
                <c:pt idx="42">
                  <c:v>117</c:v>
                </c:pt>
                <c:pt idx="43">
                  <c:v>120</c:v>
                </c:pt>
                <c:pt idx="44">
                  <c:v>120</c:v>
                </c:pt>
                <c:pt idx="45">
                  <c:v>121</c:v>
                </c:pt>
                <c:pt idx="46">
                  <c:v>122</c:v>
                </c:pt>
                <c:pt idx="47">
                  <c:v>125</c:v>
                </c:pt>
                <c:pt idx="48">
                  <c:v>126</c:v>
                </c:pt>
                <c:pt idx="49">
                  <c:v>128</c:v>
                </c:pt>
                <c:pt idx="50">
                  <c:v>132</c:v>
                </c:pt>
                <c:pt idx="51">
                  <c:v>132</c:v>
                </c:pt>
                <c:pt idx="52">
                  <c:v>133</c:v>
                </c:pt>
                <c:pt idx="53">
                  <c:v>137</c:v>
                </c:pt>
                <c:pt idx="54">
                  <c:v>139</c:v>
                </c:pt>
                <c:pt idx="55">
                  <c:v>143</c:v>
                </c:pt>
                <c:pt idx="56">
                  <c:v>144</c:v>
                </c:pt>
                <c:pt idx="57">
                  <c:v>146</c:v>
                </c:pt>
                <c:pt idx="58">
                  <c:v>151</c:v>
                </c:pt>
                <c:pt idx="59">
                  <c:v>152</c:v>
                </c:pt>
                <c:pt idx="60">
                  <c:v>153</c:v>
                </c:pt>
                <c:pt idx="61">
                  <c:v>156</c:v>
                </c:pt>
                <c:pt idx="62">
                  <c:v>157</c:v>
                </c:pt>
                <c:pt idx="63">
                  <c:v>157</c:v>
                </c:pt>
                <c:pt idx="64">
                  <c:v>157</c:v>
                </c:pt>
                <c:pt idx="65">
                  <c:v>157</c:v>
                </c:pt>
                <c:pt idx="66">
                  <c:v>157</c:v>
                </c:pt>
                <c:pt idx="67">
                  <c:v>157</c:v>
                </c:pt>
                <c:pt idx="68">
                  <c:v>157</c:v>
                </c:pt>
                <c:pt idx="69">
                  <c:v>157</c:v>
                </c:pt>
                <c:pt idx="70">
                  <c:v>157</c:v>
                </c:pt>
                <c:pt idx="71">
                  <c:v>157</c:v>
                </c:pt>
                <c:pt idx="72">
                  <c:v>157</c:v>
                </c:pt>
                <c:pt idx="73">
                  <c:v>157</c:v>
                </c:pt>
                <c:pt idx="74">
                  <c:v>157</c:v>
                </c:pt>
                <c:pt idx="75">
                  <c:v>157</c:v>
                </c:pt>
                <c:pt idx="76">
                  <c:v>157</c:v>
                </c:pt>
                <c:pt idx="77">
                  <c:v>157</c:v>
                </c:pt>
                <c:pt idx="78">
                  <c:v>157</c:v>
                </c:pt>
                <c:pt idx="79">
                  <c:v>157</c:v>
                </c:pt>
                <c:pt idx="80">
                  <c:v>157</c:v>
                </c:pt>
              </c:numCache>
            </c:numRef>
          </c:val>
          <c:smooth val="0"/>
          <c:extLst>
            <c:ext xmlns:c16="http://schemas.microsoft.com/office/drawing/2014/chart" uri="{C3380CC4-5D6E-409C-BE32-E72D297353CC}">
              <c16:uniqueId val="{00000000-DBB3-4FE3-9C0C-E24C8C6C19A4}"/>
            </c:ext>
          </c:extLst>
        </c:ser>
        <c:dLbls>
          <c:dLblPos val="ctr"/>
          <c:showLegendKey val="0"/>
          <c:showVal val="1"/>
          <c:showCatName val="0"/>
          <c:showSerName val="0"/>
          <c:showPercent val="0"/>
          <c:showBubbleSize val="0"/>
        </c:dLbls>
        <c:marker val="1"/>
        <c:smooth val="0"/>
        <c:axId val="1600383599"/>
        <c:axId val="1600383119"/>
      </c:lineChart>
      <c:catAx>
        <c:axId val="117009196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pt-BR"/>
                  <a:t>Semana</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pt-BR"/>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1170090047"/>
        <c:crosses val="autoZero"/>
        <c:auto val="1"/>
        <c:lblAlgn val="ctr"/>
        <c:lblOffset val="100"/>
        <c:noMultiLvlLbl val="0"/>
      </c:catAx>
      <c:valAx>
        <c:axId val="117009004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pt-BR"/>
                  <a:t>Número de turbinas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pt-BR"/>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1170091967"/>
        <c:crosses val="autoZero"/>
        <c:crossBetween val="between"/>
      </c:valAx>
      <c:valAx>
        <c:axId val="1600383119"/>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1600383599"/>
        <c:crosses val="max"/>
        <c:crossBetween val="between"/>
      </c:valAx>
      <c:catAx>
        <c:axId val="1600383599"/>
        <c:scaling>
          <c:orientation val="minMax"/>
        </c:scaling>
        <c:delete val="1"/>
        <c:axPos val="b"/>
        <c:numFmt formatCode="General" sourceLinked="1"/>
        <c:majorTickMark val="out"/>
        <c:minorTickMark val="none"/>
        <c:tickLblPos val="nextTo"/>
        <c:crossAx val="1600383119"/>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pivotSource>
    <c:name>[Stopped Turbines - Report.xlsx]Planilha4!Tabela dinâmica5</c:name>
    <c:fmtId val="2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t-BR"/>
              <a:t>Comparação</a:t>
            </a:r>
            <a:r>
              <a:rPr lang="pt-BR" baseline="0"/>
              <a:t> 2025 x 2026 - Nº de WTGs paradas +7 dias - Essentia</a:t>
            </a:r>
            <a:endParaRPr lang="pt-B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BR"/>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6">
              <a:lumMod val="50000"/>
            </a:schemeClr>
          </a:solidFill>
          <a:ln>
            <a:no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pt-BR"/>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3">
              <a:lumMod val="20000"/>
              <a:lumOff val="80000"/>
            </a:schemeClr>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pivotFmt>
      <c:pivotFmt>
        <c:idx val="16"/>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6">
              <a:lumMod val="5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pt-BR"/>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6">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pt-BR"/>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pt-BR"/>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pt-BR"/>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pt-BR"/>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pt-BR"/>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5">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pt-BR"/>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5">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5">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5">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9"/>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0"/>
        <c:spPr>
          <a:solidFill>
            <a:schemeClr val="accent5">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2"/>
        <c:spPr>
          <a:solidFill>
            <a:srgbClr val="97A79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pt-BR"/>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3"/>
        <c:spPr>
          <a:solidFill>
            <a:srgbClr val="CEE4D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pt-BR"/>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4"/>
        <c:spPr>
          <a:solidFill>
            <a:srgbClr val="97A79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pt-BR"/>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5"/>
        <c:spPr>
          <a:solidFill>
            <a:srgbClr val="CEE4D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pt-BR"/>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6"/>
        <c:spPr>
          <a:solidFill>
            <a:srgbClr val="CEE4D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pt-BR"/>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7"/>
        <c:spPr>
          <a:solidFill>
            <a:srgbClr val="11875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pt-BR"/>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Planilha4!$B$3:$B$4</c:f>
              <c:strCache>
                <c:ptCount val="1"/>
                <c:pt idx="0">
                  <c:v>2025</c:v>
                </c:pt>
              </c:strCache>
            </c:strRef>
          </c:tx>
          <c:spPr>
            <a:solidFill>
              <a:srgbClr val="CEE4DA"/>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pt-BR"/>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Planilha4!$A$5:$A$56</c:f>
              <c:strCache>
                <c:ptCount val="52"/>
                <c:pt idx="0">
                  <c:v>01</c:v>
                </c:pt>
                <c:pt idx="1">
                  <c:v>02</c:v>
                </c:pt>
                <c:pt idx="2">
                  <c:v>03</c:v>
                </c:pt>
                <c:pt idx="3">
                  <c:v>04</c:v>
                </c:pt>
                <c:pt idx="4">
                  <c:v>05</c:v>
                </c:pt>
                <c:pt idx="5">
                  <c:v>06</c:v>
                </c:pt>
                <c:pt idx="6">
                  <c:v>07</c:v>
                </c:pt>
                <c:pt idx="7">
                  <c:v>08</c:v>
                </c:pt>
                <c:pt idx="8">
                  <c:v>09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strCache>
            </c:strRef>
          </c:cat>
          <c:val>
            <c:numRef>
              <c:f>Planilha4!$B$5:$B$56</c:f>
              <c:numCache>
                <c:formatCode>General</c:formatCode>
                <c:ptCount val="52"/>
                <c:pt idx="0">
                  <c:v>12</c:v>
                </c:pt>
                <c:pt idx="1">
                  <c:v>11</c:v>
                </c:pt>
                <c:pt idx="2">
                  <c:v>13</c:v>
                </c:pt>
                <c:pt idx="3">
                  <c:v>15</c:v>
                </c:pt>
                <c:pt idx="4">
                  <c:v>15</c:v>
                </c:pt>
                <c:pt idx="5">
                  <c:v>13</c:v>
                </c:pt>
                <c:pt idx="6">
                  <c:v>18</c:v>
                </c:pt>
                <c:pt idx="7">
                  <c:v>15</c:v>
                </c:pt>
                <c:pt idx="8">
                  <c:v>14</c:v>
                </c:pt>
                <c:pt idx="9">
                  <c:v>13</c:v>
                </c:pt>
                <c:pt idx="10">
                  <c:v>12</c:v>
                </c:pt>
                <c:pt idx="11">
                  <c:v>14</c:v>
                </c:pt>
                <c:pt idx="12">
                  <c:v>13</c:v>
                </c:pt>
                <c:pt idx="13">
                  <c:v>12</c:v>
                </c:pt>
                <c:pt idx="14">
                  <c:v>13</c:v>
                </c:pt>
                <c:pt idx="15">
                  <c:v>14</c:v>
                </c:pt>
                <c:pt idx="16">
                  <c:v>16</c:v>
                </c:pt>
                <c:pt idx="17">
                  <c:v>14</c:v>
                </c:pt>
                <c:pt idx="18">
                  <c:v>14</c:v>
                </c:pt>
                <c:pt idx="19">
                  <c:v>9</c:v>
                </c:pt>
                <c:pt idx="20">
                  <c:v>11</c:v>
                </c:pt>
                <c:pt idx="21">
                  <c:v>12</c:v>
                </c:pt>
                <c:pt idx="22">
                  <c:v>11</c:v>
                </c:pt>
                <c:pt idx="23">
                  <c:v>11</c:v>
                </c:pt>
                <c:pt idx="24">
                  <c:v>17</c:v>
                </c:pt>
                <c:pt idx="25">
                  <c:v>18</c:v>
                </c:pt>
                <c:pt idx="26">
                  <c:v>18</c:v>
                </c:pt>
                <c:pt idx="27">
                  <c:v>16</c:v>
                </c:pt>
                <c:pt idx="28">
                  <c:v>12</c:v>
                </c:pt>
                <c:pt idx="29">
                  <c:v>10</c:v>
                </c:pt>
                <c:pt idx="30">
                  <c:v>7</c:v>
                </c:pt>
                <c:pt idx="31">
                  <c:v>8</c:v>
                </c:pt>
                <c:pt idx="32">
                  <c:v>7</c:v>
                </c:pt>
                <c:pt idx="33">
                  <c:v>6</c:v>
                </c:pt>
                <c:pt idx="34">
                  <c:v>4</c:v>
                </c:pt>
                <c:pt idx="35">
                  <c:v>4</c:v>
                </c:pt>
                <c:pt idx="36">
                  <c:v>9</c:v>
                </c:pt>
                <c:pt idx="37">
                  <c:v>9</c:v>
                </c:pt>
                <c:pt idx="38">
                  <c:v>7</c:v>
                </c:pt>
                <c:pt idx="39">
                  <c:v>9</c:v>
                </c:pt>
                <c:pt idx="40">
                  <c:v>10</c:v>
                </c:pt>
                <c:pt idx="41">
                  <c:v>10</c:v>
                </c:pt>
                <c:pt idx="42">
                  <c:v>9</c:v>
                </c:pt>
                <c:pt idx="43">
                  <c:v>10</c:v>
                </c:pt>
                <c:pt idx="44">
                  <c:v>13</c:v>
                </c:pt>
                <c:pt idx="45">
                  <c:v>10</c:v>
                </c:pt>
                <c:pt idx="46">
                  <c:v>11</c:v>
                </c:pt>
                <c:pt idx="47">
                  <c:v>10</c:v>
                </c:pt>
                <c:pt idx="48">
                  <c:v>11</c:v>
                </c:pt>
                <c:pt idx="49">
                  <c:v>5</c:v>
                </c:pt>
                <c:pt idx="50">
                  <c:v>3</c:v>
                </c:pt>
                <c:pt idx="51">
                  <c:v>3</c:v>
                </c:pt>
              </c:numCache>
            </c:numRef>
          </c:val>
          <c:extLst>
            <c:ext xmlns:c16="http://schemas.microsoft.com/office/drawing/2014/chart" uri="{C3380CC4-5D6E-409C-BE32-E72D297353CC}">
              <c16:uniqueId val="{00000000-FB5C-4C98-BC0D-59C421164A7B}"/>
            </c:ext>
          </c:extLst>
        </c:ser>
        <c:ser>
          <c:idx val="1"/>
          <c:order val="1"/>
          <c:tx>
            <c:strRef>
              <c:f>Planilha4!$C$3:$C$4</c:f>
              <c:strCache>
                <c:ptCount val="1"/>
                <c:pt idx="0">
                  <c:v>2026</c:v>
                </c:pt>
              </c:strCache>
            </c:strRef>
          </c:tx>
          <c:spPr>
            <a:solidFill>
              <a:srgbClr val="11875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pt-BR"/>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Planilha4!$A$5:$A$56</c:f>
              <c:strCache>
                <c:ptCount val="52"/>
                <c:pt idx="0">
                  <c:v>01</c:v>
                </c:pt>
                <c:pt idx="1">
                  <c:v>02</c:v>
                </c:pt>
                <c:pt idx="2">
                  <c:v>03</c:v>
                </c:pt>
                <c:pt idx="3">
                  <c:v>04</c:v>
                </c:pt>
                <c:pt idx="4">
                  <c:v>05</c:v>
                </c:pt>
                <c:pt idx="5">
                  <c:v>06</c:v>
                </c:pt>
                <c:pt idx="6">
                  <c:v>07</c:v>
                </c:pt>
                <c:pt idx="7">
                  <c:v>08</c:v>
                </c:pt>
                <c:pt idx="8">
                  <c:v>09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strCache>
            </c:strRef>
          </c:cat>
          <c:val>
            <c:numRef>
              <c:f>Planilha4!$C$5:$C$56</c:f>
              <c:numCache>
                <c:formatCode>General</c:formatCode>
                <c:ptCount val="52"/>
                <c:pt idx="0">
                  <c:v>2</c:v>
                </c:pt>
                <c:pt idx="1">
                  <c:v>3</c:v>
                </c:pt>
                <c:pt idx="2">
                  <c:v>6</c:v>
                </c:pt>
                <c:pt idx="3">
                  <c:v>6</c:v>
                </c:pt>
                <c:pt idx="4">
                  <c:v>7</c:v>
                </c:pt>
                <c:pt idx="5">
                  <c:v>6</c:v>
                </c:pt>
                <c:pt idx="6">
                  <c:v>5</c:v>
                </c:pt>
                <c:pt idx="7">
                  <c:v>6</c:v>
                </c:pt>
                <c:pt idx="8">
                  <c:v>6</c:v>
                </c:pt>
                <c:pt idx="9">
                  <c:v>5</c:v>
                </c:pt>
                <c:pt idx="10">
                  <c:v>4</c:v>
                </c:pt>
                <c:pt idx="11">
                  <c:v>5</c:v>
                </c:pt>
                <c:pt idx="12">
                  <c:v>2</c:v>
                </c:pt>
                <c:pt idx="13">
                  <c:v>4</c:v>
                </c:pt>
                <c:pt idx="14">
                  <c:v>5</c:v>
                </c:pt>
                <c:pt idx="15">
                  <c:v>2</c:v>
                </c:pt>
                <c:pt idx="16">
                  <c:v>3</c:v>
                </c:pt>
                <c:pt idx="17">
                  <c:v>4</c:v>
                </c:pt>
                <c:pt idx="18">
                  <c:v>4</c:v>
                </c:pt>
                <c:pt idx="19">
                  <c:v>3</c:v>
                </c:pt>
                <c:pt idx="20">
                  <c:v>6</c:v>
                </c:pt>
                <c:pt idx="21">
                  <c:v>2</c:v>
                </c:pt>
                <c:pt idx="22">
                  <c:v>4</c:v>
                </c:pt>
                <c:pt idx="23">
                  <c:v>3</c:v>
                </c:pt>
                <c:pt idx="24">
                  <c:v>4</c:v>
                </c:pt>
                <c:pt idx="25">
                  <c:v>3</c:v>
                </c:pt>
                <c:pt idx="26">
                  <c:v>2</c:v>
                </c:pt>
                <c:pt idx="27">
                  <c:v>2</c:v>
                </c:pt>
                <c:pt idx="28">
                  <c:v>4</c:v>
                </c:pt>
                <c:pt idx="29">
                  <c:v>4</c:v>
                </c:pt>
                <c:pt idx="30">
                  <c:v>3</c:v>
                </c:pt>
                <c:pt idx="31">
                  <c:v>6</c:v>
                </c:pt>
                <c:pt idx="32">
                  <c:v>6</c:v>
                </c:pt>
                <c:pt idx="33">
                  <c:v>3</c:v>
                </c:pt>
                <c:pt idx="34">
                  <c:v>2</c:v>
                </c:pt>
                <c:pt idx="35">
                  <c:v>3</c:v>
                </c:pt>
                <c:pt idx="36">
                  <c:v>2</c:v>
                </c:pt>
                <c:pt idx="37">
                  <c:v>4</c:v>
                </c:pt>
                <c:pt idx="38">
                  <c:v>4</c:v>
                </c:pt>
                <c:pt idx="39">
                  <c:v>0</c:v>
                </c:pt>
                <c:pt idx="40">
                  <c:v>0</c:v>
                </c:pt>
                <c:pt idx="41">
                  <c:v>0</c:v>
                </c:pt>
                <c:pt idx="42">
                  <c:v>0</c:v>
                </c:pt>
                <c:pt idx="43">
                  <c:v>0</c:v>
                </c:pt>
                <c:pt idx="44">
                  <c:v>0</c:v>
                </c:pt>
                <c:pt idx="45">
                  <c:v>0</c:v>
                </c:pt>
                <c:pt idx="46">
                  <c:v>0</c:v>
                </c:pt>
                <c:pt idx="47">
                  <c:v>0</c:v>
                </c:pt>
                <c:pt idx="48">
                  <c:v>0</c:v>
                </c:pt>
                <c:pt idx="49">
                  <c:v>0</c:v>
                </c:pt>
                <c:pt idx="50">
                  <c:v>0</c:v>
                </c:pt>
                <c:pt idx="51">
                  <c:v>0</c:v>
                </c:pt>
              </c:numCache>
            </c:numRef>
          </c:val>
          <c:extLst>
            <c:ext xmlns:c16="http://schemas.microsoft.com/office/drawing/2014/chart" uri="{C3380CC4-5D6E-409C-BE32-E72D297353CC}">
              <c16:uniqueId val="{00000005-FB5C-4C98-BC0D-59C421164A7B}"/>
            </c:ext>
          </c:extLst>
        </c:ser>
        <c:dLbls>
          <c:showLegendKey val="0"/>
          <c:showVal val="0"/>
          <c:showCatName val="0"/>
          <c:showSerName val="0"/>
          <c:showPercent val="0"/>
          <c:showBubbleSize val="0"/>
        </c:dLbls>
        <c:gapWidth val="219"/>
        <c:axId val="2109945056"/>
        <c:axId val="2109938336"/>
      </c:barChart>
      <c:catAx>
        <c:axId val="21099450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pt-BR"/>
                  <a:t>Semana</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pt-BR"/>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2109938336"/>
        <c:crosses val="autoZero"/>
        <c:auto val="1"/>
        <c:lblAlgn val="ctr"/>
        <c:lblOffset val="100"/>
        <c:noMultiLvlLbl val="0"/>
      </c:catAx>
      <c:valAx>
        <c:axId val="210993833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pt-BR"/>
                  <a:t>Nº</a:t>
                </a:r>
                <a:r>
                  <a:rPr lang="pt-BR" baseline="0"/>
                  <a:t> de WTGs </a:t>
                </a:r>
                <a:endParaRPr lang="pt-B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pt-BR"/>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210994505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pivotSource>
    <c:name>[Stopped Turbines - Report.xlsx]Horas DTs!Tabela dinâmica5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Horas de WTGs paradas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BR"/>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'Horas DTs'!$B$3</c:f>
              <c:strCache>
                <c:ptCount val="1"/>
                <c:pt idx="0">
                  <c:v>Total</c:v>
                </c:pt>
              </c:strCache>
            </c:strRef>
          </c:tx>
          <c:spPr>
            <a:solidFill>
              <a:schemeClr val="accent1"/>
            </a:solidFill>
            <a:ln>
              <a:noFill/>
            </a:ln>
            <a:effectLst/>
          </c:spPr>
          <c:invertIfNegative val="0"/>
          <c:cat>
            <c:strRef>
              <c:f>'Horas DTs'!$A$4:$A$8</c:f>
              <c:strCache>
                <c:ptCount val="4"/>
                <c:pt idx="0">
                  <c:v>Asa Branca</c:v>
                </c:pt>
                <c:pt idx="1">
                  <c:v>Chapada I</c:v>
                </c:pt>
                <c:pt idx="2">
                  <c:v>Chapada II</c:v>
                </c:pt>
                <c:pt idx="3">
                  <c:v>Chapada III</c:v>
                </c:pt>
              </c:strCache>
            </c:strRef>
          </c:cat>
          <c:val>
            <c:numRef>
              <c:f>'Horas DTs'!$B$4:$B$8</c:f>
              <c:numCache>
                <c:formatCode>General</c:formatCode>
                <c:ptCount val="4"/>
                <c:pt idx="0">
                  <c:v>0</c:v>
                </c:pt>
                <c:pt idx="1">
                  <c:v>1440</c:v>
                </c:pt>
                <c:pt idx="2">
                  <c:v>1704</c:v>
                </c:pt>
                <c:pt idx="3">
                  <c:v>1080</c:v>
                </c:pt>
              </c:numCache>
            </c:numRef>
          </c:val>
          <c:extLst>
            <c:ext xmlns:c16="http://schemas.microsoft.com/office/drawing/2014/chart" uri="{C3380CC4-5D6E-409C-BE32-E72D297353CC}">
              <c16:uniqueId val="{00000000-14CC-4C5C-BDBA-965FC3E4F13E}"/>
            </c:ext>
          </c:extLst>
        </c:ser>
        <c:dLbls>
          <c:showLegendKey val="0"/>
          <c:showVal val="0"/>
          <c:showCatName val="0"/>
          <c:showSerName val="0"/>
          <c:showPercent val="0"/>
          <c:showBubbleSize val="0"/>
        </c:dLbls>
        <c:gapWidth val="219"/>
        <c:overlap val="-27"/>
        <c:axId val="402404175"/>
        <c:axId val="402399375"/>
      </c:barChart>
      <c:catAx>
        <c:axId val="40240417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pt-BR"/>
                  <a:t>Site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pt-BR"/>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402399375"/>
        <c:crosses val="autoZero"/>
        <c:auto val="1"/>
        <c:lblAlgn val="ctr"/>
        <c:lblOffset val="100"/>
        <c:noMultiLvlLbl val="0"/>
      </c:catAx>
      <c:valAx>
        <c:axId val="402399375"/>
        <c:scaling>
          <c:orientation val="minMax"/>
          <c:max val="850"/>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pt-BR"/>
                  <a:t>Horas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pt-BR"/>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402404175"/>
        <c:crosses val="autoZero"/>
        <c:crossBetween val="between"/>
        <c:majorUnit val="50"/>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pivotSource>
    <c:name>[Stopped Turbines - Report.xlsx]Disp. YTD!Tabela dinâmica6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t-BR"/>
              <a:t>Indisponibilidades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BR"/>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'Disp. YTD'!$B$3</c:f>
              <c:strCache>
                <c:ptCount val="1"/>
                <c:pt idx="0">
                  <c:v>Total</c:v>
                </c:pt>
              </c:strCache>
            </c:strRef>
          </c:tx>
          <c:spPr>
            <a:solidFill>
              <a:schemeClr val="accent1"/>
            </a:solidFill>
            <a:ln>
              <a:noFill/>
            </a:ln>
            <a:effectLst/>
          </c:spPr>
          <c:invertIfNegative val="0"/>
          <c:cat>
            <c:strRef>
              <c:f>'Disp. YTD'!$A$4:$A$8</c:f>
              <c:strCache>
                <c:ptCount val="4"/>
                <c:pt idx="0">
                  <c:v>Asa Branca</c:v>
                </c:pt>
                <c:pt idx="1">
                  <c:v>Chapada I</c:v>
                </c:pt>
                <c:pt idx="2">
                  <c:v>Chapada II</c:v>
                </c:pt>
                <c:pt idx="3">
                  <c:v>Chapada III</c:v>
                </c:pt>
              </c:strCache>
            </c:strRef>
          </c:cat>
          <c:val>
            <c:numRef>
              <c:f>'Disp. YTD'!$B$4:$B$8</c:f>
              <c:numCache>
                <c:formatCode>0.00%</c:formatCode>
                <c:ptCount val="4"/>
                <c:pt idx="0">
                  <c:v>0</c:v>
                </c:pt>
                <c:pt idx="1">
                  <c:v>6.066734074823053E-3</c:v>
                </c:pt>
                <c:pt idx="2">
                  <c:v>8.2558139534883723E-3</c:v>
                </c:pt>
                <c:pt idx="3">
                  <c:v>1.6351744186046513E-2</c:v>
                </c:pt>
              </c:numCache>
            </c:numRef>
          </c:val>
          <c:extLst>
            <c:ext xmlns:c16="http://schemas.microsoft.com/office/drawing/2014/chart" uri="{C3380CC4-5D6E-409C-BE32-E72D297353CC}">
              <c16:uniqueId val="{00000000-F8A2-4B08-AD26-9C175FFE6D97}"/>
            </c:ext>
          </c:extLst>
        </c:ser>
        <c:dLbls>
          <c:showLegendKey val="0"/>
          <c:showVal val="0"/>
          <c:showCatName val="0"/>
          <c:showSerName val="0"/>
          <c:showPercent val="0"/>
          <c:showBubbleSize val="0"/>
        </c:dLbls>
        <c:gapWidth val="219"/>
        <c:overlap val="-27"/>
        <c:axId val="675060928"/>
        <c:axId val="675057088"/>
      </c:barChart>
      <c:catAx>
        <c:axId val="6750609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675057088"/>
        <c:crosses val="autoZero"/>
        <c:auto val="1"/>
        <c:lblAlgn val="ctr"/>
        <c:lblOffset val="100"/>
        <c:noMultiLvlLbl val="0"/>
      </c:catAx>
      <c:valAx>
        <c:axId val="67505708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6750609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pivotSource>
    <c:name>[Stopped Turbines - Report.xlsx]WTGs paradas!Tabela dinâmica7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t-BR"/>
              <a:t>WTGs</a:t>
            </a:r>
            <a:r>
              <a:rPr lang="pt-BR" baseline="0"/>
              <a:t> paradas</a:t>
            </a:r>
            <a:endParaRPr lang="pt-B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BR"/>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'WTGs paradas'!$B$3</c:f>
              <c:strCache>
                <c:ptCount val="1"/>
                <c:pt idx="0">
                  <c:v>Total</c:v>
                </c:pt>
              </c:strCache>
            </c:strRef>
          </c:tx>
          <c:spPr>
            <a:solidFill>
              <a:schemeClr val="accent1"/>
            </a:solidFill>
            <a:ln>
              <a:noFill/>
            </a:ln>
            <a:effectLst/>
          </c:spPr>
          <c:invertIfNegative val="0"/>
          <c:cat>
            <c:strRef>
              <c:f>'WTGs paradas'!$A$4:$A$8</c:f>
              <c:strCache>
                <c:ptCount val="4"/>
                <c:pt idx="0">
                  <c:v>Asa Branca</c:v>
                </c:pt>
                <c:pt idx="1">
                  <c:v>Chapada I</c:v>
                </c:pt>
                <c:pt idx="2">
                  <c:v>Chapada II</c:v>
                </c:pt>
                <c:pt idx="3">
                  <c:v>Chapada III</c:v>
                </c:pt>
              </c:strCache>
            </c:strRef>
          </c:cat>
          <c:val>
            <c:numRef>
              <c:f>'WTGs paradas'!$B$4:$B$8</c:f>
              <c:numCache>
                <c:formatCode>General</c:formatCode>
                <c:ptCount val="4"/>
                <c:pt idx="0">
                  <c:v>2</c:v>
                </c:pt>
                <c:pt idx="1">
                  <c:v>9</c:v>
                </c:pt>
                <c:pt idx="2">
                  <c:v>2</c:v>
                </c:pt>
                <c:pt idx="3">
                  <c:v>1</c:v>
                </c:pt>
              </c:numCache>
            </c:numRef>
          </c:val>
          <c:extLst>
            <c:ext xmlns:c16="http://schemas.microsoft.com/office/drawing/2014/chart" uri="{C3380CC4-5D6E-409C-BE32-E72D297353CC}">
              <c16:uniqueId val="{00000000-E872-4C06-9071-8CE8B73DE3D5}"/>
            </c:ext>
          </c:extLst>
        </c:ser>
        <c:dLbls>
          <c:showLegendKey val="0"/>
          <c:showVal val="0"/>
          <c:showCatName val="0"/>
          <c:showSerName val="0"/>
          <c:showPercent val="0"/>
          <c:showBubbleSize val="0"/>
        </c:dLbls>
        <c:gapWidth val="219"/>
        <c:overlap val="-27"/>
        <c:axId val="241364480"/>
        <c:axId val="241361120"/>
      </c:barChart>
      <c:catAx>
        <c:axId val="2413644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241361120"/>
        <c:crosses val="autoZero"/>
        <c:auto val="1"/>
        <c:lblAlgn val="ctr"/>
        <c:lblOffset val="100"/>
        <c:noMultiLvlLbl val="0"/>
      </c:catAx>
      <c:valAx>
        <c:axId val="2413611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2413644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t-BR"/>
              <a:t>Número</a:t>
            </a:r>
            <a:r>
              <a:rPr lang="pt-BR" baseline="0"/>
              <a:t> de turbinas paradas 7d+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BR"/>
        </a:p>
      </c:txPr>
    </c:title>
    <c:autoTitleDeleted val="0"/>
    <c:plotArea>
      <c:layout>
        <c:manualLayout>
          <c:layoutTarget val="inner"/>
          <c:xMode val="edge"/>
          <c:yMode val="edge"/>
          <c:x val="6.9403547738711296E-2"/>
          <c:y val="0.1137336242256715"/>
          <c:w val="0.91407416343346648"/>
          <c:h val="0.5937560208950784"/>
        </c:manualLayout>
      </c:layout>
      <c:barChart>
        <c:barDir val="col"/>
        <c:grouping val="stacked"/>
        <c:varyColors val="0"/>
        <c:ser>
          <c:idx val="0"/>
          <c:order val="0"/>
          <c:tx>
            <c:strRef>
              <c:f>Historic!$F$1</c:f>
              <c:strCache>
                <c:ptCount val="1"/>
                <c:pt idx="0">
                  <c:v>ASA</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pt-BR"/>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Historic!$A$2:$A$53</c:f>
              <c:strCache>
                <c:ptCount val="38"/>
                <c:pt idx="0">
                  <c:v>2025W01</c:v>
                </c:pt>
                <c:pt idx="1">
                  <c:v>2025W02</c:v>
                </c:pt>
                <c:pt idx="2">
                  <c:v>2025W03</c:v>
                </c:pt>
                <c:pt idx="3">
                  <c:v>2025W04</c:v>
                </c:pt>
                <c:pt idx="4">
                  <c:v>2025W05</c:v>
                </c:pt>
                <c:pt idx="5">
                  <c:v>2025W06</c:v>
                </c:pt>
                <c:pt idx="6">
                  <c:v>2025W07</c:v>
                </c:pt>
                <c:pt idx="7">
                  <c:v>2025W08</c:v>
                </c:pt>
                <c:pt idx="8">
                  <c:v>2025W09</c:v>
                </c:pt>
                <c:pt idx="9">
                  <c:v>2025W10</c:v>
                </c:pt>
                <c:pt idx="10">
                  <c:v>2025W11</c:v>
                </c:pt>
                <c:pt idx="11">
                  <c:v>2025W12</c:v>
                </c:pt>
                <c:pt idx="12">
                  <c:v>2025W13</c:v>
                </c:pt>
                <c:pt idx="13">
                  <c:v>2025W14</c:v>
                </c:pt>
                <c:pt idx="14">
                  <c:v>2025W15</c:v>
                </c:pt>
                <c:pt idx="15">
                  <c:v>2025W16</c:v>
                </c:pt>
                <c:pt idx="16">
                  <c:v>2025W17</c:v>
                </c:pt>
                <c:pt idx="17">
                  <c:v>2025W18</c:v>
                </c:pt>
                <c:pt idx="18">
                  <c:v>2025W19</c:v>
                </c:pt>
                <c:pt idx="19">
                  <c:v>2025W20</c:v>
                </c:pt>
                <c:pt idx="20">
                  <c:v>2025W21</c:v>
                </c:pt>
                <c:pt idx="21">
                  <c:v>2025W22</c:v>
                </c:pt>
                <c:pt idx="22">
                  <c:v>2025W23</c:v>
                </c:pt>
                <c:pt idx="23">
                  <c:v>2025W24</c:v>
                </c:pt>
                <c:pt idx="24">
                  <c:v>2025W25</c:v>
                </c:pt>
                <c:pt idx="25">
                  <c:v>2025W26</c:v>
                </c:pt>
                <c:pt idx="26">
                  <c:v>2025W27</c:v>
                </c:pt>
                <c:pt idx="27">
                  <c:v>2025W28</c:v>
                </c:pt>
                <c:pt idx="28">
                  <c:v>2025W29</c:v>
                </c:pt>
                <c:pt idx="29">
                  <c:v>2025W30</c:v>
                </c:pt>
                <c:pt idx="30">
                  <c:v>2025W31</c:v>
                </c:pt>
                <c:pt idx="31">
                  <c:v>2025W32</c:v>
                </c:pt>
                <c:pt idx="32">
                  <c:v>2025W33</c:v>
                </c:pt>
                <c:pt idx="33">
                  <c:v>2025W34</c:v>
                </c:pt>
                <c:pt idx="34">
                  <c:v>2025W35</c:v>
                </c:pt>
                <c:pt idx="35">
                  <c:v>2025W36</c:v>
                </c:pt>
                <c:pt idx="36">
                  <c:v>2025W37</c:v>
                </c:pt>
                <c:pt idx="37">
                  <c:v>2025W38</c:v>
                </c:pt>
              </c:strCache>
            </c:strRef>
          </c:cat>
          <c:val>
            <c:numRef>
              <c:f>Historic!$F$2:$F$53</c:f>
              <c:numCache>
                <c:formatCode>General</c:formatCode>
                <c:ptCount val="38"/>
                <c:pt idx="0">
                  <c:v>2</c:v>
                </c:pt>
                <c:pt idx="1">
                  <c:v>2</c:v>
                </c:pt>
                <c:pt idx="2">
                  <c:v>2</c:v>
                </c:pt>
                <c:pt idx="3">
                  <c:v>3</c:v>
                </c:pt>
                <c:pt idx="4">
                  <c:v>3</c:v>
                </c:pt>
                <c:pt idx="5">
                  <c:v>3</c:v>
                </c:pt>
                <c:pt idx="6">
                  <c:v>3</c:v>
                </c:pt>
                <c:pt idx="7">
                  <c:v>2</c:v>
                </c:pt>
                <c:pt idx="8">
                  <c:v>2</c:v>
                </c:pt>
                <c:pt idx="9">
                  <c:v>2</c:v>
                </c:pt>
                <c:pt idx="10">
                  <c:v>2</c:v>
                </c:pt>
                <c:pt idx="11">
                  <c:v>2</c:v>
                </c:pt>
                <c:pt idx="12">
                  <c:v>2</c:v>
                </c:pt>
                <c:pt idx="13">
                  <c:v>2</c:v>
                </c:pt>
                <c:pt idx="14">
                  <c:v>2</c:v>
                </c:pt>
                <c:pt idx="15">
                  <c:v>2</c:v>
                </c:pt>
                <c:pt idx="16">
                  <c:v>1</c:v>
                </c:pt>
                <c:pt idx="17">
                  <c:v>1</c:v>
                </c:pt>
                <c:pt idx="18">
                  <c:v>1</c:v>
                </c:pt>
                <c:pt idx="19">
                  <c:v>0</c:v>
                </c:pt>
                <c:pt idx="20">
                  <c:v>1</c:v>
                </c:pt>
                <c:pt idx="21">
                  <c:v>1</c:v>
                </c:pt>
                <c:pt idx="22">
                  <c:v>2</c:v>
                </c:pt>
                <c:pt idx="23">
                  <c:v>1</c:v>
                </c:pt>
                <c:pt idx="24">
                  <c:v>1</c:v>
                </c:pt>
                <c:pt idx="25">
                  <c:v>1</c:v>
                </c:pt>
                <c:pt idx="26">
                  <c:v>1</c:v>
                </c:pt>
                <c:pt idx="27">
                  <c:v>1</c:v>
                </c:pt>
                <c:pt idx="28">
                  <c:v>1</c:v>
                </c:pt>
                <c:pt idx="29">
                  <c:v>1</c:v>
                </c:pt>
                <c:pt idx="30">
                  <c:v>0</c:v>
                </c:pt>
                <c:pt idx="31">
                  <c:v>0</c:v>
                </c:pt>
                <c:pt idx="32">
                  <c:v>0</c:v>
                </c:pt>
                <c:pt idx="33">
                  <c:v>0</c:v>
                </c:pt>
                <c:pt idx="34">
                  <c:v>0</c:v>
                </c:pt>
                <c:pt idx="35">
                  <c:v>0</c:v>
                </c:pt>
                <c:pt idx="36">
                  <c:v>0</c:v>
                </c:pt>
                <c:pt idx="37">
                  <c:v>0</c:v>
                </c:pt>
              </c:numCache>
            </c:numRef>
          </c:val>
          <c:extLst>
            <c:ext xmlns:c16="http://schemas.microsoft.com/office/drawing/2014/chart" uri="{C3380CC4-5D6E-409C-BE32-E72D297353CC}">
              <c16:uniqueId val="{00000000-4558-4B2A-BD1E-AFDA16CACB5A}"/>
            </c:ext>
          </c:extLst>
        </c:ser>
        <c:ser>
          <c:idx val="1"/>
          <c:order val="1"/>
          <c:tx>
            <c:strRef>
              <c:f>Historic!$G$1</c:f>
              <c:strCache>
                <c:ptCount val="1"/>
                <c:pt idx="0">
                  <c:v>CHA</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pt-BR"/>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Historic!$A$2:$A$53</c:f>
              <c:strCache>
                <c:ptCount val="38"/>
                <c:pt idx="0">
                  <c:v>2025W01</c:v>
                </c:pt>
                <c:pt idx="1">
                  <c:v>2025W02</c:v>
                </c:pt>
                <c:pt idx="2">
                  <c:v>2025W03</c:v>
                </c:pt>
                <c:pt idx="3">
                  <c:v>2025W04</c:v>
                </c:pt>
                <c:pt idx="4">
                  <c:v>2025W05</c:v>
                </c:pt>
                <c:pt idx="5">
                  <c:v>2025W06</c:v>
                </c:pt>
                <c:pt idx="6">
                  <c:v>2025W07</c:v>
                </c:pt>
                <c:pt idx="7">
                  <c:v>2025W08</c:v>
                </c:pt>
                <c:pt idx="8">
                  <c:v>2025W09</c:v>
                </c:pt>
                <c:pt idx="9">
                  <c:v>2025W10</c:v>
                </c:pt>
                <c:pt idx="10">
                  <c:v>2025W11</c:v>
                </c:pt>
                <c:pt idx="11">
                  <c:v>2025W12</c:v>
                </c:pt>
                <c:pt idx="12">
                  <c:v>2025W13</c:v>
                </c:pt>
                <c:pt idx="13">
                  <c:v>2025W14</c:v>
                </c:pt>
                <c:pt idx="14">
                  <c:v>2025W15</c:v>
                </c:pt>
                <c:pt idx="15">
                  <c:v>2025W16</c:v>
                </c:pt>
                <c:pt idx="16">
                  <c:v>2025W17</c:v>
                </c:pt>
                <c:pt idx="17">
                  <c:v>2025W18</c:v>
                </c:pt>
                <c:pt idx="18">
                  <c:v>2025W19</c:v>
                </c:pt>
                <c:pt idx="19">
                  <c:v>2025W20</c:v>
                </c:pt>
                <c:pt idx="20">
                  <c:v>2025W21</c:v>
                </c:pt>
                <c:pt idx="21">
                  <c:v>2025W22</c:v>
                </c:pt>
                <c:pt idx="22">
                  <c:v>2025W23</c:v>
                </c:pt>
                <c:pt idx="23">
                  <c:v>2025W24</c:v>
                </c:pt>
                <c:pt idx="24">
                  <c:v>2025W25</c:v>
                </c:pt>
                <c:pt idx="25">
                  <c:v>2025W26</c:v>
                </c:pt>
                <c:pt idx="26">
                  <c:v>2025W27</c:v>
                </c:pt>
                <c:pt idx="27">
                  <c:v>2025W28</c:v>
                </c:pt>
                <c:pt idx="28">
                  <c:v>2025W29</c:v>
                </c:pt>
                <c:pt idx="29">
                  <c:v>2025W30</c:v>
                </c:pt>
                <c:pt idx="30">
                  <c:v>2025W31</c:v>
                </c:pt>
                <c:pt idx="31">
                  <c:v>2025W32</c:v>
                </c:pt>
                <c:pt idx="32">
                  <c:v>2025W33</c:v>
                </c:pt>
                <c:pt idx="33">
                  <c:v>2025W34</c:v>
                </c:pt>
                <c:pt idx="34">
                  <c:v>2025W35</c:v>
                </c:pt>
                <c:pt idx="35">
                  <c:v>2025W36</c:v>
                </c:pt>
                <c:pt idx="36">
                  <c:v>2025W37</c:v>
                </c:pt>
                <c:pt idx="37">
                  <c:v>2025W38</c:v>
                </c:pt>
              </c:strCache>
            </c:strRef>
          </c:cat>
          <c:val>
            <c:numRef>
              <c:f>Historic!$G$2:$G$53</c:f>
              <c:numCache>
                <c:formatCode>General</c:formatCode>
                <c:ptCount val="38"/>
                <c:pt idx="0">
                  <c:v>10</c:v>
                </c:pt>
                <c:pt idx="1">
                  <c:v>9</c:v>
                </c:pt>
                <c:pt idx="2">
                  <c:v>11</c:v>
                </c:pt>
                <c:pt idx="3">
                  <c:v>12</c:v>
                </c:pt>
                <c:pt idx="4">
                  <c:v>12</c:v>
                </c:pt>
                <c:pt idx="5">
                  <c:v>10</c:v>
                </c:pt>
                <c:pt idx="6">
                  <c:v>15</c:v>
                </c:pt>
                <c:pt idx="7">
                  <c:v>13</c:v>
                </c:pt>
                <c:pt idx="8">
                  <c:v>12</c:v>
                </c:pt>
                <c:pt idx="9">
                  <c:v>11</c:v>
                </c:pt>
                <c:pt idx="10">
                  <c:v>10</c:v>
                </c:pt>
                <c:pt idx="11">
                  <c:v>12</c:v>
                </c:pt>
                <c:pt idx="12">
                  <c:v>11</c:v>
                </c:pt>
                <c:pt idx="13">
                  <c:v>10</c:v>
                </c:pt>
                <c:pt idx="14">
                  <c:v>11</c:v>
                </c:pt>
                <c:pt idx="15">
                  <c:v>12</c:v>
                </c:pt>
                <c:pt idx="16">
                  <c:v>15</c:v>
                </c:pt>
                <c:pt idx="17">
                  <c:v>13</c:v>
                </c:pt>
                <c:pt idx="18">
                  <c:v>13</c:v>
                </c:pt>
                <c:pt idx="19">
                  <c:v>9</c:v>
                </c:pt>
                <c:pt idx="20">
                  <c:v>10</c:v>
                </c:pt>
                <c:pt idx="21">
                  <c:v>11</c:v>
                </c:pt>
                <c:pt idx="22">
                  <c:v>9</c:v>
                </c:pt>
                <c:pt idx="23">
                  <c:v>10</c:v>
                </c:pt>
                <c:pt idx="24">
                  <c:v>16</c:v>
                </c:pt>
                <c:pt idx="25">
                  <c:v>17</c:v>
                </c:pt>
                <c:pt idx="26">
                  <c:v>17</c:v>
                </c:pt>
                <c:pt idx="27">
                  <c:v>15</c:v>
                </c:pt>
                <c:pt idx="28">
                  <c:v>11</c:v>
                </c:pt>
                <c:pt idx="29">
                  <c:v>9</c:v>
                </c:pt>
                <c:pt idx="30">
                  <c:v>7</c:v>
                </c:pt>
                <c:pt idx="31">
                  <c:v>8</c:v>
                </c:pt>
                <c:pt idx="32">
                  <c:v>7</c:v>
                </c:pt>
                <c:pt idx="33">
                  <c:v>6</c:v>
                </c:pt>
                <c:pt idx="34">
                  <c:v>4</c:v>
                </c:pt>
                <c:pt idx="35">
                  <c:v>4</c:v>
                </c:pt>
                <c:pt idx="36">
                  <c:v>9</c:v>
                </c:pt>
                <c:pt idx="37">
                  <c:v>9</c:v>
                </c:pt>
              </c:numCache>
            </c:numRef>
          </c:val>
          <c:extLst>
            <c:ext xmlns:c16="http://schemas.microsoft.com/office/drawing/2014/chart" uri="{C3380CC4-5D6E-409C-BE32-E72D297353CC}">
              <c16:uniqueId val="{00000001-4558-4B2A-BD1E-AFDA16CACB5A}"/>
            </c:ext>
          </c:extLst>
        </c:ser>
        <c:dLbls>
          <c:showLegendKey val="0"/>
          <c:showVal val="0"/>
          <c:showCatName val="0"/>
          <c:showSerName val="0"/>
          <c:showPercent val="0"/>
          <c:showBubbleSize val="0"/>
        </c:dLbls>
        <c:gapWidth val="150"/>
        <c:overlap val="100"/>
        <c:axId val="1170091967"/>
        <c:axId val="1170090047"/>
      </c:barChart>
      <c:lineChart>
        <c:grouping val="standard"/>
        <c:varyColors val="0"/>
        <c:ser>
          <c:idx val="3"/>
          <c:order val="2"/>
          <c:spPr>
            <a:ln w="19050" cap="rnd">
              <a:solidFill>
                <a:srgbClr val="FF0000"/>
              </a:solidFill>
              <a:prstDash val="sysDash"/>
              <a:round/>
            </a:ln>
            <a:effectLst/>
          </c:spPr>
          <c:marker>
            <c:symbol val="none"/>
          </c:marker>
          <c:cat>
            <c:strRef>
              <c:f>Historic!$A$2:$A$53</c:f>
              <c:strCache>
                <c:ptCount val="38"/>
                <c:pt idx="0">
                  <c:v>2025W01</c:v>
                </c:pt>
                <c:pt idx="1">
                  <c:v>2025W02</c:v>
                </c:pt>
                <c:pt idx="2">
                  <c:v>2025W03</c:v>
                </c:pt>
                <c:pt idx="3">
                  <c:v>2025W04</c:v>
                </c:pt>
                <c:pt idx="4">
                  <c:v>2025W05</c:v>
                </c:pt>
                <c:pt idx="5">
                  <c:v>2025W06</c:v>
                </c:pt>
                <c:pt idx="6">
                  <c:v>2025W07</c:v>
                </c:pt>
                <c:pt idx="7">
                  <c:v>2025W08</c:v>
                </c:pt>
                <c:pt idx="8">
                  <c:v>2025W09</c:v>
                </c:pt>
                <c:pt idx="9">
                  <c:v>2025W10</c:v>
                </c:pt>
                <c:pt idx="10">
                  <c:v>2025W11</c:v>
                </c:pt>
                <c:pt idx="11">
                  <c:v>2025W12</c:v>
                </c:pt>
                <c:pt idx="12">
                  <c:v>2025W13</c:v>
                </c:pt>
                <c:pt idx="13">
                  <c:v>2025W14</c:v>
                </c:pt>
                <c:pt idx="14">
                  <c:v>2025W15</c:v>
                </c:pt>
                <c:pt idx="15">
                  <c:v>2025W16</c:v>
                </c:pt>
                <c:pt idx="16">
                  <c:v>2025W17</c:v>
                </c:pt>
                <c:pt idx="17">
                  <c:v>2025W18</c:v>
                </c:pt>
                <c:pt idx="18">
                  <c:v>2025W19</c:v>
                </c:pt>
                <c:pt idx="19">
                  <c:v>2025W20</c:v>
                </c:pt>
                <c:pt idx="20">
                  <c:v>2025W21</c:v>
                </c:pt>
                <c:pt idx="21">
                  <c:v>2025W22</c:v>
                </c:pt>
                <c:pt idx="22">
                  <c:v>2025W23</c:v>
                </c:pt>
                <c:pt idx="23">
                  <c:v>2025W24</c:v>
                </c:pt>
                <c:pt idx="24">
                  <c:v>2025W25</c:v>
                </c:pt>
                <c:pt idx="25">
                  <c:v>2025W26</c:v>
                </c:pt>
                <c:pt idx="26">
                  <c:v>2025W27</c:v>
                </c:pt>
                <c:pt idx="27">
                  <c:v>2025W28</c:v>
                </c:pt>
                <c:pt idx="28">
                  <c:v>2025W29</c:v>
                </c:pt>
                <c:pt idx="29">
                  <c:v>2025W30</c:v>
                </c:pt>
                <c:pt idx="30">
                  <c:v>2025W31</c:v>
                </c:pt>
                <c:pt idx="31">
                  <c:v>2025W32</c:v>
                </c:pt>
                <c:pt idx="32">
                  <c:v>2025W33</c:v>
                </c:pt>
                <c:pt idx="33">
                  <c:v>2025W34</c:v>
                </c:pt>
                <c:pt idx="34">
                  <c:v>2025W35</c:v>
                </c:pt>
                <c:pt idx="35">
                  <c:v>2025W36</c:v>
                </c:pt>
                <c:pt idx="36">
                  <c:v>2025W37</c:v>
                </c:pt>
                <c:pt idx="37">
                  <c:v>2025W38</c:v>
                </c:pt>
              </c:strCache>
            </c:strRef>
          </c:cat>
          <c:val>
            <c:numRef>
              <c:f>Historic!$K$2:$K$54</c:f>
              <c:numCache>
                <c:formatCode>0.0</c:formatCode>
                <c:ptCount val="39"/>
                <c:pt idx="0">
                  <c:v>12.6</c:v>
                </c:pt>
                <c:pt idx="1">
                  <c:v>12.5</c:v>
                </c:pt>
                <c:pt idx="2">
                  <c:v>12.529411764705882</c:v>
                </c:pt>
                <c:pt idx="3">
                  <c:v>12.666666666666666</c:v>
                </c:pt>
                <c:pt idx="4">
                  <c:v>12.789473684210526</c:v>
                </c:pt>
                <c:pt idx="5">
                  <c:v>12.8</c:v>
                </c:pt>
                <c:pt idx="6">
                  <c:v>13.047619047619047</c:v>
                </c:pt>
                <c:pt idx="7">
                  <c:v>13.136363636363637</c:v>
                </c:pt>
                <c:pt idx="8">
                  <c:v>13.173913043478262</c:v>
                </c:pt>
                <c:pt idx="9">
                  <c:v>13.166666666666666</c:v>
                </c:pt>
                <c:pt idx="10">
                  <c:v>13.12</c:v>
                </c:pt>
                <c:pt idx="11">
                  <c:v>13.153846153846153</c:v>
                </c:pt>
                <c:pt idx="12">
                  <c:v>13.148148148148149</c:v>
                </c:pt>
                <c:pt idx="13">
                  <c:v>13.107142857142858</c:v>
                </c:pt>
                <c:pt idx="14">
                  <c:v>13.103448275862069</c:v>
                </c:pt>
                <c:pt idx="15">
                  <c:v>13.133333333333333</c:v>
                </c:pt>
                <c:pt idx="16">
                  <c:v>13.225806451612904</c:v>
                </c:pt>
                <c:pt idx="17">
                  <c:v>13.25</c:v>
                </c:pt>
                <c:pt idx="18">
                  <c:v>13.030303030303031</c:v>
                </c:pt>
                <c:pt idx="19">
                  <c:v>13.147058823529411</c:v>
                </c:pt>
                <c:pt idx="20">
                  <c:v>13.085714285714285</c:v>
                </c:pt>
                <c:pt idx="21">
                  <c:v>13.055555555555555</c:v>
                </c:pt>
                <c:pt idx="22">
                  <c:v>13</c:v>
                </c:pt>
                <c:pt idx="23">
                  <c:v>12.947368421052632</c:v>
                </c:pt>
                <c:pt idx="24">
                  <c:v>13.051282051282051</c:v>
                </c:pt>
                <c:pt idx="25">
                  <c:v>13.175000000000001</c:v>
                </c:pt>
                <c:pt idx="26">
                  <c:v>13.292682926829269</c:v>
                </c:pt>
                <c:pt idx="27">
                  <c:v>13.357142857142858</c:v>
                </c:pt>
                <c:pt idx="28">
                  <c:v>13.325581395348838</c:v>
                </c:pt>
                <c:pt idx="29">
                  <c:v>13.25</c:v>
                </c:pt>
                <c:pt idx="30">
                  <c:v>13.111111111111111</c:v>
                </c:pt>
                <c:pt idx="31">
                  <c:v>13</c:v>
                </c:pt>
                <c:pt idx="32">
                  <c:v>12.872340425531915</c:v>
                </c:pt>
                <c:pt idx="33">
                  <c:v>12.729166666666666</c:v>
                </c:pt>
                <c:pt idx="34">
                  <c:v>12.551020408163266</c:v>
                </c:pt>
                <c:pt idx="35">
                  <c:v>12.38</c:v>
                </c:pt>
                <c:pt idx="36">
                  <c:v>12.313725490196079</c:v>
                </c:pt>
                <c:pt idx="37">
                  <c:v>12.25</c:v>
                </c:pt>
                <c:pt idx="38">
                  <c:v>12.150943396226415</c:v>
                </c:pt>
              </c:numCache>
            </c:numRef>
          </c:val>
          <c:smooth val="0"/>
          <c:extLst>
            <c:ext xmlns:c16="http://schemas.microsoft.com/office/drawing/2014/chart" uri="{C3380CC4-5D6E-409C-BE32-E72D297353CC}">
              <c16:uniqueId val="{00000000-14ED-4D36-B2B6-2673C359DB83}"/>
            </c:ext>
          </c:extLst>
        </c:ser>
        <c:dLbls>
          <c:showLegendKey val="0"/>
          <c:showVal val="0"/>
          <c:showCatName val="0"/>
          <c:showSerName val="0"/>
          <c:showPercent val="0"/>
          <c:showBubbleSize val="0"/>
        </c:dLbls>
        <c:marker val="1"/>
        <c:smooth val="0"/>
        <c:axId val="1170091967"/>
        <c:axId val="1170090047"/>
      </c:lineChart>
      <c:catAx>
        <c:axId val="117009196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pt-BR"/>
                  <a:t>Semana</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pt-BR"/>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1170090047"/>
        <c:crosses val="autoZero"/>
        <c:auto val="1"/>
        <c:lblAlgn val="ctr"/>
        <c:lblOffset val="100"/>
        <c:noMultiLvlLbl val="0"/>
      </c:catAx>
      <c:valAx>
        <c:axId val="117009004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pt-BR"/>
                  <a:t>Número de turbinas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pt-BR"/>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117009196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pivotSource>
    <c:name>[Stopped Turbines - Report.xlsx]Dashboard_Auren!Tabela dinâmica2</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t-BR" sz="1200"/>
              <a:t>AS2 - Total turbinas paradas</a:t>
            </a:r>
          </a:p>
        </c:rich>
      </c:tx>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4">
              <a:lumMod val="60000"/>
              <a:lumOff val="40000"/>
            </a:schemeClr>
          </a:solidFill>
          <a:ln>
            <a:noFill/>
          </a:ln>
          <a:effectLst/>
        </c:spPr>
      </c:pivotFmt>
      <c:pivotFmt>
        <c:idx val="2"/>
        <c:spPr>
          <a:solidFill>
            <a:schemeClr val="accent4">
              <a:lumMod val="75000"/>
            </a:schemeClr>
          </a:solidFill>
          <a:ln>
            <a:noFill/>
          </a:ln>
          <a:effectLst/>
        </c:spPr>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
        <c:spPr>
          <a:solidFill>
            <a:schemeClr val="accent4">
              <a:lumMod val="75000"/>
            </a:schemeClr>
          </a:solidFill>
          <a:ln>
            <a:noFill/>
          </a:ln>
          <a:effectLst/>
        </c:spPr>
      </c:pivotFmt>
      <c:pivotFmt>
        <c:idx val="5"/>
        <c:spPr>
          <a:solidFill>
            <a:schemeClr val="accent4">
              <a:lumMod val="60000"/>
              <a:lumOff val="40000"/>
            </a:schemeClr>
          </a:solidFill>
          <a:ln>
            <a:noFill/>
          </a:ln>
          <a:effectLst/>
        </c:spPr>
      </c:pivotFmt>
      <c:pivotFmt>
        <c:idx val="6"/>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7"/>
        <c:spPr>
          <a:solidFill>
            <a:schemeClr val="accent4">
              <a:lumMod val="75000"/>
            </a:schemeClr>
          </a:solidFill>
          <a:ln>
            <a:noFill/>
          </a:ln>
          <a:effectLst/>
        </c:spPr>
      </c:pivotFmt>
      <c:pivotFmt>
        <c:idx val="8"/>
        <c:spPr>
          <a:solidFill>
            <a:schemeClr val="accent4">
              <a:lumMod val="60000"/>
              <a:lumOff val="40000"/>
            </a:schemeClr>
          </a:solidFill>
          <a:ln>
            <a:noFill/>
          </a:ln>
          <a:effectLst/>
        </c:spPr>
      </c:pivotFmt>
      <c:pivotFmt>
        <c:idx val="9"/>
        <c:spPr>
          <a:solidFill>
            <a:schemeClr val="accent1"/>
          </a:solidFill>
          <a:ln>
            <a:noFill/>
          </a:ln>
          <a:effectLst/>
        </c:spPr>
        <c:marker>
          <c:symbol val="none"/>
        </c:marker>
        <c:dLbl>
          <c:idx val="0"/>
          <c:spPr>
            <a:noFill/>
            <a:ln>
              <a:noFill/>
            </a:ln>
            <a:effectLst/>
          </c:spPr>
          <c:txPr>
            <a:bodyPr wrap="square" lIns="38100" tIns="19050" rIns="38100" bIns="19050" anchor="ctr">
              <a:spAutoFit/>
            </a:bodyPr>
            <a:lstStyle/>
            <a:p>
              <a:pPr>
                <a:defRPr b="1">
                  <a:solidFill>
                    <a:schemeClr val="bg1"/>
                  </a:solidFill>
                </a:defRPr>
              </a:pPr>
              <a:endParaRPr lang="pt-BR"/>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4">
              <a:lumMod val="75000"/>
            </a:schemeClr>
          </a:solidFill>
          <a:ln>
            <a:noFill/>
          </a:ln>
          <a:effectLst/>
        </c:spPr>
      </c:pivotFmt>
      <c:pivotFmt>
        <c:idx val="11"/>
        <c:spPr>
          <a:solidFill>
            <a:schemeClr val="accent4">
              <a:lumMod val="60000"/>
              <a:lumOff val="40000"/>
            </a:schemeClr>
          </a:solidFill>
          <a:ln>
            <a:noFill/>
          </a:ln>
          <a:effectLst/>
        </c:spPr>
      </c:pivotFmt>
      <c:pivotFmt>
        <c:idx val="12"/>
        <c:spPr>
          <a:solidFill>
            <a:schemeClr val="accent1"/>
          </a:solidFill>
          <a:ln>
            <a:noFill/>
          </a:ln>
          <a:effectLst/>
        </c:spPr>
        <c:marker>
          <c:symbol val="none"/>
        </c:marker>
        <c:dLbl>
          <c:idx val="0"/>
          <c:spPr>
            <a:noFill/>
            <a:ln>
              <a:noFill/>
            </a:ln>
            <a:effectLst/>
          </c:spPr>
          <c:txPr>
            <a:bodyPr wrap="square" lIns="38100" tIns="19050" rIns="38100" bIns="19050" anchor="ctr">
              <a:spAutoFit/>
            </a:bodyPr>
            <a:lstStyle/>
            <a:p>
              <a:pPr>
                <a:defRPr b="1">
                  <a:solidFill>
                    <a:schemeClr val="bg1"/>
                  </a:solidFill>
                </a:defRPr>
              </a:pPr>
              <a:endParaRPr lang="pt-BR"/>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wrap="square" lIns="38100" tIns="19050" rIns="38100" bIns="19050" anchor="ctr">
              <a:spAutoFit/>
            </a:bodyPr>
            <a:lstStyle/>
            <a:p>
              <a:pPr>
                <a:defRPr b="1">
                  <a:solidFill>
                    <a:schemeClr val="bg1"/>
                  </a:solidFill>
                </a:defRPr>
              </a:pPr>
              <a:endParaRPr lang="pt-BR"/>
            </a:p>
          </c:txPr>
          <c:showLegendKey val="0"/>
          <c:showVal val="1"/>
          <c:showCatName val="0"/>
          <c:showSerName val="0"/>
          <c:showPercent val="0"/>
          <c:showBubbleSize val="0"/>
          <c:extLst>
            <c:ext xmlns:c15="http://schemas.microsoft.com/office/drawing/2012/chart" uri="{CE6537A1-D6FC-4f65-9D91-7224C49458BB}"/>
          </c:extLst>
        </c:dLbl>
      </c:pivotFmt>
      <c:pivotFmt>
        <c:idx val="14"/>
      </c:pivotFmt>
      <c:pivotFmt>
        <c:idx val="15"/>
      </c:pivotFmt>
      <c:pivotFmt>
        <c:idx val="16"/>
      </c:pivotFmt>
      <c:pivotFmt>
        <c:idx val="17"/>
      </c:pivotFmt>
      <c:pivotFmt>
        <c:idx val="18"/>
        <c:spPr>
          <a:solidFill>
            <a:schemeClr val="accent1"/>
          </a:solidFill>
          <a:ln>
            <a:noFill/>
          </a:ln>
          <a:effectLst/>
        </c:spPr>
        <c:marker>
          <c:symbol val="none"/>
        </c:marker>
        <c:dLbl>
          <c:idx val="0"/>
          <c:spPr>
            <a:noFill/>
            <a:ln>
              <a:noFill/>
            </a:ln>
            <a:effectLst/>
          </c:spPr>
          <c:txPr>
            <a:bodyPr wrap="square" lIns="38100" tIns="19050" rIns="38100" bIns="19050" anchor="ctr">
              <a:spAutoFit/>
            </a:bodyPr>
            <a:lstStyle/>
            <a:p>
              <a:pPr>
                <a:defRPr b="1">
                  <a:solidFill>
                    <a:schemeClr val="bg1"/>
                  </a:solidFill>
                </a:defRPr>
              </a:pPr>
              <a:endParaRPr lang="pt-BR"/>
            </a:p>
          </c:txPr>
          <c:showLegendKey val="0"/>
          <c:showVal val="1"/>
          <c:showCatName val="0"/>
          <c:showSerName val="0"/>
          <c:showPercent val="0"/>
          <c:showBubbleSize val="0"/>
          <c:extLst>
            <c:ext xmlns:c15="http://schemas.microsoft.com/office/drawing/2012/chart" uri="{CE6537A1-D6FC-4f65-9D91-7224C49458BB}"/>
          </c:extLst>
        </c:dLbl>
      </c:pivotFmt>
      <c:pivotFmt>
        <c:idx val="19"/>
        <c:marker>
          <c:symbol val="none"/>
        </c:marker>
        <c:dLbl>
          <c:idx val="0"/>
          <c:spPr>
            <a:noFill/>
            <a:ln>
              <a:noFill/>
            </a:ln>
            <a:effectLst/>
          </c:spPr>
          <c:txPr>
            <a:bodyPr wrap="square" lIns="38100" tIns="19050" rIns="38100" bIns="19050" anchor="ctr">
              <a:spAutoFit/>
            </a:bodyPr>
            <a:lstStyle/>
            <a:p>
              <a:pPr>
                <a:defRPr/>
              </a:pPr>
              <a:endParaRPr lang="pt-BR"/>
            </a:p>
          </c:txPr>
          <c:showLegendKey val="0"/>
          <c:showVal val="1"/>
          <c:showCatName val="0"/>
          <c:showSerName val="0"/>
          <c:showPercent val="0"/>
          <c:showBubbleSize val="0"/>
          <c:extLst>
            <c:ext xmlns:c15="http://schemas.microsoft.com/office/drawing/2012/chart" uri="{CE6537A1-D6FC-4f65-9D91-7224C49458BB}"/>
          </c:extLst>
        </c:dLbl>
      </c:pivotFmt>
      <c:pivotFmt>
        <c:idx val="20"/>
        <c:marker>
          <c:symbol val="none"/>
        </c:marker>
        <c:dLbl>
          <c:idx val="0"/>
          <c:spPr>
            <a:noFill/>
            <a:ln>
              <a:noFill/>
            </a:ln>
            <a:effectLst/>
          </c:spPr>
          <c:txPr>
            <a:bodyPr wrap="square" lIns="38100" tIns="19050" rIns="38100" bIns="19050" anchor="ctr">
              <a:spAutoFit/>
            </a:bodyPr>
            <a:lstStyle/>
            <a:p>
              <a:pPr>
                <a:defRPr/>
              </a:pPr>
              <a:endParaRPr lang="pt-BR"/>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Dashboard_Auren!$AK$38:$AK$39</c:f>
              <c:strCache>
                <c:ptCount val="1"/>
                <c:pt idx="0">
                  <c:v>Total Geral</c:v>
                </c:pt>
              </c:strCache>
            </c:strRef>
          </c:tx>
          <c:spPr>
            <a:solidFill>
              <a:schemeClr val="accent1"/>
            </a:solidFill>
            <a:ln>
              <a:noFill/>
            </a:ln>
            <a:effectLst/>
          </c:spPr>
          <c:invertIfNegative val="0"/>
          <c:dPt>
            <c:idx val="0"/>
            <c:invertIfNegative val="0"/>
            <c:bubble3D val="0"/>
            <c:extLst>
              <c:ext xmlns:c16="http://schemas.microsoft.com/office/drawing/2014/chart" uri="{C3380CC4-5D6E-409C-BE32-E72D297353CC}">
                <c16:uniqueId val="{00000000-EAE3-4713-B067-8FC69A3A735E}"/>
              </c:ext>
            </c:extLst>
          </c:dPt>
          <c:dPt>
            <c:idx val="1"/>
            <c:invertIfNegative val="0"/>
            <c:bubble3D val="0"/>
            <c:extLst>
              <c:ext xmlns:c16="http://schemas.microsoft.com/office/drawing/2014/chart" uri="{C3380CC4-5D6E-409C-BE32-E72D297353CC}">
                <c16:uniqueId val="{00000001-EAE3-4713-B067-8FC69A3A735E}"/>
              </c:ext>
            </c:extLst>
          </c:dPt>
          <c:dLbls>
            <c:spPr>
              <a:noFill/>
              <a:ln>
                <a:noFill/>
              </a:ln>
              <a:effectLst/>
            </c:spPr>
            <c:txPr>
              <a:bodyPr wrap="square" lIns="38100" tIns="19050" rIns="38100" bIns="19050" anchor="ctr">
                <a:spAutoFit/>
              </a:bodyPr>
              <a:lstStyle/>
              <a:p>
                <a:pPr>
                  <a:defRPr b="1">
                    <a:solidFill>
                      <a:schemeClr val="bg1"/>
                    </a:solidFill>
                  </a:defRPr>
                </a:pPr>
                <a:endParaRPr lang="pt-BR"/>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Dashboard_Auren!$AJ$40</c:f>
              <c:strCache>
                <c:ptCount val="1"/>
                <c:pt idx="0">
                  <c:v>Total Geral</c:v>
                </c:pt>
              </c:strCache>
            </c:strRef>
          </c:cat>
          <c:val>
            <c:numRef>
              <c:f>Dashboard_Auren!$AK$40</c:f>
              <c:numCache>
                <c:formatCode>General</c:formatCode>
                <c:ptCount val="1"/>
              </c:numCache>
            </c:numRef>
          </c:val>
          <c:extLst>
            <c:ext xmlns:c16="http://schemas.microsoft.com/office/drawing/2014/chart" uri="{C3380CC4-5D6E-409C-BE32-E72D297353CC}">
              <c16:uniqueId val="{00000002-EAE3-4713-B067-8FC69A3A735E}"/>
            </c:ext>
          </c:extLst>
        </c:ser>
        <c:dLbls>
          <c:showLegendKey val="0"/>
          <c:showVal val="1"/>
          <c:showCatName val="0"/>
          <c:showSerName val="0"/>
          <c:showPercent val="0"/>
          <c:showBubbleSize val="0"/>
        </c:dLbls>
        <c:gapWidth val="219"/>
        <c:overlap val="100"/>
        <c:axId val="230157664"/>
        <c:axId val="230155264"/>
      </c:barChart>
      <c:catAx>
        <c:axId val="2301576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230155264"/>
        <c:crosses val="autoZero"/>
        <c:auto val="1"/>
        <c:lblAlgn val="ctr"/>
        <c:lblOffset val="100"/>
        <c:noMultiLvlLbl val="0"/>
      </c:catAx>
      <c:valAx>
        <c:axId val="230155264"/>
        <c:scaling>
          <c:orientation val="minMax"/>
          <c:max val="10"/>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230157664"/>
        <c:crosses val="autoZero"/>
        <c:crossBetween val="between"/>
      </c:valAx>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legend>
    <c:plotVisOnly val="1"/>
    <c:dispBlanksAs val="gap"/>
    <c:showDLblsOverMax val="0"/>
    <c:extLst/>
  </c:chart>
  <c:spPr>
    <a:ln>
      <a:solidFill>
        <a:schemeClr val="tx1"/>
      </a:solidFill>
    </a:ln>
  </c:spPr>
  <c:txPr>
    <a:bodyPr/>
    <a:lstStyle/>
    <a:p>
      <a:pPr>
        <a:defRPr/>
      </a:pPr>
      <a:endParaRPr lang="pt-BR"/>
    </a:p>
  </c:txPr>
  <c:printSettings>
    <c:headerFooter/>
    <c:pageMargins b="0.78740157499999996" l="0.511811024" r="0.511811024" t="0.78740157499999996" header="0.31496062000000002" footer="0.31496062000000002"/>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pivotSource>
    <c:name>[Stopped Turbines - Report.xlsx]Dashboard_Auren!Tabela dinâmica3</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a:t>CAE - Total de turbinas</a:t>
            </a:r>
            <a:r>
              <a:rPr lang="en-US" sz="1200" baseline="0"/>
              <a:t> paradas</a:t>
            </a:r>
            <a:endParaRPr lang="en-US" sz="120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pt-BR"/>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lumMod val="50000"/>
            </a:schemeClr>
          </a:solidFill>
          <a:ln>
            <a:noFill/>
          </a:ln>
          <a:effectLst/>
        </c:spPr>
      </c:pivotFmt>
      <c:pivotFmt>
        <c:idx val="2"/>
        <c:spPr>
          <a:solidFill>
            <a:schemeClr val="accent2">
              <a:lumMod val="75000"/>
            </a:schemeClr>
          </a:solidFill>
          <a:ln>
            <a:noFill/>
          </a:ln>
          <a:effectLst/>
        </c:spPr>
      </c:pivotFmt>
      <c:pivotFmt>
        <c:idx val="3"/>
        <c:spPr>
          <a:solidFill>
            <a:schemeClr val="accent2">
              <a:lumMod val="60000"/>
              <a:lumOff val="40000"/>
            </a:schemeClr>
          </a:solidFill>
          <a:ln>
            <a:noFill/>
          </a:ln>
          <a:effectLst/>
        </c:spPr>
      </c:pivotFmt>
      <c:pivotFmt>
        <c:idx val="4"/>
        <c:spPr>
          <a:solidFill>
            <a:schemeClr val="accent2">
              <a:lumMod val="40000"/>
              <a:lumOff val="60000"/>
            </a:schemeClr>
          </a:solidFill>
          <a:ln>
            <a:noFill/>
          </a:ln>
          <a:effectLst/>
        </c:spPr>
      </c:pivotFmt>
      <c:pivotFmt>
        <c:idx val="5"/>
        <c:spPr>
          <a:solidFill>
            <a:schemeClr val="accent2">
              <a:lumMod val="20000"/>
              <a:lumOff val="80000"/>
            </a:schemeClr>
          </a:solidFill>
          <a:ln>
            <a:noFill/>
          </a:ln>
          <a:effectLst/>
        </c:spPr>
      </c:pivotFmt>
      <c:pivotFmt>
        <c:idx val="6"/>
        <c:spPr>
          <a:solidFill>
            <a:schemeClr val="accent2">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pt-BR"/>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2">
              <a:lumMod val="50000"/>
            </a:schemeClr>
          </a:solidFill>
          <a:ln>
            <a:noFill/>
          </a:ln>
          <a:effectLst/>
        </c:spPr>
      </c:pivotFmt>
      <c:pivotFmt>
        <c:idx val="9"/>
        <c:spPr>
          <a:solidFill>
            <a:schemeClr val="accent2">
              <a:lumMod val="50000"/>
            </a:schemeClr>
          </a:solidFill>
          <a:ln>
            <a:noFill/>
          </a:ln>
          <a:effectLst/>
        </c:spPr>
      </c:pivotFmt>
      <c:pivotFmt>
        <c:idx val="10"/>
        <c:spPr>
          <a:solidFill>
            <a:schemeClr val="accent2">
              <a:lumMod val="50000"/>
            </a:schemeClr>
          </a:solidFill>
          <a:ln>
            <a:noFill/>
          </a:ln>
          <a:effectLst/>
        </c:spPr>
      </c:pivotFmt>
      <c:pivotFmt>
        <c:idx val="11"/>
        <c:spPr>
          <a:solidFill>
            <a:schemeClr val="accent2">
              <a:lumMod val="50000"/>
            </a:schemeClr>
          </a:solidFill>
          <a:ln>
            <a:noFill/>
          </a:ln>
          <a:effectLst/>
        </c:spPr>
      </c:pivotFmt>
      <c:pivotFmt>
        <c:idx val="12"/>
        <c:spPr>
          <a:solidFill>
            <a:schemeClr val="accent2">
              <a:lumMod val="50000"/>
            </a:schemeClr>
          </a:solidFill>
          <a:ln>
            <a:noFill/>
          </a:ln>
          <a:effectLst/>
        </c:spPr>
      </c:pivotFmt>
      <c:pivotFmt>
        <c:idx val="13"/>
        <c:spPr>
          <a:solidFill>
            <a:schemeClr val="accent2">
              <a:lumMod val="20000"/>
              <a:lumOff val="80000"/>
            </a:schemeClr>
          </a:solidFill>
          <a:ln>
            <a:noFill/>
          </a:ln>
          <a:effectLst/>
        </c:spPr>
      </c:pivotFmt>
      <c:pivotFmt>
        <c:idx val="14"/>
        <c:spPr>
          <a:solidFill>
            <a:schemeClr val="accent2">
              <a:lumMod val="20000"/>
              <a:lumOff val="80000"/>
            </a:schemeClr>
          </a:solidFill>
          <a:ln>
            <a:noFill/>
          </a:ln>
          <a:effectLst/>
        </c:spPr>
      </c:pivotFmt>
      <c:pivotFmt>
        <c:idx val="15"/>
        <c:spPr>
          <a:solidFill>
            <a:schemeClr val="accent2">
              <a:lumMod val="20000"/>
              <a:lumOff val="80000"/>
            </a:schemeClr>
          </a:solidFill>
          <a:ln>
            <a:noFill/>
          </a:ln>
          <a:effectLst/>
        </c:spPr>
      </c:pivotFmt>
      <c:pivotFmt>
        <c:idx val="16"/>
        <c:spPr>
          <a:solidFill>
            <a:schemeClr val="accent2">
              <a:lumMod val="20000"/>
              <a:lumOff val="80000"/>
            </a:schemeClr>
          </a:solidFill>
          <a:ln>
            <a:noFill/>
          </a:ln>
          <a:effectLst/>
        </c:spPr>
      </c:pivotFmt>
      <c:pivotFmt>
        <c:idx val="17"/>
        <c:spPr>
          <a:solidFill>
            <a:schemeClr val="accent2">
              <a:lumMod val="20000"/>
              <a:lumOff val="80000"/>
            </a:schemeClr>
          </a:solidFill>
          <a:ln>
            <a:noFill/>
          </a:ln>
          <a:effectLst/>
        </c:spPr>
      </c:pivotFmt>
      <c:pivotFmt>
        <c:idx val="18"/>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pt-BR"/>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2">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pt-BR"/>
            </a:p>
          </c:txP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pt-BR"/>
            </a:p>
          </c:txP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pt-BR"/>
            </a:p>
          </c:txP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pt-BR"/>
            </a:p>
          </c:txP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Dashboard_Auren!$AQ$38:$AQ$39</c:f>
              <c:strCache>
                <c:ptCount val="1"/>
                <c:pt idx="0">
                  <c:v>MCE</c:v>
                </c:pt>
              </c:strCache>
            </c:strRef>
          </c:tx>
          <c:spPr>
            <a:solidFill>
              <a:schemeClr val="accent2">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pt-B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Dashboard_Auren!$AP$40:$AP$43</c:f>
              <c:strCache>
                <c:ptCount val="3"/>
                <c:pt idx="0">
                  <c:v>Blade</c:v>
                </c:pt>
                <c:pt idx="1">
                  <c:v>Gearbox</c:v>
                </c:pt>
                <c:pt idx="2">
                  <c:v>Pitch Bearing</c:v>
                </c:pt>
              </c:strCache>
            </c:strRef>
          </c:cat>
          <c:val>
            <c:numRef>
              <c:f>Dashboard_Auren!$AQ$40:$AQ$43</c:f>
              <c:numCache>
                <c:formatCode>General</c:formatCode>
                <c:ptCount val="3"/>
                <c:pt idx="1">
                  <c:v>1</c:v>
                </c:pt>
                <c:pt idx="2">
                  <c:v>1</c:v>
                </c:pt>
              </c:numCache>
            </c:numRef>
          </c:val>
          <c:extLst>
            <c:ext xmlns:c16="http://schemas.microsoft.com/office/drawing/2014/chart" uri="{C3380CC4-5D6E-409C-BE32-E72D297353CC}">
              <c16:uniqueId val="{00000000-22D9-44B8-B652-D9B18B246208}"/>
            </c:ext>
          </c:extLst>
        </c:ser>
        <c:ser>
          <c:idx val="1"/>
          <c:order val="1"/>
          <c:tx>
            <c:strRef>
              <c:f>Dashboard_Auren!$AR$38:$AR$39</c:f>
              <c:strCache>
                <c:ptCount val="1"/>
                <c:pt idx="0">
                  <c:v>UPTOWER REPAIR</c:v>
                </c:pt>
              </c:strCache>
            </c:strRef>
          </c:tx>
          <c:spPr>
            <a:solidFill>
              <a:schemeClr val="accent2">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pt-B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Dashboard_Auren!$AP$40:$AP$43</c:f>
              <c:strCache>
                <c:ptCount val="3"/>
                <c:pt idx="0">
                  <c:v>Blade</c:v>
                </c:pt>
                <c:pt idx="1">
                  <c:v>Gearbox</c:v>
                </c:pt>
                <c:pt idx="2">
                  <c:v>Pitch Bearing</c:v>
                </c:pt>
              </c:strCache>
            </c:strRef>
          </c:cat>
          <c:val>
            <c:numRef>
              <c:f>Dashboard_Auren!$AR$40:$AR$43</c:f>
              <c:numCache>
                <c:formatCode>General</c:formatCode>
                <c:ptCount val="3"/>
                <c:pt idx="0">
                  <c:v>1</c:v>
                </c:pt>
              </c:numCache>
            </c:numRef>
          </c:val>
          <c:extLst>
            <c:ext xmlns:c16="http://schemas.microsoft.com/office/drawing/2014/chart" uri="{C3380CC4-5D6E-409C-BE32-E72D297353CC}">
              <c16:uniqueId val="{00000000-491F-40F2-BE59-111D83B2F31B}"/>
            </c:ext>
          </c:extLst>
        </c:ser>
        <c:dLbls>
          <c:showLegendKey val="0"/>
          <c:showVal val="1"/>
          <c:showCatName val="0"/>
          <c:showSerName val="0"/>
          <c:showPercent val="0"/>
          <c:showBubbleSize val="0"/>
        </c:dLbls>
        <c:gapWidth val="219"/>
        <c:overlap val="100"/>
        <c:axId val="1318550431"/>
        <c:axId val="1318551391"/>
      </c:barChart>
      <c:catAx>
        <c:axId val="13185504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1318551391"/>
        <c:crosses val="autoZero"/>
        <c:auto val="1"/>
        <c:lblAlgn val="ctr"/>
        <c:lblOffset val="100"/>
        <c:noMultiLvlLbl val="0"/>
      </c:catAx>
      <c:valAx>
        <c:axId val="1318551391"/>
        <c:scaling>
          <c:orientation val="minMax"/>
          <c:max val="10"/>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131855043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9050" cap="flat" cmpd="sng" algn="ctr">
      <a:solidFill>
        <a:schemeClr val="tx1"/>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t-BR"/>
              <a:t>Histórico - N° de WTGs paradas </a:t>
            </a:r>
            <a:r>
              <a:rPr lang="pt-BR" baseline="0"/>
              <a:t>7d+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BR"/>
        </a:p>
      </c:txPr>
    </c:title>
    <c:autoTitleDeleted val="0"/>
    <c:plotArea>
      <c:layout>
        <c:manualLayout>
          <c:layoutTarget val="inner"/>
          <c:xMode val="edge"/>
          <c:yMode val="edge"/>
          <c:x val="6.9403547738711296E-2"/>
          <c:y val="0.1137336242256715"/>
          <c:w val="0.91407416343346648"/>
          <c:h val="0.5937560208950784"/>
        </c:manualLayout>
      </c:layout>
      <c:barChart>
        <c:barDir val="col"/>
        <c:grouping val="stacked"/>
        <c:varyColors val="0"/>
        <c:ser>
          <c:idx val="0"/>
          <c:order val="0"/>
          <c:tx>
            <c:strRef>
              <c:f>Historic!$F$1</c:f>
              <c:strCache>
                <c:ptCount val="1"/>
                <c:pt idx="0">
                  <c:v>ASA</c:v>
                </c:pt>
              </c:strCache>
            </c:strRef>
          </c:tx>
          <c:spPr>
            <a:solidFill>
              <a:schemeClr val="tx2">
                <a:lumMod val="90000"/>
                <a:lumOff val="1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pt-BR"/>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Historic!$A$2:$A$119</c15:sqref>
                  </c15:fullRef>
                </c:ext>
              </c:extLst>
              <c:f>Historic!$A$2:$A$111</c:f>
              <c:strCache>
                <c:ptCount val="96"/>
                <c:pt idx="0">
                  <c:v>2025W01</c:v>
                </c:pt>
                <c:pt idx="1">
                  <c:v>2025W02</c:v>
                </c:pt>
                <c:pt idx="2">
                  <c:v>2025W03</c:v>
                </c:pt>
                <c:pt idx="3">
                  <c:v>2025W04</c:v>
                </c:pt>
                <c:pt idx="4">
                  <c:v>2025W05</c:v>
                </c:pt>
                <c:pt idx="5">
                  <c:v>2025W06</c:v>
                </c:pt>
                <c:pt idx="6">
                  <c:v>2025W07</c:v>
                </c:pt>
                <c:pt idx="7">
                  <c:v>2025W08</c:v>
                </c:pt>
                <c:pt idx="8">
                  <c:v>2025W09</c:v>
                </c:pt>
                <c:pt idx="9">
                  <c:v>2025W10</c:v>
                </c:pt>
                <c:pt idx="10">
                  <c:v>2025W11</c:v>
                </c:pt>
                <c:pt idx="11">
                  <c:v>2025W12</c:v>
                </c:pt>
                <c:pt idx="12">
                  <c:v>2025W13</c:v>
                </c:pt>
                <c:pt idx="13">
                  <c:v>2025W14</c:v>
                </c:pt>
                <c:pt idx="14">
                  <c:v>2025W15</c:v>
                </c:pt>
                <c:pt idx="15">
                  <c:v>2025W16</c:v>
                </c:pt>
                <c:pt idx="16">
                  <c:v>2025W17</c:v>
                </c:pt>
                <c:pt idx="17">
                  <c:v>2025W18</c:v>
                </c:pt>
                <c:pt idx="18">
                  <c:v>2025W19</c:v>
                </c:pt>
                <c:pt idx="19">
                  <c:v>2025W20</c:v>
                </c:pt>
                <c:pt idx="20">
                  <c:v>2025W21</c:v>
                </c:pt>
                <c:pt idx="21">
                  <c:v>2025W22</c:v>
                </c:pt>
                <c:pt idx="22">
                  <c:v>2025W23</c:v>
                </c:pt>
                <c:pt idx="23">
                  <c:v>2025W24</c:v>
                </c:pt>
                <c:pt idx="24">
                  <c:v>2025W25</c:v>
                </c:pt>
                <c:pt idx="25">
                  <c:v>2025W26</c:v>
                </c:pt>
                <c:pt idx="26">
                  <c:v>2025W27</c:v>
                </c:pt>
                <c:pt idx="27">
                  <c:v>2025W28</c:v>
                </c:pt>
                <c:pt idx="28">
                  <c:v>2025W29</c:v>
                </c:pt>
                <c:pt idx="29">
                  <c:v>2025W30</c:v>
                </c:pt>
                <c:pt idx="30">
                  <c:v>2025W31</c:v>
                </c:pt>
                <c:pt idx="31">
                  <c:v>2025W32</c:v>
                </c:pt>
                <c:pt idx="32">
                  <c:v>2025W33</c:v>
                </c:pt>
                <c:pt idx="33">
                  <c:v>2025W34</c:v>
                </c:pt>
                <c:pt idx="34">
                  <c:v>2025W35</c:v>
                </c:pt>
                <c:pt idx="35">
                  <c:v>2025W36</c:v>
                </c:pt>
                <c:pt idx="36">
                  <c:v>2025W37</c:v>
                </c:pt>
                <c:pt idx="37">
                  <c:v>2025W38</c:v>
                </c:pt>
                <c:pt idx="38">
                  <c:v>2025W39</c:v>
                </c:pt>
                <c:pt idx="39">
                  <c:v>2025W40</c:v>
                </c:pt>
                <c:pt idx="40">
                  <c:v>2025W41</c:v>
                </c:pt>
                <c:pt idx="41">
                  <c:v>2025W42</c:v>
                </c:pt>
                <c:pt idx="42">
                  <c:v>2025W43</c:v>
                </c:pt>
                <c:pt idx="43">
                  <c:v>2025W44</c:v>
                </c:pt>
                <c:pt idx="44">
                  <c:v>2025W45</c:v>
                </c:pt>
                <c:pt idx="45">
                  <c:v>2025W46</c:v>
                </c:pt>
                <c:pt idx="46">
                  <c:v>2025W47</c:v>
                </c:pt>
                <c:pt idx="47">
                  <c:v>2025W48</c:v>
                </c:pt>
                <c:pt idx="48">
                  <c:v>2025W49</c:v>
                </c:pt>
                <c:pt idx="49">
                  <c:v>2025W50</c:v>
                </c:pt>
                <c:pt idx="50">
                  <c:v>2025W51</c:v>
                </c:pt>
                <c:pt idx="51">
                  <c:v>2025W52</c:v>
                </c:pt>
                <c:pt idx="52">
                  <c:v>2026W01</c:v>
                </c:pt>
                <c:pt idx="53">
                  <c:v>2026W02</c:v>
                </c:pt>
                <c:pt idx="54">
                  <c:v>2026W03</c:v>
                </c:pt>
                <c:pt idx="55">
                  <c:v>2026W04</c:v>
                </c:pt>
                <c:pt idx="56">
                  <c:v>2026W05</c:v>
                </c:pt>
                <c:pt idx="57">
                  <c:v>2026W06</c:v>
                </c:pt>
                <c:pt idx="58">
                  <c:v>2026W07</c:v>
                </c:pt>
                <c:pt idx="59">
                  <c:v>2026W08</c:v>
                </c:pt>
                <c:pt idx="60">
                  <c:v>2026W09</c:v>
                </c:pt>
                <c:pt idx="61">
                  <c:v>2026W10</c:v>
                </c:pt>
                <c:pt idx="62">
                  <c:v>2026W11</c:v>
                </c:pt>
                <c:pt idx="63">
                  <c:v>2026W12</c:v>
                </c:pt>
                <c:pt idx="64">
                  <c:v>2026W13</c:v>
                </c:pt>
                <c:pt idx="65">
                  <c:v>2026W14</c:v>
                </c:pt>
                <c:pt idx="66">
                  <c:v>2026W15</c:v>
                </c:pt>
                <c:pt idx="67">
                  <c:v>2026W16</c:v>
                </c:pt>
                <c:pt idx="68">
                  <c:v>2026W17</c:v>
                </c:pt>
                <c:pt idx="69">
                  <c:v>2026W18</c:v>
                </c:pt>
                <c:pt idx="70">
                  <c:v>2026W19</c:v>
                </c:pt>
                <c:pt idx="71">
                  <c:v>2026W20</c:v>
                </c:pt>
                <c:pt idx="72">
                  <c:v>2026W21</c:v>
                </c:pt>
                <c:pt idx="73">
                  <c:v>2026W22</c:v>
                </c:pt>
                <c:pt idx="74">
                  <c:v>2026W23</c:v>
                </c:pt>
                <c:pt idx="75">
                  <c:v>2026W24</c:v>
                </c:pt>
                <c:pt idx="76">
                  <c:v>2026W25</c:v>
                </c:pt>
                <c:pt idx="77">
                  <c:v>2026W26</c:v>
                </c:pt>
                <c:pt idx="78">
                  <c:v>2026W27</c:v>
                </c:pt>
                <c:pt idx="79">
                  <c:v>2026W28</c:v>
                </c:pt>
                <c:pt idx="80">
                  <c:v>2026W29</c:v>
                </c:pt>
                <c:pt idx="81">
                  <c:v>2026W30</c:v>
                </c:pt>
                <c:pt idx="82">
                  <c:v>2026W31</c:v>
                </c:pt>
                <c:pt idx="83">
                  <c:v>2026W32</c:v>
                </c:pt>
                <c:pt idx="84">
                  <c:v>2026W33</c:v>
                </c:pt>
                <c:pt idx="85">
                  <c:v>2026W34</c:v>
                </c:pt>
                <c:pt idx="86">
                  <c:v>2026W35</c:v>
                </c:pt>
                <c:pt idx="87">
                  <c:v>2026W36</c:v>
                </c:pt>
                <c:pt idx="88">
                  <c:v>2026W37</c:v>
                </c:pt>
                <c:pt idx="89">
                  <c:v>2026W38</c:v>
                </c:pt>
                <c:pt idx="90">
                  <c:v>2026W39</c:v>
                </c:pt>
                <c:pt idx="91">
                  <c:v>2026W40</c:v>
                </c:pt>
                <c:pt idx="92">
                  <c:v>2026W41</c:v>
                </c:pt>
                <c:pt idx="93">
                  <c:v>2026W42</c:v>
                </c:pt>
                <c:pt idx="94">
                  <c:v>2026W43</c:v>
                </c:pt>
                <c:pt idx="95">
                  <c:v>2026W44</c:v>
                </c:pt>
              </c:strCache>
            </c:strRef>
          </c:cat>
          <c:val>
            <c:numRef>
              <c:extLst>
                <c:ext xmlns:c15="http://schemas.microsoft.com/office/drawing/2012/chart" uri="{02D57815-91ED-43cb-92C2-25804820EDAC}">
                  <c15:fullRef>
                    <c15:sqref>Historic!$F$2:$F$119</c15:sqref>
                  </c15:fullRef>
                </c:ext>
              </c:extLst>
              <c:f>Historic!$F$2:$F$111</c:f>
              <c:numCache>
                <c:formatCode>General</c:formatCode>
                <c:ptCount val="96"/>
                <c:pt idx="0">
                  <c:v>2</c:v>
                </c:pt>
                <c:pt idx="1">
                  <c:v>2</c:v>
                </c:pt>
                <c:pt idx="2">
                  <c:v>2</c:v>
                </c:pt>
                <c:pt idx="3">
                  <c:v>3</c:v>
                </c:pt>
                <c:pt idx="4">
                  <c:v>3</c:v>
                </c:pt>
                <c:pt idx="5">
                  <c:v>3</c:v>
                </c:pt>
                <c:pt idx="6">
                  <c:v>3</c:v>
                </c:pt>
                <c:pt idx="7">
                  <c:v>2</c:v>
                </c:pt>
                <c:pt idx="8">
                  <c:v>2</c:v>
                </c:pt>
                <c:pt idx="9">
                  <c:v>2</c:v>
                </c:pt>
                <c:pt idx="10">
                  <c:v>2</c:v>
                </c:pt>
                <c:pt idx="11">
                  <c:v>2</c:v>
                </c:pt>
                <c:pt idx="12">
                  <c:v>2</c:v>
                </c:pt>
                <c:pt idx="13">
                  <c:v>2</c:v>
                </c:pt>
                <c:pt idx="14">
                  <c:v>2</c:v>
                </c:pt>
                <c:pt idx="15">
                  <c:v>2</c:v>
                </c:pt>
                <c:pt idx="16">
                  <c:v>1</c:v>
                </c:pt>
                <c:pt idx="17">
                  <c:v>1</c:v>
                </c:pt>
                <c:pt idx="18">
                  <c:v>1</c:v>
                </c:pt>
                <c:pt idx="19">
                  <c:v>0</c:v>
                </c:pt>
                <c:pt idx="20">
                  <c:v>1</c:v>
                </c:pt>
                <c:pt idx="21">
                  <c:v>1</c:v>
                </c:pt>
                <c:pt idx="22">
                  <c:v>2</c:v>
                </c:pt>
                <c:pt idx="23">
                  <c:v>1</c:v>
                </c:pt>
                <c:pt idx="24">
                  <c:v>1</c:v>
                </c:pt>
                <c:pt idx="25">
                  <c:v>1</c:v>
                </c:pt>
                <c:pt idx="26">
                  <c:v>1</c:v>
                </c:pt>
                <c:pt idx="27">
                  <c:v>1</c:v>
                </c:pt>
                <c:pt idx="28">
                  <c:v>1</c:v>
                </c:pt>
                <c:pt idx="29">
                  <c:v>1</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1</c:v>
                </c:pt>
                <c:pt idx="61">
                  <c:v>1</c:v>
                </c:pt>
                <c:pt idx="62">
                  <c:v>1</c:v>
                </c:pt>
                <c:pt idx="63">
                  <c:v>1</c:v>
                </c:pt>
                <c:pt idx="64">
                  <c:v>0</c:v>
                </c:pt>
                <c:pt idx="65">
                  <c:v>1</c:v>
                </c:pt>
                <c:pt idx="66">
                  <c:v>1</c:v>
                </c:pt>
                <c:pt idx="67">
                  <c:v>1</c:v>
                </c:pt>
                <c:pt idx="68">
                  <c:v>1</c:v>
                </c:pt>
                <c:pt idx="69">
                  <c:v>1</c:v>
                </c:pt>
                <c:pt idx="70">
                  <c:v>1</c:v>
                </c:pt>
                <c:pt idx="71">
                  <c:v>0</c:v>
                </c:pt>
                <c:pt idx="72">
                  <c:v>1</c:v>
                </c:pt>
                <c:pt idx="73">
                  <c:v>0</c:v>
                </c:pt>
                <c:pt idx="74">
                  <c:v>0</c:v>
                </c:pt>
                <c:pt idx="75">
                  <c:v>0</c:v>
                </c:pt>
                <c:pt idx="76">
                  <c:v>0</c:v>
                </c:pt>
                <c:pt idx="77">
                  <c:v>0</c:v>
                </c:pt>
                <c:pt idx="78">
                  <c:v>0</c:v>
                </c:pt>
                <c:pt idx="79">
                  <c:v>0</c:v>
                </c:pt>
                <c:pt idx="80">
                  <c:v>0</c:v>
                </c:pt>
                <c:pt idx="81">
                  <c:v>0</c:v>
                </c:pt>
                <c:pt idx="82">
                  <c:v>0</c:v>
                </c:pt>
                <c:pt idx="83">
                  <c:v>1</c:v>
                </c:pt>
                <c:pt idx="84">
                  <c:v>1</c:v>
                </c:pt>
                <c:pt idx="85">
                  <c:v>0</c:v>
                </c:pt>
                <c:pt idx="86">
                  <c:v>0</c:v>
                </c:pt>
                <c:pt idx="87">
                  <c:v>1</c:v>
                </c:pt>
                <c:pt idx="88">
                  <c:v>0</c:v>
                </c:pt>
                <c:pt idx="89">
                  <c:v>1</c:v>
                </c:pt>
                <c:pt idx="90">
                  <c:v>0</c:v>
                </c:pt>
              </c:numCache>
            </c:numRef>
          </c:val>
          <c:extLst>
            <c:ext xmlns:c16="http://schemas.microsoft.com/office/drawing/2014/chart" uri="{C3380CC4-5D6E-409C-BE32-E72D297353CC}">
              <c16:uniqueId val="{00000000-9584-4119-A9EF-5EFA34400140}"/>
            </c:ext>
          </c:extLst>
        </c:ser>
        <c:ser>
          <c:idx val="1"/>
          <c:order val="1"/>
          <c:tx>
            <c:strRef>
              <c:f>Historic!$G$1</c:f>
              <c:strCache>
                <c:ptCount val="1"/>
                <c:pt idx="0">
                  <c:v>CHA</c:v>
                </c:pt>
              </c:strCache>
            </c:strRef>
          </c:tx>
          <c:spPr>
            <a:solidFill>
              <a:schemeClr val="accent2">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FFFF"/>
                    </a:solidFill>
                    <a:latin typeface="+mn-lt"/>
                    <a:ea typeface="+mn-ea"/>
                    <a:cs typeface="+mn-cs"/>
                  </a:defRPr>
                </a:pPr>
                <a:endParaRPr lang="pt-BR"/>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Historic!$A$2:$A$119</c15:sqref>
                  </c15:fullRef>
                </c:ext>
              </c:extLst>
              <c:f>Historic!$A$2:$A$111</c:f>
              <c:strCache>
                <c:ptCount val="96"/>
                <c:pt idx="0">
                  <c:v>2025W01</c:v>
                </c:pt>
                <c:pt idx="1">
                  <c:v>2025W02</c:v>
                </c:pt>
                <c:pt idx="2">
                  <c:v>2025W03</c:v>
                </c:pt>
                <c:pt idx="3">
                  <c:v>2025W04</c:v>
                </c:pt>
                <c:pt idx="4">
                  <c:v>2025W05</c:v>
                </c:pt>
                <c:pt idx="5">
                  <c:v>2025W06</c:v>
                </c:pt>
                <c:pt idx="6">
                  <c:v>2025W07</c:v>
                </c:pt>
                <c:pt idx="7">
                  <c:v>2025W08</c:v>
                </c:pt>
                <c:pt idx="8">
                  <c:v>2025W09</c:v>
                </c:pt>
                <c:pt idx="9">
                  <c:v>2025W10</c:v>
                </c:pt>
                <c:pt idx="10">
                  <c:v>2025W11</c:v>
                </c:pt>
                <c:pt idx="11">
                  <c:v>2025W12</c:v>
                </c:pt>
                <c:pt idx="12">
                  <c:v>2025W13</c:v>
                </c:pt>
                <c:pt idx="13">
                  <c:v>2025W14</c:v>
                </c:pt>
                <c:pt idx="14">
                  <c:v>2025W15</c:v>
                </c:pt>
                <c:pt idx="15">
                  <c:v>2025W16</c:v>
                </c:pt>
                <c:pt idx="16">
                  <c:v>2025W17</c:v>
                </c:pt>
                <c:pt idx="17">
                  <c:v>2025W18</c:v>
                </c:pt>
                <c:pt idx="18">
                  <c:v>2025W19</c:v>
                </c:pt>
                <c:pt idx="19">
                  <c:v>2025W20</c:v>
                </c:pt>
                <c:pt idx="20">
                  <c:v>2025W21</c:v>
                </c:pt>
                <c:pt idx="21">
                  <c:v>2025W22</c:v>
                </c:pt>
                <c:pt idx="22">
                  <c:v>2025W23</c:v>
                </c:pt>
                <c:pt idx="23">
                  <c:v>2025W24</c:v>
                </c:pt>
                <c:pt idx="24">
                  <c:v>2025W25</c:v>
                </c:pt>
                <c:pt idx="25">
                  <c:v>2025W26</c:v>
                </c:pt>
                <c:pt idx="26">
                  <c:v>2025W27</c:v>
                </c:pt>
                <c:pt idx="27">
                  <c:v>2025W28</c:v>
                </c:pt>
                <c:pt idx="28">
                  <c:v>2025W29</c:v>
                </c:pt>
                <c:pt idx="29">
                  <c:v>2025W30</c:v>
                </c:pt>
                <c:pt idx="30">
                  <c:v>2025W31</c:v>
                </c:pt>
                <c:pt idx="31">
                  <c:v>2025W32</c:v>
                </c:pt>
                <c:pt idx="32">
                  <c:v>2025W33</c:v>
                </c:pt>
                <c:pt idx="33">
                  <c:v>2025W34</c:v>
                </c:pt>
                <c:pt idx="34">
                  <c:v>2025W35</c:v>
                </c:pt>
                <c:pt idx="35">
                  <c:v>2025W36</c:v>
                </c:pt>
                <c:pt idx="36">
                  <c:v>2025W37</c:v>
                </c:pt>
                <c:pt idx="37">
                  <c:v>2025W38</c:v>
                </c:pt>
                <c:pt idx="38">
                  <c:v>2025W39</c:v>
                </c:pt>
                <c:pt idx="39">
                  <c:v>2025W40</c:v>
                </c:pt>
                <c:pt idx="40">
                  <c:v>2025W41</c:v>
                </c:pt>
                <c:pt idx="41">
                  <c:v>2025W42</c:v>
                </c:pt>
                <c:pt idx="42">
                  <c:v>2025W43</c:v>
                </c:pt>
                <c:pt idx="43">
                  <c:v>2025W44</c:v>
                </c:pt>
                <c:pt idx="44">
                  <c:v>2025W45</c:v>
                </c:pt>
                <c:pt idx="45">
                  <c:v>2025W46</c:v>
                </c:pt>
                <c:pt idx="46">
                  <c:v>2025W47</c:v>
                </c:pt>
                <c:pt idx="47">
                  <c:v>2025W48</c:v>
                </c:pt>
                <c:pt idx="48">
                  <c:v>2025W49</c:v>
                </c:pt>
                <c:pt idx="49">
                  <c:v>2025W50</c:v>
                </c:pt>
                <c:pt idx="50">
                  <c:v>2025W51</c:v>
                </c:pt>
                <c:pt idx="51">
                  <c:v>2025W52</c:v>
                </c:pt>
                <c:pt idx="52">
                  <c:v>2026W01</c:v>
                </c:pt>
                <c:pt idx="53">
                  <c:v>2026W02</c:v>
                </c:pt>
                <c:pt idx="54">
                  <c:v>2026W03</c:v>
                </c:pt>
                <c:pt idx="55">
                  <c:v>2026W04</c:v>
                </c:pt>
                <c:pt idx="56">
                  <c:v>2026W05</c:v>
                </c:pt>
                <c:pt idx="57">
                  <c:v>2026W06</c:v>
                </c:pt>
                <c:pt idx="58">
                  <c:v>2026W07</c:v>
                </c:pt>
                <c:pt idx="59">
                  <c:v>2026W08</c:v>
                </c:pt>
                <c:pt idx="60">
                  <c:v>2026W09</c:v>
                </c:pt>
                <c:pt idx="61">
                  <c:v>2026W10</c:v>
                </c:pt>
                <c:pt idx="62">
                  <c:v>2026W11</c:v>
                </c:pt>
                <c:pt idx="63">
                  <c:v>2026W12</c:v>
                </c:pt>
                <c:pt idx="64">
                  <c:v>2026W13</c:v>
                </c:pt>
                <c:pt idx="65">
                  <c:v>2026W14</c:v>
                </c:pt>
                <c:pt idx="66">
                  <c:v>2026W15</c:v>
                </c:pt>
                <c:pt idx="67">
                  <c:v>2026W16</c:v>
                </c:pt>
                <c:pt idx="68">
                  <c:v>2026W17</c:v>
                </c:pt>
                <c:pt idx="69">
                  <c:v>2026W18</c:v>
                </c:pt>
                <c:pt idx="70">
                  <c:v>2026W19</c:v>
                </c:pt>
                <c:pt idx="71">
                  <c:v>2026W20</c:v>
                </c:pt>
                <c:pt idx="72">
                  <c:v>2026W21</c:v>
                </c:pt>
                <c:pt idx="73">
                  <c:v>2026W22</c:v>
                </c:pt>
                <c:pt idx="74">
                  <c:v>2026W23</c:v>
                </c:pt>
                <c:pt idx="75">
                  <c:v>2026W24</c:v>
                </c:pt>
                <c:pt idx="76">
                  <c:v>2026W25</c:v>
                </c:pt>
                <c:pt idx="77">
                  <c:v>2026W26</c:v>
                </c:pt>
                <c:pt idx="78">
                  <c:v>2026W27</c:v>
                </c:pt>
                <c:pt idx="79">
                  <c:v>2026W28</c:v>
                </c:pt>
                <c:pt idx="80">
                  <c:v>2026W29</c:v>
                </c:pt>
                <c:pt idx="81">
                  <c:v>2026W30</c:v>
                </c:pt>
                <c:pt idx="82">
                  <c:v>2026W31</c:v>
                </c:pt>
                <c:pt idx="83">
                  <c:v>2026W32</c:v>
                </c:pt>
                <c:pt idx="84">
                  <c:v>2026W33</c:v>
                </c:pt>
                <c:pt idx="85">
                  <c:v>2026W34</c:v>
                </c:pt>
                <c:pt idx="86">
                  <c:v>2026W35</c:v>
                </c:pt>
                <c:pt idx="87">
                  <c:v>2026W36</c:v>
                </c:pt>
                <c:pt idx="88">
                  <c:v>2026W37</c:v>
                </c:pt>
                <c:pt idx="89">
                  <c:v>2026W38</c:v>
                </c:pt>
                <c:pt idx="90">
                  <c:v>2026W39</c:v>
                </c:pt>
                <c:pt idx="91">
                  <c:v>2026W40</c:v>
                </c:pt>
                <c:pt idx="92">
                  <c:v>2026W41</c:v>
                </c:pt>
                <c:pt idx="93">
                  <c:v>2026W42</c:v>
                </c:pt>
                <c:pt idx="94">
                  <c:v>2026W43</c:v>
                </c:pt>
                <c:pt idx="95">
                  <c:v>2026W44</c:v>
                </c:pt>
              </c:strCache>
            </c:strRef>
          </c:cat>
          <c:val>
            <c:numRef>
              <c:extLst>
                <c:ext xmlns:c15="http://schemas.microsoft.com/office/drawing/2012/chart" uri="{02D57815-91ED-43cb-92C2-25804820EDAC}">
                  <c15:fullRef>
                    <c15:sqref>Historic!$G$2:$G$119</c15:sqref>
                  </c15:fullRef>
                </c:ext>
              </c:extLst>
              <c:f>Historic!$G$2:$G$111</c:f>
              <c:numCache>
                <c:formatCode>General</c:formatCode>
                <c:ptCount val="96"/>
                <c:pt idx="0">
                  <c:v>10</c:v>
                </c:pt>
                <c:pt idx="1">
                  <c:v>9</c:v>
                </c:pt>
                <c:pt idx="2">
                  <c:v>11</c:v>
                </c:pt>
                <c:pt idx="3">
                  <c:v>12</c:v>
                </c:pt>
                <c:pt idx="4">
                  <c:v>12</c:v>
                </c:pt>
                <c:pt idx="5">
                  <c:v>10</c:v>
                </c:pt>
                <c:pt idx="6">
                  <c:v>15</c:v>
                </c:pt>
                <c:pt idx="7">
                  <c:v>13</c:v>
                </c:pt>
                <c:pt idx="8">
                  <c:v>12</c:v>
                </c:pt>
                <c:pt idx="9">
                  <c:v>11</c:v>
                </c:pt>
                <c:pt idx="10">
                  <c:v>10</c:v>
                </c:pt>
                <c:pt idx="11">
                  <c:v>12</c:v>
                </c:pt>
                <c:pt idx="12">
                  <c:v>11</c:v>
                </c:pt>
                <c:pt idx="13">
                  <c:v>10</c:v>
                </c:pt>
                <c:pt idx="14">
                  <c:v>11</c:v>
                </c:pt>
                <c:pt idx="15">
                  <c:v>12</c:v>
                </c:pt>
                <c:pt idx="16">
                  <c:v>15</c:v>
                </c:pt>
                <c:pt idx="17">
                  <c:v>13</c:v>
                </c:pt>
                <c:pt idx="18">
                  <c:v>13</c:v>
                </c:pt>
                <c:pt idx="19">
                  <c:v>9</c:v>
                </c:pt>
                <c:pt idx="20">
                  <c:v>10</c:v>
                </c:pt>
                <c:pt idx="21">
                  <c:v>11</c:v>
                </c:pt>
                <c:pt idx="22">
                  <c:v>9</c:v>
                </c:pt>
                <c:pt idx="23">
                  <c:v>10</c:v>
                </c:pt>
                <c:pt idx="24">
                  <c:v>16</c:v>
                </c:pt>
                <c:pt idx="25">
                  <c:v>17</c:v>
                </c:pt>
                <c:pt idx="26">
                  <c:v>17</c:v>
                </c:pt>
                <c:pt idx="27">
                  <c:v>15</c:v>
                </c:pt>
                <c:pt idx="28">
                  <c:v>11</c:v>
                </c:pt>
                <c:pt idx="29">
                  <c:v>9</c:v>
                </c:pt>
                <c:pt idx="30">
                  <c:v>7</c:v>
                </c:pt>
                <c:pt idx="31">
                  <c:v>8</c:v>
                </c:pt>
                <c:pt idx="32">
                  <c:v>7</c:v>
                </c:pt>
                <c:pt idx="33">
                  <c:v>6</c:v>
                </c:pt>
                <c:pt idx="34">
                  <c:v>4</c:v>
                </c:pt>
                <c:pt idx="35">
                  <c:v>4</c:v>
                </c:pt>
                <c:pt idx="36">
                  <c:v>9</c:v>
                </c:pt>
                <c:pt idx="37">
                  <c:v>9</c:v>
                </c:pt>
                <c:pt idx="38">
                  <c:v>7</c:v>
                </c:pt>
                <c:pt idx="39">
                  <c:v>9</c:v>
                </c:pt>
                <c:pt idx="40">
                  <c:v>10</c:v>
                </c:pt>
                <c:pt idx="41">
                  <c:v>10</c:v>
                </c:pt>
                <c:pt idx="42">
                  <c:v>9</c:v>
                </c:pt>
                <c:pt idx="43">
                  <c:v>10</c:v>
                </c:pt>
                <c:pt idx="44">
                  <c:v>13</c:v>
                </c:pt>
                <c:pt idx="45">
                  <c:v>10</c:v>
                </c:pt>
                <c:pt idx="46">
                  <c:v>11</c:v>
                </c:pt>
                <c:pt idx="47">
                  <c:v>10</c:v>
                </c:pt>
                <c:pt idx="48">
                  <c:v>11</c:v>
                </c:pt>
                <c:pt idx="49">
                  <c:v>5</c:v>
                </c:pt>
                <c:pt idx="50">
                  <c:v>3</c:v>
                </c:pt>
                <c:pt idx="51">
                  <c:v>3</c:v>
                </c:pt>
                <c:pt idx="52">
                  <c:v>2</c:v>
                </c:pt>
                <c:pt idx="53">
                  <c:v>3</c:v>
                </c:pt>
                <c:pt idx="54">
                  <c:v>6</c:v>
                </c:pt>
                <c:pt idx="55">
                  <c:v>6</c:v>
                </c:pt>
                <c:pt idx="56">
                  <c:v>7</c:v>
                </c:pt>
                <c:pt idx="57">
                  <c:v>6</c:v>
                </c:pt>
                <c:pt idx="58">
                  <c:v>5</c:v>
                </c:pt>
                <c:pt idx="59">
                  <c:v>6</c:v>
                </c:pt>
                <c:pt idx="60">
                  <c:v>5</c:v>
                </c:pt>
                <c:pt idx="61">
                  <c:v>4</c:v>
                </c:pt>
                <c:pt idx="62">
                  <c:v>3</c:v>
                </c:pt>
                <c:pt idx="63">
                  <c:v>4</c:v>
                </c:pt>
                <c:pt idx="64">
                  <c:v>2</c:v>
                </c:pt>
                <c:pt idx="65">
                  <c:v>3</c:v>
                </c:pt>
                <c:pt idx="66">
                  <c:v>4</c:v>
                </c:pt>
                <c:pt idx="67">
                  <c:v>1</c:v>
                </c:pt>
                <c:pt idx="68">
                  <c:v>2</c:v>
                </c:pt>
                <c:pt idx="69">
                  <c:v>3</c:v>
                </c:pt>
                <c:pt idx="70">
                  <c:v>3</c:v>
                </c:pt>
                <c:pt idx="71">
                  <c:v>3</c:v>
                </c:pt>
                <c:pt idx="72">
                  <c:v>5</c:v>
                </c:pt>
                <c:pt idx="73">
                  <c:v>2</c:v>
                </c:pt>
                <c:pt idx="74">
                  <c:v>4</c:v>
                </c:pt>
                <c:pt idx="75">
                  <c:v>3</c:v>
                </c:pt>
                <c:pt idx="76">
                  <c:v>4</c:v>
                </c:pt>
                <c:pt idx="77">
                  <c:v>3</c:v>
                </c:pt>
                <c:pt idx="78">
                  <c:v>2</c:v>
                </c:pt>
                <c:pt idx="79">
                  <c:v>2</c:v>
                </c:pt>
                <c:pt idx="80">
                  <c:v>4</c:v>
                </c:pt>
                <c:pt idx="81">
                  <c:v>4</c:v>
                </c:pt>
                <c:pt idx="82">
                  <c:v>3</c:v>
                </c:pt>
                <c:pt idx="83">
                  <c:v>5</c:v>
                </c:pt>
                <c:pt idx="84">
                  <c:v>5</c:v>
                </c:pt>
                <c:pt idx="85">
                  <c:v>3</c:v>
                </c:pt>
                <c:pt idx="86">
                  <c:v>2</c:v>
                </c:pt>
                <c:pt idx="87">
                  <c:v>2</c:v>
                </c:pt>
                <c:pt idx="88">
                  <c:v>2</c:v>
                </c:pt>
                <c:pt idx="89">
                  <c:v>3</c:v>
                </c:pt>
                <c:pt idx="90">
                  <c:v>4</c:v>
                </c:pt>
              </c:numCache>
            </c:numRef>
          </c:val>
          <c:extLst>
            <c:ext xmlns:c16="http://schemas.microsoft.com/office/drawing/2014/chart" uri="{C3380CC4-5D6E-409C-BE32-E72D297353CC}">
              <c16:uniqueId val="{00000001-9584-4119-A9EF-5EFA34400140}"/>
            </c:ext>
          </c:extLst>
        </c:ser>
        <c:dLbls>
          <c:dLblPos val="ctr"/>
          <c:showLegendKey val="0"/>
          <c:showVal val="1"/>
          <c:showCatName val="0"/>
          <c:showSerName val="0"/>
          <c:showPercent val="0"/>
          <c:showBubbleSize val="0"/>
        </c:dLbls>
        <c:gapWidth val="150"/>
        <c:overlap val="100"/>
        <c:axId val="1170091967"/>
        <c:axId val="1170090047"/>
      </c:barChart>
      <c:lineChart>
        <c:grouping val="standard"/>
        <c:varyColors val="0"/>
        <c:ser>
          <c:idx val="3"/>
          <c:order val="3"/>
          <c:tx>
            <c:strRef>
              <c:f>Historic!$K$1</c:f>
              <c:strCache>
                <c:ptCount val="1"/>
                <c:pt idx="0">
                  <c:v>MÉDIA ACUMULADA</c:v>
                </c:pt>
              </c:strCache>
            </c:strRef>
          </c:tx>
          <c:spPr>
            <a:ln w="12700" cap="rnd">
              <a:solidFill>
                <a:srgbClr val="FF0000"/>
              </a:solidFill>
              <a:prstDash val="sysDash"/>
              <a:round/>
            </a:ln>
            <a:effectLst/>
          </c:spPr>
          <c:marker>
            <c:symbol val="none"/>
          </c:marker>
          <c:cat>
            <c:strRef>
              <c:extLst>
                <c:ext xmlns:c15="http://schemas.microsoft.com/office/drawing/2012/chart" uri="{02D57815-91ED-43cb-92C2-25804820EDAC}">
                  <c15:fullRef>
                    <c15:sqref>Historic!$A$2:$A$119</c15:sqref>
                  </c15:fullRef>
                </c:ext>
              </c:extLst>
              <c:f>Historic!$A$2:$A$111</c:f>
              <c:strCache>
                <c:ptCount val="96"/>
                <c:pt idx="0">
                  <c:v>2025W01</c:v>
                </c:pt>
                <c:pt idx="1">
                  <c:v>2025W02</c:v>
                </c:pt>
                <c:pt idx="2">
                  <c:v>2025W03</c:v>
                </c:pt>
                <c:pt idx="3">
                  <c:v>2025W04</c:v>
                </c:pt>
                <c:pt idx="4">
                  <c:v>2025W05</c:v>
                </c:pt>
                <c:pt idx="5">
                  <c:v>2025W06</c:v>
                </c:pt>
                <c:pt idx="6">
                  <c:v>2025W07</c:v>
                </c:pt>
                <c:pt idx="7">
                  <c:v>2025W08</c:v>
                </c:pt>
                <c:pt idx="8">
                  <c:v>2025W09</c:v>
                </c:pt>
                <c:pt idx="9">
                  <c:v>2025W10</c:v>
                </c:pt>
                <c:pt idx="10">
                  <c:v>2025W11</c:v>
                </c:pt>
                <c:pt idx="11">
                  <c:v>2025W12</c:v>
                </c:pt>
                <c:pt idx="12">
                  <c:v>2025W13</c:v>
                </c:pt>
                <c:pt idx="13">
                  <c:v>2025W14</c:v>
                </c:pt>
                <c:pt idx="14">
                  <c:v>2025W15</c:v>
                </c:pt>
                <c:pt idx="15">
                  <c:v>2025W16</c:v>
                </c:pt>
                <c:pt idx="16">
                  <c:v>2025W17</c:v>
                </c:pt>
                <c:pt idx="17">
                  <c:v>2025W18</c:v>
                </c:pt>
                <c:pt idx="18">
                  <c:v>2025W19</c:v>
                </c:pt>
                <c:pt idx="19">
                  <c:v>2025W20</c:v>
                </c:pt>
                <c:pt idx="20">
                  <c:v>2025W21</c:v>
                </c:pt>
                <c:pt idx="21">
                  <c:v>2025W22</c:v>
                </c:pt>
                <c:pt idx="22">
                  <c:v>2025W23</c:v>
                </c:pt>
                <c:pt idx="23">
                  <c:v>2025W24</c:v>
                </c:pt>
                <c:pt idx="24">
                  <c:v>2025W25</c:v>
                </c:pt>
                <c:pt idx="25">
                  <c:v>2025W26</c:v>
                </c:pt>
                <c:pt idx="26">
                  <c:v>2025W27</c:v>
                </c:pt>
                <c:pt idx="27">
                  <c:v>2025W28</c:v>
                </c:pt>
                <c:pt idx="28">
                  <c:v>2025W29</c:v>
                </c:pt>
                <c:pt idx="29">
                  <c:v>2025W30</c:v>
                </c:pt>
                <c:pt idx="30">
                  <c:v>2025W31</c:v>
                </c:pt>
                <c:pt idx="31">
                  <c:v>2025W32</c:v>
                </c:pt>
                <c:pt idx="32">
                  <c:v>2025W33</c:v>
                </c:pt>
                <c:pt idx="33">
                  <c:v>2025W34</c:v>
                </c:pt>
                <c:pt idx="34">
                  <c:v>2025W35</c:v>
                </c:pt>
                <c:pt idx="35">
                  <c:v>2025W36</c:v>
                </c:pt>
                <c:pt idx="36">
                  <c:v>2025W37</c:v>
                </c:pt>
                <c:pt idx="37">
                  <c:v>2025W38</c:v>
                </c:pt>
                <c:pt idx="38">
                  <c:v>2025W39</c:v>
                </c:pt>
                <c:pt idx="39">
                  <c:v>2025W40</c:v>
                </c:pt>
                <c:pt idx="40">
                  <c:v>2025W41</c:v>
                </c:pt>
                <c:pt idx="41">
                  <c:v>2025W42</c:v>
                </c:pt>
                <c:pt idx="42">
                  <c:v>2025W43</c:v>
                </c:pt>
                <c:pt idx="43">
                  <c:v>2025W44</c:v>
                </c:pt>
                <c:pt idx="44">
                  <c:v>2025W45</c:v>
                </c:pt>
                <c:pt idx="45">
                  <c:v>2025W46</c:v>
                </c:pt>
                <c:pt idx="46">
                  <c:v>2025W47</c:v>
                </c:pt>
                <c:pt idx="47">
                  <c:v>2025W48</c:v>
                </c:pt>
                <c:pt idx="48">
                  <c:v>2025W49</c:v>
                </c:pt>
                <c:pt idx="49">
                  <c:v>2025W50</c:v>
                </c:pt>
                <c:pt idx="50">
                  <c:v>2025W51</c:v>
                </c:pt>
                <c:pt idx="51">
                  <c:v>2025W52</c:v>
                </c:pt>
                <c:pt idx="52">
                  <c:v>2026W01</c:v>
                </c:pt>
                <c:pt idx="53">
                  <c:v>2026W02</c:v>
                </c:pt>
                <c:pt idx="54">
                  <c:v>2026W03</c:v>
                </c:pt>
                <c:pt idx="55">
                  <c:v>2026W04</c:v>
                </c:pt>
                <c:pt idx="56">
                  <c:v>2026W05</c:v>
                </c:pt>
                <c:pt idx="57">
                  <c:v>2026W06</c:v>
                </c:pt>
                <c:pt idx="58">
                  <c:v>2026W07</c:v>
                </c:pt>
                <c:pt idx="59">
                  <c:v>2026W08</c:v>
                </c:pt>
                <c:pt idx="60">
                  <c:v>2026W09</c:v>
                </c:pt>
                <c:pt idx="61">
                  <c:v>2026W10</c:v>
                </c:pt>
                <c:pt idx="62">
                  <c:v>2026W11</c:v>
                </c:pt>
                <c:pt idx="63">
                  <c:v>2026W12</c:v>
                </c:pt>
                <c:pt idx="64">
                  <c:v>2026W13</c:v>
                </c:pt>
                <c:pt idx="65">
                  <c:v>2026W14</c:v>
                </c:pt>
                <c:pt idx="66">
                  <c:v>2026W15</c:v>
                </c:pt>
                <c:pt idx="67">
                  <c:v>2026W16</c:v>
                </c:pt>
                <c:pt idx="68">
                  <c:v>2026W17</c:v>
                </c:pt>
                <c:pt idx="69">
                  <c:v>2026W18</c:v>
                </c:pt>
                <c:pt idx="70">
                  <c:v>2026W19</c:v>
                </c:pt>
                <c:pt idx="71">
                  <c:v>2026W20</c:v>
                </c:pt>
                <c:pt idx="72">
                  <c:v>2026W21</c:v>
                </c:pt>
                <c:pt idx="73">
                  <c:v>2026W22</c:v>
                </c:pt>
                <c:pt idx="74">
                  <c:v>2026W23</c:v>
                </c:pt>
                <c:pt idx="75">
                  <c:v>2026W24</c:v>
                </c:pt>
                <c:pt idx="76">
                  <c:v>2026W25</c:v>
                </c:pt>
                <c:pt idx="77">
                  <c:v>2026W26</c:v>
                </c:pt>
                <c:pt idx="78">
                  <c:v>2026W27</c:v>
                </c:pt>
                <c:pt idx="79">
                  <c:v>2026W28</c:v>
                </c:pt>
                <c:pt idx="80">
                  <c:v>2026W29</c:v>
                </c:pt>
                <c:pt idx="81">
                  <c:v>2026W30</c:v>
                </c:pt>
                <c:pt idx="82">
                  <c:v>2026W31</c:v>
                </c:pt>
                <c:pt idx="83">
                  <c:v>2026W32</c:v>
                </c:pt>
                <c:pt idx="84">
                  <c:v>2026W33</c:v>
                </c:pt>
                <c:pt idx="85">
                  <c:v>2026W34</c:v>
                </c:pt>
                <c:pt idx="86">
                  <c:v>2026W35</c:v>
                </c:pt>
                <c:pt idx="87">
                  <c:v>2026W36</c:v>
                </c:pt>
                <c:pt idx="88">
                  <c:v>2026W37</c:v>
                </c:pt>
                <c:pt idx="89">
                  <c:v>2026W38</c:v>
                </c:pt>
                <c:pt idx="90">
                  <c:v>2026W39</c:v>
                </c:pt>
                <c:pt idx="91">
                  <c:v>2026W40</c:v>
                </c:pt>
                <c:pt idx="92">
                  <c:v>2026W41</c:v>
                </c:pt>
                <c:pt idx="93">
                  <c:v>2026W42</c:v>
                </c:pt>
                <c:pt idx="94">
                  <c:v>2026W43</c:v>
                </c:pt>
                <c:pt idx="95">
                  <c:v>2026W44</c:v>
                </c:pt>
              </c:strCache>
            </c:strRef>
          </c:cat>
          <c:val>
            <c:numRef>
              <c:extLst>
                <c:ext xmlns:c15="http://schemas.microsoft.com/office/drawing/2012/chart" uri="{02D57815-91ED-43cb-92C2-25804820EDAC}">
                  <c15:fullRef>
                    <c15:sqref>Historic!$K$2:$K$119</c15:sqref>
                  </c15:fullRef>
                </c:ext>
              </c:extLst>
              <c:f>Historic!$K$2:$K$111</c:f>
              <c:numCache>
                <c:formatCode>0.0</c:formatCode>
                <c:ptCount val="96"/>
                <c:pt idx="0">
                  <c:v>12.6</c:v>
                </c:pt>
                <c:pt idx="1">
                  <c:v>12.5</c:v>
                </c:pt>
                <c:pt idx="2">
                  <c:v>12.529411764705882</c:v>
                </c:pt>
                <c:pt idx="3">
                  <c:v>12.666666666666666</c:v>
                </c:pt>
                <c:pt idx="4">
                  <c:v>12.789473684210526</c:v>
                </c:pt>
                <c:pt idx="5">
                  <c:v>12.8</c:v>
                </c:pt>
                <c:pt idx="6">
                  <c:v>13.047619047619047</c:v>
                </c:pt>
                <c:pt idx="7">
                  <c:v>13.136363636363637</c:v>
                </c:pt>
                <c:pt idx="8">
                  <c:v>13.173913043478262</c:v>
                </c:pt>
                <c:pt idx="9">
                  <c:v>13.166666666666666</c:v>
                </c:pt>
                <c:pt idx="10">
                  <c:v>13.12</c:v>
                </c:pt>
                <c:pt idx="11">
                  <c:v>13.153846153846153</c:v>
                </c:pt>
                <c:pt idx="12">
                  <c:v>13.148148148148149</c:v>
                </c:pt>
                <c:pt idx="13">
                  <c:v>13.107142857142858</c:v>
                </c:pt>
                <c:pt idx="14">
                  <c:v>13.103448275862069</c:v>
                </c:pt>
                <c:pt idx="15">
                  <c:v>13.133333333333333</c:v>
                </c:pt>
                <c:pt idx="16">
                  <c:v>13.225806451612904</c:v>
                </c:pt>
                <c:pt idx="17">
                  <c:v>13.25</c:v>
                </c:pt>
                <c:pt idx="18">
                  <c:v>13.030303030303031</c:v>
                </c:pt>
                <c:pt idx="19">
                  <c:v>13.147058823529411</c:v>
                </c:pt>
                <c:pt idx="20">
                  <c:v>13.085714285714285</c:v>
                </c:pt>
                <c:pt idx="21">
                  <c:v>13.055555555555555</c:v>
                </c:pt>
                <c:pt idx="22">
                  <c:v>13</c:v>
                </c:pt>
                <c:pt idx="23">
                  <c:v>12.947368421052632</c:v>
                </c:pt>
                <c:pt idx="24">
                  <c:v>13.051282051282051</c:v>
                </c:pt>
                <c:pt idx="25">
                  <c:v>13.175000000000001</c:v>
                </c:pt>
                <c:pt idx="26">
                  <c:v>13.292682926829269</c:v>
                </c:pt>
                <c:pt idx="27">
                  <c:v>13.357142857142858</c:v>
                </c:pt>
                <c:pt idx="28">
                  <c:v>13.325581395348838</c:v>
                </c:pt>
                <c:pt idx="29">
                  <c:v>13.25</c:v>
                </c:pt>
                <c:pt idx="30">
                  <c:v>13.111111111111111</c:v>
                </c:pt>
                <c:pt idx="31">
                  <c:v>13</c:v>
                </c:pt>
                <c:pt idx="32">
                  <c:v>12.872340425531915</c:v>
                </c:pt>
                <c:pt idx="33">
                  <c:v>12.729166666666666</c:v>
                </c:pt>
                <c:pt idx="34">
                  <c:v>12.551020408163266</c:v>
                </c:pt>
                <c:pt idx="35">
                  <c:v>12.38</c:v>
                </c:pt>
                <c:pt idx="36">
                  <c:v>12.313725490196079</c:v>
                </c:pt>
                <c:pt idx="37">
                  <c:v>12.25</c:v>
                </c:pt>
                <c:pt idx="38">
                  <c:v>12.150943396226415</c:v>
                </c:pt>
                <c:pt idx="39">
                  <c:v>12.092592592592593</c:v>
                </c:pt>
                <c:pt idx="40">
                  <c:v>12.054545454545455</c:v>
                </c:pt>
                <c:pt idx="41">
                  <c:v>12.017857142857142</c:v>
                </c:pt>
                <c:pt idx="42">
                  <c:v>11.964912280701755</c:v>
                </c:pt>
                <c:pt idx="43">
                  <c:v>11.931034482758621</c:v>
                </c:pt>
                <c:pt idx="44">
                  <c:v>11.949152542372881</c:v>
                </c:pt>
                <c:pt idx="45">
                  <c:v>11.916666666666666</c:v>
                </c:pt>
                <c:pt idx="46">
                  <c:v>11.901639344262295</c:v>
                </c:pt>
                <c:pt idx="47">
                  <c:v>11.870967741935484</c:v>
                </c:pt>
                <c:pt idx="48">
                  <c:v>11.857142857142858</c:v>
                </c:pt>
                <c:pt idx="49">
                  <c:v>11.75</c:v>
                </c:pt>
                <c:pt idx="50">
                  <c:v>11.615384615384615</c:v>
                </c:pt>
                <c:pt idx="51">
                  <c:v>11.484848484848484</c:v>
                </c:pt>
                <c:pt idx="52">
                  <c:v>11.343283582089553</c:v>
                </c:pt>
                <c:pt idx="53">
                  <c:v>11.220588235294118</c:v>
                </c:pt>
                <c:pt idx="54">
                  <c:v>11.144927536231885</c:v>
                </c:pt>
                <c:pt idx="55">
                  <c:v>11.071428571428571</c:v>
                </c:pt>
                <c:pt idx="56">
                  <c:v>11.014084507042254</c:v>
                </c:pt>
                <c:pt idx="57">
                  <c:v>10.944444444444445</c:v>
                </c:pt>
                <c:pt idx="58">
                  <c:v>10.863013698630137</c:v>
                </c:pt>
                <c:pt idx="59">
                  <c:v>10.797297297297296</c:v>
                </c:pt>
                <c:pt idx="60">
                  <c:v>10.733333333333333</c:v>
                </c:pt>
                <c:pt idx="61">
                  <c:v>10.657894736842104</c:v>
                </c:pt>
                <c:pt idx="62">
                  <c:v>10.571428571428571</c:v>
                </c:pt>
                <c:pt idx="63">
                  <c:v>10.5</c:v>
                </c:pt>
                <c:pt idx="64">
                  <c:v>10.39240506329114</c:v>
                </c:pt>
                <c:pt idx="65">
                  <c:v>10.3125</c:v>
                </c:pt>
                <c:pt idx="66">
                  <c:v>10.246913580246913</c:v>
                </c:pt>
                <c:pt idx="67">
                  <c:v>10.146341463414634</c:v>
                </c:pt>
                <c:pt idx="68">
                  <c:v>10.060240963855422</c:v>
                </c:pt>
                <c:pt idx="69">
                  <c:v>9.9880952380952372</c:v>
                </c:pt>
                <c:pt idx="70">
                  <c:v>9.9176470588235297</c:v>
                </c:pt>
                <c:pt idx="71">
                  <c:v>9.8372093023255811</c:v>
                </c:pt>
                <c:pt idx="72">
                  <c:v>9.7931034482758612</c:v>
                </c:pt>
                <c:pt idx="73">
                  <c:v>9.704545454545455</c:v>
                </c:pt>
                <c:pt idx="74">
                  <c:v>9.6404494382022463</c:v>
                </c:pt>
                <c:pt idx="75">
                  <c:v>9.5666666666666664</c:v>
                </c:pt>
                <c:pt idx="76">
                  <c:v>9.5054945054945055</c:v>
                </c:pt>
                <c:pt idx="77">
                  <c:v>9.4347826086956523</c:v>
                </c:pt>
                <c:pt idx="78">
                  <c:v>9.3548387096774199</c:v>
                </c:pt>
                <c:pt idx="79">
                  <c:v>9.2765957446808507</c:v>
                </c:pt>
                <c:pt idx="80">
                  <c:v>9.2210526315789476</c:v>
                </c:pt>
              </c:numCache>
            </c:numRef>
          </c:val>
          <c:smooth val="0"/>
          <c:extLst>
            <c:ext xmlns:c16="http://schemas.microsoft.com/office/drawing/2014/chart" uri="{C3380CC4-5D6E-409C-BE32-E72D297353CC}">
              <c16:uniqueId val="{00000002-9584-4119-A9EF-5EFA34400140}"/>
            </c:ext>
          </c:extLst>
        </c:ser>
        <c:dLbls>
          <c:showLegendKey val="0"/>
          <c:showVal val="0"/>
          <c:showCatName val="0"/>
          <c:showSerName val="0"/>
          <c:showPercent val="0"/>
          <c:showBubbleSize val="0"/>
        </c:dLbls>
        <c:marker val="1"/>
        <c:smooth val="0"/>
        <c:axId val="1170091967"/>
        <c:axId val="1170090047"/>
      </c:lineChart>
      <c:lineChart>
        <c:grouping val="standard"/>
        <c:varyColors val="0"/>
        <c:ser>
          <c:idx val="2"/>
          <c:order val="2"/>
          <c:tx>
            <c:strRef>
              <c:f>Historic!$I$1</c:f>
              <c:strCache>
                <c:ptCount val="1"/>
                <c:pt idx="0">
                  <c:v>Turbinas afetadas</c:v>
                </c:pt>
              </c:strCache>
            </c:strRef>
          </c:tx>
          <c:spPr>
            <a:ln w="28575" cap="rnd">
              <a:solidFill>
                <a:schemeClr val="accent3"/>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Historic!$A$2:$A$119</c15:sqref>
                  </c15:fullRef>
                </c:ext>
              </c:extLst>
              <c:f>Historic!$A$2:$A$111</c:f>
              <c:strCache>
                <c:ptCount val="96"/>
                <c:pt idx="0">
                  <c:v>2025W01</c:v>
                </c:pt>
                <c:pt idx="1">
                  <c:v>2025W02</c:v>
                </c:pt>
                <c:pt idx="2">
                  <c:v>2025W03</c:v>
                </c:pt>
                <c:pt idx="3">
                  <c:v>2025W04</c:v>
                </c:pt>
                <c:pt idx="4">
                  <c:v>2025W05</c:v>
                </c:pt>
                <c:pt idx="5">
                  <c:v>2025W06</c:v>
                </c:pt>
                <c:pt idx="6">
                  <c:v>2025W07</c:v>
                </c:pt>
                <c:pt idx="7">
                  <c:v>2025W08</c:v>
                </c:pt>
                <c:pt idx="8">
                  <c:v>2025W09</c:v>
                </c:pt>
                <c:pt idx="9">
                  <c:v>2025W10</c:v>
                </c:pt>
                <c:pt idx="10">
                  <c:v>2025W11</c:v>
                </c:pt>
                <c:pt idx="11">
                  <c:v>2025W12</c:v>
                </c:pt>
                <c:pt idx="12">
                  <c:v>2025W13</c:v>
                </c:pt>
                <c:pt idx="13">
                  <c:v>2025W14</c:v>
                </c:pt>
                <c:pt idx="14">
                  <c:v>2025W15</c:v>
                </c:pt>
                <c:pt idx="15">
                  <c:v>2025W16</c:v>
                </c:pt>
                <c:pt idx="16">
                  <c:v>2025W17</c:v>
                </c:pt>
                <c:pt idx="17">
                  <c:v>2025W18</c:v>
                </c:pt>
                <c:pt idx="18">
                  <c:v>2025W19</c:v>
                </c:pt>
                <c:pt idx="19">
                  <c:v>2025W20</c:v>
                </c:pt>
                <c:pt idx="20">
                  <c:v>2025W21</c:v>
                </c:pt>
                <c:pt idx="21">
                  <c:v>2025W22</c:v>
                </c:pt>
                <c:pt idx="22">
                  <c:v>2025W23</c:v>
                </c:pt>
                <c:pt idx="23">
                  <c:v>2025W24</c:v>
                </c:pt>
                <c:pt idx="24">
                  <c:v>2025W25</c:v>
                </c:pt>
                <c:pt idx="25">
                  <c:v>2025W26</c:v>
                </c:pt>
                <c:pt idx="26">
                  <c:v>2025W27</c:v>
                </c:pt>
                <c:pt idx="27">
                  <c:v>2025W28</c:v>
                </c:pt>
                <c:pt idx="28">
                  <c:v>2025W29</c:v>
                </c:pt>
                <c:pt idx="29">
                  <c:v>2025W30</c:v>
                </c:pt>
                <c:pt idx="30">
                  <c:v>2025W31</c:v>
                </c:pt>
                <c:pt idx="31">
                  <c:v>2025W32</c:v>
                </c:pt>
                <c:pt idx="32">
                  <c:v>2025W33</c:v>
                </c:pt>
                <c:pt idx="33">
                  <c:v>2025W34</c:v>
                </c:pt>
                <c:pt idx="34">
                  <c:v>2025W35</c:v>
                </c:pt>
                <c:pt idx="35">
                  <c:v>2025W36</c:v>
                </c:pt>
                <c:pt idx="36">
                  <c:v>2025W37</c:v>
                </c:pt>
                <c:pt idx="37">
                  <c:v>2025W38</c:v>
                </c:pt>
                <c:pt idx="38">
                  <c:v>2025W39</c:v>
                </c:pt>
                <c:pt idx="39">
                  <c:v>2025W40</c:v>
                </c:pt>
                <c:pt idx="40">
                  <c:v>2025W41</c:v>
                </c:pt>
                <c:pt idx="41">
                  <c:v>2025W42</c:v>
                </c:pt>
                <c:pt idx="42">
                  <c:v>2025W43</c:v>
                </c:pt>
                <c:pt idx="43">
                  <c:v>2025W44</c:v>
                </c:pt>
                <c:pt idx="44">
                  <c:v>2025W45</c:v>
                </c:pt>
                <c:pt idx="45">
                  <c:v>2025W46</c:v>
                </c:pt>
                <c:pt idx="46">
                  <c:v>2025W47</c:v>
                </c:pt>
                <c:pt idx="47">
                  <c:v>2025W48</c:v>
                </c:pt>
                <c:pt idx="48">
                  <c:v>2025W49</c:v>
                </c:pt>
                <c:pt idx="49">
                  <c:v>2025W50</c:v>
                </c:pt>
                <c:pt idx="50">
                  <c:v>2025W51</c:v>
                </c:pt>
                <c:pt idx="51">
                  <c:v>2025W52</c:v>
                </c:pt>
                <c:pt idx="52">
                  <c:v>2026W01</c:v>
                </c:pt>
                <c:pt idx="53">
                  <c:v>2026W02</c:v>
                </c:pt>
                <c:pt idx="54">
                  <c:v>2026W03</c:v>
                </c:pt>
                <c:pt idx="55">
                  <c:v>2026W04</c:v>
                </c:pt>
                <c:pt idx="56">
                  <c:v>2026W05</c:v>
                </c:pt>
                <c:pt idx="57">
                  <c:v>2026W06</c:v>
                </c:pt>
                <c:pt idx="58">
                  <c:v>2026W07</c:v>
                </c:pt>
                <c:pt idx="59">
                  <c:v>2026W08</c:v>
                </c:pt>
                <c:pt idx="60">
                  <c:v>2026W09</c:v>
                </c:pt>
                <c:pt idx="61">
                  <c:v>2026W10</c:v>
                </c:pt>
                <c:pt idx="62">
                  <c:v>2026W11</c:v>
                </c:pt>
                <c:pt idx="63">
                  <c:v>2026W12</c:v>
                </c:pt>
                <c:pt idx="64">
                  <c:v>2026W13</c:v>
                </c:pt>
                <c:pt idx="65">
                  <c:v>2026W14</c:v>
                </c:pt>
                <c:pt idx="66">
                  <c:v>2026W15</c:v>
                </c:pt>
                <c:pt idx="67">
                  <c:v>2026W16</c:v>
                </c:pt>
                <c:pt idx="68">
                  <c:v>2026W17</c:v>
                </c:pt>
                <c:pt idx="69">
                  <c:v>2026W18</c:v>
                </c:pt>
                <c:pt idx="70">
                  <c:v>2026W19</c:v>
                </c:pt>
                <c:pt idx="71">
                  <c:v>2026W20</c:v>
                </c:pt>
                <c:pt idx="72">
                  <c:v>2026W21</c:v>
                </c:pt>
                <c:pt idx="73">
                  <c:v>2026W22</c:v>
                </c:pt>
                <c:pt idx="74">
                  <c:v>2026W23</c:v>
                </c:pt>
                <c:pt idx="75">
                  <c:v>2026W24</c:v>
                </c:pt>
                <c:pt idx="76">
                  <c:v>2026W25</c:v>
                </c:pt>
                <c:pt idx="77">
                  <c:v>2026W26</c:v>
                </c:pt>
                <c:pt idx="78">
                  <c:v>2026W27</c:v>
                </c:pt>
                <c:pt idx="79">
                  <c:v>2026W28</c:v>
                </c:pt>
                <c:pt idx="80">
                  <c:v>2026W29</c:v>
                </c:pt>
                <c:pt idx="81">
                  <c:v>2026W30</c:v>
                </c:pt>
                <c:pt idx="82">
                  <c:v>2026W31</c:v>
                </c:pt>
                <c:pt idx="83">
                  <c:v>2026W32</c:v>
                </c:pt>
                <c:pt idx="84">
                  <c:v>2026W33</c:v>
                </c:pt>
                <c:pt idx="85">
                  <c:v>2026W34</c:v>
                </c:pt>
                <c:pt idx="86">
                  <c:v>2026W35</c:v>
                </c:pt>
                <c:pt idx="87">
                  <c:v>2026W36</c:v>
                </c:pt>
                <c:pt idx="88">
                  <c:v>2026W37</c:v>
                </c:pt>
                <c:pt idx="89">
                  <c:v>2026W38</c:v>
                </c:pt>
                <c:pt idx="90">
                  <c:v>2026W39</c:v>
                </c:pt>
                <c:pt idx="91">
                  <c:v>2026W40</c:v>
                </c:pt>
                <c:pt idx="92">
                  <c:v>2026W41</c:v>
                </c:pt>
                <c:pt idx="93">
                  <c:v>2026W42</c:v>
                </c:pt>
                <c:pt idx="94">
                  <c:v>2026W43</c:v>
                </c:pt>
                <c:pt idx="95">
                  <c:v>2026W44</c:v>
                </c:pt>
              </c:strCache>
            </c:strRef>
          </c:cat>
          <c:val>
            <c:numRef>
              <c:extLst>
                <c:ext xmlns:c15="http://schemas.microsoft.com/office/drawing/2012/chart" uri="{02D57815-91ED-43cb-92C2-25804820EDAC}">
                  <c15:fullRef>
                    <c15:sqref>Historic!$I$2:$I$119</c15:sqref>
                  </c15:fullRef>
                </c:ext>
              </c:extLst>
              <c:f>Historic!$I$2:$I$111</c:f>
              <c:numCache>
                <c:formatCode>General</c:formatCode>
                <c:ptCount val="96"/>
                <c:pt idx="0">
                  <c:v>32</c:v>
                </c:pt>
                <c:pt idx="1">
                  <c:v>33</c:v>
                </c:pt>
                <c:pt idx="2">
                  <c:v>34</c:v>
                </c:pt>
                <c:pt idx="3">
                  <c:v>35</c:v>
                </c:pt>
                <c:pt idx="4">
                  <c:v>36</c:v>
                </c:pt>
                <c:pt idx="5">
                  <c:v>43</c:v>
                </c:pt>
                <c:pt idx="6">
                  <c:v>44</c:v>
                </c:pt>
                <c:pt idx="7">
                  <c:v>49</c:v>
                </c:pt>
                <c:pt idx="8">
                  <c:v>53</c:v>
                </c:pt>
                <c:pt idx="9">
                  <c:v>55</c:v>
                </c:pt>
                <c:pt idx="10">
                  <c:v>57</c:v>
                </c:pt>
                <c:pt idx="11">
                  <c:v>60</c:v>
                </c:pt>
                <c:pt idx="12">
                  <c:v>61</c:v>
                </c:pt>
                <c:pt idx="13">
                  <c:v>62</c:v>
                </c:pt>
                <c:pt idx="14">
                  <c:v>65</c:v>
                </c:pt>
                <c:pt idx="15">
                  <c:v>69</c:v>
                </c:pt>
                <c:pt idx="16">
                  <c:v>69</c:v>
                </c:pt>
                <c:pt idx="17">
                  <c:v>70</c:v>
                </c:pt>
                <c:pt idx="18">
                  <c:v>72</c:v>
                </c:pt>
                <c:pt idx="19">
                  <c:v>74</c:v>
                </c:pt>
                <c:pt idx="20">
                  <c:v>76</c:v>
                </c:pt>
                <c:pt idx="21">
                  <c:v>76</c:v>
                </c:pt>
                <c:pt idx="22">
                  <c:v>78</c:v>
                </c:pt>
                <c:pt idx="23">
                  <c:v>87</c:v>
                </c:pt>
                <c:pt idx="24">
                  <c:v>87</c:v>
                </c:pt>
                <c:pt idx="25">
                  <c:v>88</c:v>
                </c:pt>
                <c:pt idx="26">
                  <c:v>90</c:v>
                </c:pt>
                <c:pt idx="27">
                  <c:v>91</c:v>
                </c:pt>
                <c:pt idx="28">
                  <c:v>93</c:v>
                </c:pt>
                <c:pt idx="29">
                  <c:v>93</c:v>
                </c:pt>
                <c:pt idx="30">
                  <c:v>94</c:v>
                </c:pt>
                <c:pt idx="31">
                  <c:v>96</c:v>
                </c:pt>
                <c:pt idx="32">
                  <c:v>97</c:v>
                </c:pt>
                <c:pt idx="33">
                  <c:v>98</c:v>
                </c:pt>
                <c:pt idx="34">
                  <c:v>102</c:v>
                </c:pt>
                <c:pt idx="35">
                  <c:v>104</c:v>
                </c:pt>
                <c:pt idx="36">
                  <c:v>107</c:v>
                </c:pt>
                <c:pt idx="37">
                  <c:v>107</c:v>
                </c:pt>
                <c:pt idx="38">
                  <c:v>109</c:v>
                </c:pt>
                <c:pt idx="39">
                  <c:v>112</c:v>
                </c:pt>
                <c:pt idx="40">
                  <c:v>113</c:v>
                </c:pt>
                <c:pt idx="41">
                  <c:v>115</c:v>
                </c:pt>
                <c:pt idx="42">
                  <c:v>117</c:v>
                </c:pt>
                <c:pt idx="43">
                  <c:v>120</c:v>
                </c:pt>
                <c:pt idx="44">
                  <c:v>120</c:v>
                </c:pt>
                <c:pt idx="45">
                  <c:v>121</c:v>
                </c:pt>
                <c:pt idx="46">
                  <c:v>122</c:v>
                </c:pt>
                <c:pt idx="47">
                  <c:v>125</c:v>
                </c:pt>
                <c:pt idx="48">
                  <c:v>126</c:v>
                </c:pt>
                <c:pt idx="49">
                  <c:v>128</c:v>
                </c:pt>
                <c:pt idx="50">
                  <c:v>132</c:v>
                </c:pt>
                <c:pt idx="51">
                  <c:v>132</c:v>
                </c:pt>
                <c:pt idx="52">
                  <c:v>133</c:v>
                </c:pt>
                <c:pt idx="53">
                  <c:v>137</c:v>
                </c:pt>
                <c:pt idx="54">
                  <c:v>139</c:v>
                </c:pt>
                <c:pt idx="55">
                  <c:v>143</c:v>
                </c:pt>
                <c:pt idx="56">
                  <c:v>144</c:v>
                </c:pt>
                <c:pt idx="57">
                  <c:v>146</c:v>
                </c:pt>
                <c:pt idx="58">
                  <c:v>151</c:v>
                </c:pt>
                <c:pt idx="59">
                  <c:v>152</c:v>
                </c:pt>
                <c:pt idx="60">
                  <c:v>153</c:v>
                </c:pt>
                <c:pt idx="61">
                  <c:v>156</c:v>
                </c:pt>
                <c:pt idx="62">
                  <c:v>157</c:v>
                </c:pt>
                <c:pt idx="63">
                  <c:v>157</c:v>
                </c:pt>
                <c:pt idx="64">
                  <c:v>157</c:v>
                </c:pt>
                <c:pt idx="65">
                  <c:v>157</c:v>
                </c:pt>
                <c:pt idx="66">
                  <c:v>157</c:v>
                </c:pt>
                <c:pt idx="67">
                  <c:v>157</c:v>
                </c:pt>
                <c:pt idx="68">
                  <c:v>157</c:v>
                </c:pt>
                <c:pt idx="69">
                  <c:v>157</c:v>
                </c:pt>
                <c:pt idx="70">
                  <c:v>157</c:v>
                </c:pt>
                <c:pt idx="71">
                  <c:v>157</c:v>
                </c:pt>
                <c:pt idx="72">
                  <c:v>157</c:v>
                </c:pt>
                <c:pt idx="73">
                  <c:v>157</c:v>
                </c:pt>
                <c:pt idx="74">
                  <c:v>157</c:v>
                </c:pt>
                <c:pt idx="75">
                  <c:v>157</c:v>
                </c:pt>
                <c:pt idx="76">
                  <c:v>157</c:v>
                </c:pt>
                <c:pt idx="77">
                  <c:v>157</c:v>
                </c:pt>
                <c:pt idx="78">
                  <c:v>157</c:v>
                </c:pt>
                <c:pt idx="79">
                  <c:v>157</c:v>
                </c:pt>
                <c:pt idx="80">
                  <c:v>157</c:v>
                </c:pt>
              </c:numCache>
            </c:numRef>
          </c:val>
          <c:smooth val="0"/>
          <c:extLst>
            <c:ext xmlns:c16="http://schemas.microsoft.com/office/drawing/2014/chart" uri="{C3380CC4-5D6E-409C-BE32-E72D297353CC}">
              <c16:uniqueId val="{00000003-9584-4119-A9EF-5EFA34400140}"/>
            </c:ext>
          </c:extLst>
        </c:ser>
        <c:dLbls>
          <c:dLblPos val="ctr"/>
          <c:showLegendKey val="0"/>
          <c:showVal val="1"/>
          <c:showCatName val="0"/>
          <c:showSerName val="0"/>
          <c:showPercent val="0"/>
          <c:showBubbleSize val="0"/>
        </c:dLbls>
        <c:marker val="1"/>
        <c:smooth val="0"/>
        <c:axId val="1600383599"/>
        <c:axId val="1600383119"/>
      </c:lineChart>
      <c:catAx>
        <c:axId val="117009196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pt-BR"/>
                  <a:t>Semana</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pt-BR"/>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1170090047"/>
        <c:crosses val="autoZero"/>
        <c:auto val="1"/>
        <c:lblAlgn val="ctr"/>
        <c:lblOffset val="100"/>
        <c:noMultiLvlLbl val="0"/>
      </c:catAx>
      <c:valAx>
        <c:axId val="117009004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pt-BR"/>
                  <a:t>Número de turbinas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pt-BR"/>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1170091967"/>
        <c:crosses val="autoZero"/>
        <c:crossBetween val="between"/>
      </c:valAx>
      <c:valAx>
        <c:axId val="1600383119"/>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1600383599"/>
        <c:crosses val="max"/>
        <c:crossBetween val="between"/>
      </c:valAx>
      <c:catAx>
        <c:axId val="1600383599"/>
        <c:scaling>
          <c:orientation val="minMax"/>
        </c:scaling>
        <c:delete val="1"/>
        <c:axPos val="b"/>
        <c:numFmt formatCode="General" sourceLinked="1"/>
        <c:majorTickMark val="out"/>
        <c:minorTickMark val="none"/>
        <c:tickLblPos val="nextTo"/>
        <c:crossAx val="1600383119"/>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pivotSource>
    <c:name>[Stopped Turbines - Report.xlsx]Planilha4 - Auren!Tabela dinâmica5</c:name>
    <c:fmtId val="24"/>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pt-BR" sz="1400" b="0" i="0" u="none" strike="noStrike" kern="1200" spc="0" baseline="0">
                <a:solidFill>
                  <a:sysClr val="windowText" lastClr="000000">
                    <a:lumMod val="65000"/>
                    <a:lumOff val="35000"/>
                  </a:sysClr>
                </a:solidFill>
              </a:rPr>
              <a:t>Histórico de Nº de WTGs paradas +7 dias - Auren</a:t>
            </a: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US"/>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pt-BR"/>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11875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pt-BR"/>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'Planilha4 - Auren'!$B$3:$B$4</c:f>
              <c:strCache>
                <c:ptCount val="1"/>
                <c:pt idx="0">
                  <c:v>2026</c:v>
                </c:pt>
              </c:strCache>
            </c:strRef>
          </c:tx>
          <c:spPr>
            <a:solidFill>
              <a:srgbClr val="11875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pt-BR"/>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'Planilha4 - Auren'!$A$5:$A$52</c:f>
              <c:strCache>
                <c:ptCount val="48"/>
                <c:pt idx="0">
                  <c:v>05</c:v>
                </c:pt>
                <c:pt idx="1">
                  <c:v>06</c:v>
                </c:pt>
                <c:pt idx="2">
                  <c:v>07</c:v>
                </c:pt>
                <c:pt idx="3">
                  <c:v>08</c:v>
                </c:pt>
                <c:pt idx="4">
                  <c:v>09</c:v>
                </c:pt>
                <c:pt idx="5">
                  <c:v>10</c:v>
                </c:pt>
                <c:pt idx="6">
                  <c:v>11</c:v>
                </c:pt>
                <c:pt idx="7">
                  <c:v>12</c:v>
                </c:pt>
                <c:pt idx="8">
                  <c:v>13</c:v>
                </c:pt>
                <c:pt idx="9">
                  <c:v>14</c:v>
                </c:pt>
                <c:pt idx="10">
                  <c:v>15</c:v>
                </c:pt>
                <c:pt idx="11">
                  <c:v>16</c:v>
                </c:pt>
                <c:pt idx="12">
                  <c:v>17</c:v>
                </c:pt>
                <c:pt idx="13">
                  <c:v>18</c:v>
                </c:pt>
                <c:pt idx="14">
                  <c:v>19</c:v>
                </c:pt>
                <c:pt idx="15">
                  <c:v>20</c:v>
                </c:pt>
                <c:pt idx="16">
                  <c:v>21</c:v>
                </c:pt>
                <c:pt idx="17">
                  <c:v>22</c:v>
                </c:pt>
                <c:pt idx="18">
                  <c:v>23</c:v>
                </c:pt>
                <c:pt idx="19">
                  <c:v>24</c:v>
                </c:pt>
                <c:pt idx="20">
                  <c:v>25</c:v>
                </c:pt>
                <c:pt idx="21">
                  <c:v>26</c:v>
                </c:pt>
                <c:pt idx="22">
                  <c:v>27</c:v>
                </c:pt>
                <c:pt idx="23">
                  <c:v>28</c:v>
                </c:pt>
                <c:pt idx="24">
                  <c:v>29</c:v>
                </c:pt>
                <c:pt idx="25">
                  <c:v>30</c:v>
                </c:pt>
                <c:pt idx="26">
                  <c:v>31</c:v>
                </c:pt>
                <c:pt idx="27">
                  <c:v>32</c:v>
                </c:pt>
                <c:pt idx="28">
                  <c:v>33</c:v>
                </c:pt>
                <c:pt idx="29">
                  <c:v>34</c:v>
                </c:pt>
                <c:pt idx="30">
                  <c:v>35</c:v>
                </c:pt>
                <c:pt idx="31">
                  <c:v>36</c:v>
                </c:pt>
                <c:pt idx="32">
                  <c:v>37</c:v>
                </c:pt>
                <c:pt idx="33">
                  <c:v>38</c:v>
                </c:pt>
                <c:pt idx="34">
                  <c:v>39</c:v>
                </c:pt>
                <c:pt idx="35">
                  <c:v>40</c:v>
                </c:pt>
                <c:pt idx="36">
                  <c:v>41</c:v>
                </c:pt>
                <c:pt idx="37">
                  <c:v>42</c:v>
                </c:pt>
                <c:pt idx="38">
                  <c:v>43</c:v>
                </c:pt>
                <c:pt idx="39">
                  <c:v>44</c:v>
                </c:pt>
                <c:pt idx="40">
                  <c:v>45</c:v>
                </c:pt>
                <c:pt idx="41">
                  <c:v>46</c:v>
                </c:pt>
                <c:pt idx="42">
                  <c:v>47</c:v>
                </c:pt>
                <c:pt idx="43">
                  <c:v>48</c:v>
                </c:pt>
                <c:pt idx="44">
                  <c:v>49</c:v>
                </c:pt>
                <c:pt idx="45">
                  <c:v>50</c:v>
                </c:pt>
                <c:pt idx="46">
                  <c:v>51</c:v>
                </c:pt>
                <c:pt idx="47">
                  <c:v>52</c:v>
                </c:pt>
              </c:strCache>
            </c:strRef>
          </c:cat>
          <c:val>
            <c:numRef>
              <c:f>'Planilha4 - Auren'!$B$5:$B$52</c:f>
              <c:numCache>
                <c:formatCode>General</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3</c:v>
                </c:pt>
                <c:pt idx="25">
                  <c:v>5</c:v>
                </c:pt>
                <c:pt idx="26">
                  <c:v>5</c:v>
                </c:pt>
                <c:pt idx="27">
                  <c:v>4</c:v>
                </c:pt>
                <c:pt idx="28">
                  <c:v>4</c:v>
                </c:pt>
                <c:pt idx="29">
                  <c:v>6</c:v>
                </c:pt>
                <c:pt idx="30">
                  <c:v>6</c:v>
                </c:pt>
                <c:pt idx="31">
                  <c:v>7</c:v>
                </c:pt>
                <c:pt idx="32">
                  <c:v>3</c:v>
                </c:pt>
                <c:pt idx="33">
                  <c:v>3</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0-D560-4D55-83D2-48293C13CEB0}"/>
            </c:ext>
          </c:extLst>
        </c:ser>
        <c:dLbls>
          <c:dLblPos val="outEnd"/>
          <c:showLegendKey val="0"/>
          <c:showVal val="1"/>
          <c:showCatName val="0"/>
          <c:showSerName val="0"/>
          <c:showPercent val="0"/>
          <c:showBubbleSize val="0"/>
        </c:dLbls>
        <c:gapWidth val="219"/>
        <c:overlap val="-27"/>
        <c:axId val="1981239120"/>
        <c:axId val="1981227120"/>
      </c:barChart>
      <c:catAx>
        <c:axId val="198123912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pt-BR"/>
                  <a:t>Semana</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pt-BR"/>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1981227120"/>
        <c:crosses val="autoZero"/>
        <c:auto val="1"/>
        <c:lblAlgn val="ctr"/>
        <c:lblOffset val="100"/>
        <c:noMultiLvlLbl val="0"/>
      </c:catAx>
      <c:valAx>
        <c:axId val="198122712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pt-BR"/>
                  <a:t>Nº</a:t>
                </a:r>
                <a:r>
                  <a:rPr lang="pt-BR" baseline="0"/>
                  <a:t> de WTGs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pt-BR"/>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198123912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t-BR"/>
              <a:t>Número</a:t>
            </a:r>
            <a:r>
              <a:rPr lang="pt-BR" baseline="0"/>
              <a:t> de turbinas paradas 7d+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BR"/>
        </a:p>
      </c:txPr>
    </c:title>
    <c:autoTitleDeleted val="0"/>
    <c:plotArea>
      <c:layout>
        <c:manualLayout>
          <c:layoutTarget val="inner"/>
          <c:xMode val="edge"/>
          <c:yMode val="edge"/>
          <c:x val="6.9403547738711296E-2"/>
          <c:y val="0.1137336242256715"/>
          <c:w val="0.91407416343346648"/>
          <c:h val="0.5937560208950784"/>
        </c:manualLayout>
      </c:layout>
      <c:barChart>
        <c:barDir val="col"/>
        <c:grouping val="stacked"/>
        <c:varyColors val="0"/>
        <c:ser>
          <c:idx val="0"/>
          <c:order val="0"/>
          <c:tx>
            <c:strRef>
              <c:f>'Historic - Auren'!$F$1</c:f>
              <c:strCache>
                <c:ptCount val="1"/>
                <c:pt idx="0">
                  <c:v>CAE</c:v>
                </c:pt>
              </c:strCache>
            </c:strRef>
          </c:tx>
          <c:spPr>
            <a:solidFill>
              <a:schemeClr val="accent1"/>
            </a:solidFill>
            <a:ln>
              <a:noFill/>
            </a:ln>
            <a:effectLst/>
          </c:spPr>
          <c:invertIfNegative val="0"/>
          <c:val>
            <c:numRef>
              <c:f>'Historic - Auren'!#REF!</c:f>
              <c:numCache>
                <c:formatCode>General</c:formatCode>
                <c:ptCount val="1"/>
                <c:pt idx="0">
                  <c:v>1</c:v>
                </c:pt>
              </c:numCache>
            </c:numRef>
          </c:val>
          <c:extLst>
            <c:ext xmlns:c15="http://schemas.microsoft.com/office/drawing/2012/chart" uri="{02D57815-91ED-43cb-92C2-25804820EDAC}">
              <c15:filteredCategoryTitle>
                <c15:cat>
                  <c:strRef>
                    <c:extLst>
                      <c:ext uri="{02D57815-91ED-43cb-92C2-25804820EDAC}">
                        <c15:formulaRef>
                          <c15:sqref>'Historic - Auren'!#REF!</c15:sqref>
                        </c15:formulaRef>
                      </c:ext>
                    </c:extLst>
                    <c:strCache>
                      <c:ptCount val="1"/>
                      <c:pt idx="0">
                        <c:v>#REF!</c:v>
                      </c:pt>
                    </c:strCache>
                  </c:strRef>
                </c15:cat>
              </c15:filteredCategoryTitle>
            </c:ext>
            <c:ext xmlns:c16="http://schemas.microsoft.com/office/drawing/2014/chart" uri="{C3380CC4-5D6E-409C-BE32-E72D297353CC}">
              <c16:uniqueId val="{00000000-4EE3-454A-AF77-64430564CEE0}"/>
            </c:ext>
          </c:extLst>
        </c:ser>
        <c:ser>
          <c:idx val="1"/>
          <c:order val="1"/>
          <c:tx>
            <c:strRef>
              <c:f>'Historic - Auren'!$G$1</c:f>
              <c:strCache>
                <c:ptCount val="1"/>
                <c:pt idx="0">
                  <c:v>AS2</c:v>
                </c:pt>
              </c:strCache>
            </c:strRef>
          </c:tx>
          <c:spPr>
            <a:solidFill>
              <a:schemeClr val="accent2"/>
            </a:solidFill>
            <a:ln>
              <a:noFill/>
            </a:ln>
            <a:effectLst/>
          </c:spPr>
          <c:invertIfNegative val="0"/>
          <c:val>
            <c:numRef>
              <c:f>'Historic - Auren'!#REF!</c:f>
              <c:numCache>
                <c:formatCode>General</c:formatCode>
                <c:ptCount val="1"/>
                <c:pt idx="0">
                  <c:v>1</c:v>
                </c:pt>
              </c:numCache>
            </c:numRef>
          </c:val>
          <c:extLst>
            <c:ext xmlns:c15="http://schemas.microsoft.com/office/drawing/2012/chart" uri="{02D57815-91ED-43cb-92C2-25804820EDAC}">
              <c15:filteredCategoryTitle>
                <c15:cat>
                  <c:strRef>
                    <c:extLst>
                      <c:ext uri="{02D57815-91ED-43cb-92C2-25804820EDAC}">
                        <c15:formulaRef>
                          <c15:sqref>'Historic - Auren'!#REF!</c15:sqref>
                        </c15:formulaRef>
                      </c:ext>
                    </c:extLst>
                    <c:strCache>
                      <c:ptCount val="1"/>
                      <c:pt idx="0">
                        <c:v>#REF!</c:v>
                      </c:pt>
                    </c:strCache>
                  </c:strRef>
                </c15:cat>
              </c15:filteredCategoryTitle>
            </c:ext>
            <c:ext xmlns:c16="http://schemas.microsoft.com/office/drawing/2014/chart" uri="{C3380CC4-5D6E-409C-BE32-E72D297353CC}">
              <c16:uniqueId val="{00000001-4EE3-454A-AF77-64430564CEE0}"/>
            </c:ext>
          </c:extLst>
        </c:ser>
        <c:dLbls>
          <c:showLegendKey val="0"/>
          <c:showVal val="0"/>
          <c:showCatName val="0"/>
          <c:showSerName val="0"/>
          <c:showPercent val="0"/>
          <c:showBubbleSize val="0"/>
        </c:dLbls>
        <c:gapWidth val="150"/>
        <c:overlap val="100"/>
        <c:axId val="1170091967"/>
        <c:axId val="1170090047"/>
      </c:barChart>
      <c:lineChart>
        <c:grouping val="standard"/>
        <c:varyColors val="0"/>
        <c:ser>
          <c:idx val="3"/>
          <c:order val="2"/>
          <c:spPr>
            <a:ln w="28575" cap="rnd">
              <a:solidFill>
                <a:schemeClr val="accent4"/>
              </a:solidFill>
              <a:round/>
            </a:ln>
            <a:effectLst/>
          </c:spPr>
          <c:marker>
            <c:symbol val="none"/>
          </c:marker>
          <c:val>
            <c:numRef>
              <c:f>'Historic - Auren'!#REF!</c:f>
              <c:numCache>
                <c:formatCode>General</c:formatCode>
                <c:ptCount val="1"/>
                <c:pt idx="0">
                  <c:v>1</c:v>
                </c:pt>
              </c:numCache>
            </c:numRef>
          </c:val>
          <c:smooth val="0"/>
          <c:extLst>
            <c:ext xmlns:c15="http://schemas.microsoft.com/office/drawing/2012/chart" uri="{02D57815-91ED-43cb-92C2-25804820EDAC}">
              <c15:filteredCategoryTitle>
                <c15:cat>
                  <c:strRef>
                    <c:extLst>
                      <c:ext uri="{02D57815-91ED-43cb-92C2-25804820EDAC}">
                        <c15:formulaRef>
                          <c15:sqref>'Historic - Auren'!#REF!</c15:sqref>
                        </c15:formulaRef>
                      </c:ext>
                    </c:extLst>
                    <c:strCache>
                      <c:ptCount val="1"/>
                      <c:pt idx="0">
                        <c:v>#REF!</c:v>
                      </c:pt>
                    </c:strCache>
                  </c:strRef>
                </c15:cat>
              </c15:filteredCategoryTitle>
            </c:ext>
            <c:ext xmlns:c16="http://schemas.microsoft.com/office/drawing/2014/chart" uri="{C3380CC4-5D6E-409C-BE32-E72D297353CC}">
              <c16:uniqueId val="{00000002-4EE3-454A-AF77-64430564CEE0}"/>
            </c:ext>
          </c:extLst>
        </c:ser>
        <c:dLbls>
          <c:showLegendKey val="0"/>
          <c:showVal val="0"/>
          <c:showCatName val="0"/>
          <c:showSerName val="0"/>
          <c:showPercent val="0"/>
          <c:showBubbleSize val="0"/>
        </c:dLbls>
        <c:marker val="1"/>
        <c:smooth val="0"/>
        <c:axId val="1170091967"/>
        <c:axId val="1170090047"/>
      </c:lineChart>
      <c:catAx>
        <c:axId val="117009196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pt-BR"/>
                  <a:t>Semana</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pt-BR"/>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1170090047"/>
        <c:crosses val="autoZero"/>
        <c:auto val="1"/>
        <c:lblAlgn val="ctr"/>
        <c:lblOffset val="100"/>
        <c:noMultiLvlLbl val="0"/>
      </c:catAx>
      <c:valAx>
        <c:axId val="117009004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pt-BR"/>
                  <a:t>Número de turbinas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pt-BR"/>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117009196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pivotSource>
    <c:name>[Stopped Turbines - Report.xlsx]Dashboard_V02 (2)!Tabela dinâmica2</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t-BR" sz="1200"/>
              <a:t>ASA - Total turbinas paradas</a:t>
            </a:r>
          </a:p>
        </c:rich>
      </c:tx>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4">
              <a:lumMod val="60000"/>
              <a:lumOff val="40000"/>
            </a:schemeClr>
          </a:solidFill>
          <a:ln>
            <a:noFill/>
          </a:ln>
          <a:effectLst/>
        </c:spPr>
      </c:pivotFmt>
      <c:pivotFmt>
        <c:idx val="2"/>
        <c:spPr>
          <a:solidFill>
            <a:schemeClr val="accent4">
              <a:lumMod val="75000"/>
            </a:schemeClr>
          </a:solidFill>
          <a:ln>
            <a:noFill/>
          </a:ln>
          <a:effectLst/>
        </c:spPr>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
        <c:spPr>
          <a:solidFill>
            <a:schemeClr val="accent4">
              <a:lumMod val="75000"/>
            </a:schemeClr>
          </a:solidFill>
          <a:ln>
            <a:noFill/>
          </a:ln>
          <a:effectLst/>
        </c:spPr>
      </c:pivotFmt>
      <c:pivotFmt>
        <c:idx val="5"/>
        <c:spPr>
          <a:solidFill>
            <a:schemeClr val="accent4">
              <a:lumMod val="60000"/>
              <a:lumOff val="40000"/>
            </a:schemeClr>
          </a:solidFill>
          <a:ln>
            <a:noFill/>
          </a:ln>
          <a:effectLst/>
        </c:spPr>
      </c:pivotFmt>
      <c:pivotFmt>
        <c:idx val="6"/>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7"/>
        <c:spPr>
          <a:solidFill>
            <a:schemeClr val="accent4">
              <a:lumMod val="75000"/>
            </a:schemeClr>
          </a:solidFill>
          <a:ln>
            <a:noFill/>
          </a:ln>
          <a:effectLst/>
        </c:spPr>
      </c:pivotFmt>
      <c:pivotFmt>
        <c:idx val="8"/>
        <c:spPr>
          <a:solidFill>
            <a:schemeClr val="accent4">
              <a:lumMod val="60000"/>
              <a:lumOff val="40000"/>
            </a:schemeClr>
          </a:solidFill>
          <a:ln>
            <a:noFill/>
          </a:ln>
          <a:effectLst/>
        </c:spPr>
      </c:pivotFmt>
      <c:pivotFmt>
        <c:idx val="9"/>
        <c:spPr>
          <a:solidFill>
            <a:schemeClr val="accent1"/>
          </a:solidFill>
          <a:ln>
            <a:noFill/>
          </a:ln>
          <a:effectLst/>
        </c:spPr>
        <c:marker>
          <c:symbol val="none"/>
        </c:marker>
        <c:dLbl>
          <c:idx val="0"/>
          <c:spPr>
            <a:noFill/>
            <a:ln>
              <a:noFill/>
            </a:ln>
            <a:effectLst/>
          </c:spPr>
          <c:txPr>
            <a:bodyPr wrap="square" lIns="38100" tIns="19050" rIns="38100" bIns="19050" anchor="ctr">
              <a:spAutoFit/>
            </a:bodyPr>
            <a:lstStyle/>
            <a:p>
              <a:pPr>
                <a:defRPr b="1">
                  <a:solidFill>
                    <a:schemeClr val="bg1"/>
                  </a:solidFill>
                </a:defRPr>
              </a:pPr>
              <a:endParaRPr lang="pt-BR"/>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4">
              <a:lumMod val="75000"/>
            </a:schemeClr>
          </a:solidFill>
          <a:ln>
            <a:noFill/>
          </a:ln>
          <a:effectLst/>
        </c:spPr>
      </c:pivotFmt>
      <c:pivotFmt>
        <c:idx val="11"/>
        <c:spPr>
          <a:solidFill>
            <a:schemeClr val="accent4">
              <a:lumMod val="60000"/>
              <a:lumOff val="40000"/>
            </a:schemeClr>
          </a:solidFill>
          <a:ln>
            <a:noFill/>
          </a:ln>
          <a:effectLst/>
        </c:spPr>
      </c:pivotFmt>
      <c:pivotFmt>
        <c:idx val="12"/>
        <c:spPr>
          <a:solidFill>
            <a:schemeClr val="accent1">
              <a:lumMod val="20000"/>
              <a:lumOff val="80000"/>
            </a:schemeClr>
          </a:solidFill>
        </c:spPr>
        <c:marker>
          <c:symbol val="none"/>
        </c:marker>
        <c:dLbl>
          <c:idx val="0"/>
          <c:spPr>
            <a:noFill/>
            <a:ln>
              <a:noFill/>
            </a:ln>
            <a:effectLst/>
          </c:spPr>
          <c:txPr>
            <a:bodyPr wrap="square" lIns="38100" tIns="19050" rIns="38100" bIns="19050" anchor="ctr">
              <a:spAutoFit/>
            </a:bodyPr>
            <a:lstStyle/>
            <a:p>
              <a:pPr>
                <a:defRPr/>
              </a:pPr>
              <a:endParaRPr lang="pt-BR"/>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wrap="square" lIns="38100" tIns="19050" rIns="38100" bIns="19050" anchor="ctr">
              <a:spAutoFit/>
            </a:bodyPr>
            <a:lstStyle/>
            <a:p>
              <a:pPr>
                <a:defRPr b="1">
                  <a:solidFill>
                    <a:schemeClr val="bg1"/>
                  </a:solidFill>
                </a:defRPr>
              </a:pPr>
              <a:endParaRPr lang="pt-BR"/>
            </a:p>
          </c:txPr>
          <c:showLegendKey val="0"/>
          <c:showVal val="1"/>
          <c:showCatName val="0"/>
          <c:showSerName val="0"/>
          <c:showPercent val="0"/>
          <c:showBubbleSize val="0"/>
          <c:extLst>
            <c:ext xmlns:c15="http://schemas.microsoft.com/office/drawing/2012/chart" uri="{CE6537A1-D6FC-4f65-9D91-7224C49458BB}"/>
          </c:extLst>
        </c:dLbl>
      </c:pivotFmt>
      <c:pivotFmt>
        <c:idx val="14"/>
      </c:pivotFmt>
      <c:pivotFmt>
        <c:idx val="15"/>
      </c:pivotFmt>
      <c:pivotFmt>
        <c:idx val="16"/>
      </c:pivotFmt>
      <c:pivotFmt>
        <c:idx val="17"/>
      </c:pivotFmt>
      <c:pivotFmt>
        <c:idx val="18"/>
        <c:spPr>
          <a:solidFill>
            <a:schemeClr val="accent1"/>
          </a:solidFill>
          <a:ln>
            <a:noFill/>
          </a:ln>
          <a:effectLst/>
        </c:spPr>
        <c:marker>
          <c:symbol val="none"/>
        </c:marker>
        <c:dLbl>
          <c:idx val="0"/>
          <c:spPr>
            <a:noFill/>
            <a:ln>
              <a:noFill/>
            </a:ln>
            <a:effectLst/>
          </c:spPr>
          <c:txPr>
            <a:bodyPr wrap="square" lIns="38100" tIns="19050" rIns="38100" bIns="19050" anchor="ctr">
              <a:spAutoFit/>
            </a:bodyPr>
            <a:lstStyle/>
            <a:p>
              <a:pPr>
                <a:defRPr b="1">
                  <a:solidFill>
                    <a:schemeClr val="bg1"/>
                  </a:solidFill>
                </a:defRPr>
              </a:pPr>
              <a:endParaRPr lang="pt-BR"/>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wrap="square" lIns="38100" tIns="19050" rIns="38100" bIns="19050" anchor="ctr">
              <a:spAutoFit/>
            </a:bodyPr>
            <a:lstStyle/>
            <a:p>
              <a:pPr>
                <a:defRPr b="1">
                  <a:solidFill>
                    <a:schemeClr val="bg1"/>
                  </a:solidFill>
                </a:defRPr>
              </a:pPr>
              <a:endParaRPr lang="pt-BR"/>
            </a:p>
          </c:txPr>
          <c:showLegendKey val="0"/>
          <c:showVal val="1"/>
          <c:showCatName val="0"/>
          <c:showSerName val="0"/>
          <c:showPercent val="0"/>
          <c:showBubbleSize val="0"/>
          <c:extLst>
            <c:ext xmlns:c15="http://schemas.microsoft.com/office/drawing/2012/chart" uri="{CE6537A1-D6FC-4f65-9D91-7224C49458BB}"/>
          </c:extLst>
        </c:dLbl>
      </c:pivotFmt>
      <c:pivotFmt>
        <c:idx val="20"/>
        <c:marker>
          <c:symbol val="none"/>
        </c:marker>
        <c:dLbl>
          <c:idx val="0"/>
          <c:spPr>
            <a:noFill/>
            <a:ln>
              <a:noFill/>
            </a:ln>
            <a:effectLst/>
          </c:spPr>
          <c:txPr>
            <a:bodyPr wrap="square" lIns="38100" tIns="19050" rIns="38100" bIns="19050" anchor="ctr">
              <a:spAutoFit/>
            </a:bodyPr>
            <a:lstStyle/>
            <a:p>
              <a:pPr>
                <a:defRPr/>
              </a:pPr>
              <a:endParaRPr lang="pt-BR"/>
            </a:p>
          </c:txPr>
          <c:showLegendKey val="0"/>
          <c:showVal val="1"/>
          <c:showCatName val="0"/>
          <c:showSerName val="0"/>
          <c:showPercent val="0"/>
          <c:showBubbleSize val="0"/>
          <c:extLst>
            <c:ext xmlns:c15="http://schemas.microsoft.com/office/drawing/2012/chart" uri="{CE6537A1-D6FC-4f65-9D91-7224C49458BB}"/>
          </c:extLst>
        </c:dLbl>
      </c:pivotFmt>
      <c:pivotFmt>
        <c:idx val="21"/>
        <c:marker>
          <c:symbol val="none"/>
        </c:marker>
        <c:dLbl>
          <c:idx val="0"/>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'Dashboard_V02 (2)'!$AC$35:$AC$36</c:f>
              <c:strCache>
                <c:ptCount val="1"/>
                <c:pt idx="0">
                  <c:v>Total Geral</c:v>
                </c:pt>
              </c:strCache>
            </c:strRef>
          </c:tx>
          <c:invertIfNegative val="0"/>
          <c:dPt>
            <c:idx val="0"/>
            <c:invertIfNegative val="0"/>
            <c:bubble3D val="0"/>
            <c:extLst>
              <c:ext xmlns:c16="http://schemas.microsoft.com/office/drawing/2014/chart" uri="{C3380CC4-5D6E-409C-BE32-E72D297353CC}">
                <c16:uniqueId val="{00000000-7928-4200-850F-71EA8A641A85}"/>
              </c:ext>
            </c:extLst>
          </c:dPt>
          <c:dPt>
            <c:idx val="1"/>
            <c:invertIfNegative val="0"/>
            <c:bubble3D val="0"/>
            <c:extLst>
              <c:ext xmlns:c16="http://schemas.microsoft.com/office/drawing/2014/chart" uri="{C3380CC4-5D6E-409C-BE32-E72D297353CC}">
                <c16:uniqueId val="{00000001-7928-4200-850F-71EA8A641A85}"/>
              </c:ext>
            </c:extLst>
          </c:dPt>
          <c:dLbls>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'Dashboard_V02 (2)'!$AB$37</c:f>
              <c:strCache>
                <c:ptCount val="1"/>
                <c:pt idx="0">
                  <c:v>Total Geral</c:v>
                </c:pt>
              </c:strCache>
            </c:strRef>
          </c:cat>
          <c:val>
            <c:numRef>
              <c:f>'Dashboard_V02 (2)'!$AC$37</c:f>
              <c:numCache>
                <c:formatCode>General</c:formatCode>
                <c:ptCount val="1"/>
              </c:numCache>
            </c:numRef>
          </c:val>
          <c:extLst>
            <c:ext xmlns:c16="http://schemas.microsoft.com/office/drawing/2014/chart" uri="{C3380CC4-5D6E-409C-BE32-E72D297353CC}">
              <c16:uniqueId val="{00000002-7928-4200-850F-71EA8A641A85}"/>
            </c:ext>
          </c:extLst>
        </c:ser>
        <c:dLbls>
          <c:showLegendKey val="0"/>
          <c:showVal val="1"/>
          <c:showCatName val="0"/>
          <c:showSerName val="0"/>
          <c:showPercent val="0"/>
          <c:showBubbleSize val="0"/>
        </c:dLbls>
        <c:gapWidth val="219"/>
        <c:overlap val="100"/>
        <c:axId val="230157664"/>
        <c:axId val="230155264"/>
      </c:barChart>
      <c:catAx>
        <c:axId val="2301576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230155264"/>
        <c:crosses val="autoZero"/>
        <c:auto val="1"/>
        <c:lblAlgn val="ctr"/>
        <c:lblOffset val="100"/>
        <c:noMultiLvlLbl val="0"/>
      </c:catAx>
      <c:valAx>
        <c:axId val="230155264"/>
        <c:scaling>
          <c:orientation val="minMax"/>
          <c:max val="10"/>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230157664"/>
        <c:crosses val="autoZero"/>
        <c:crossBetween val="between"/>
      </c:valAx>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legend>
    <c:plotVisOnly val="1"/>
    <c:dispBlanksAs val="gap"/>
    <c:showDLblsOverMax val="0"/>
    <c:extLst/>
  </c:chart>
  <c:spPr>
    <a:ln>
      <a:solidFill>
        <a:schemeClr val="tx1"/>
      </a:solidFill>
    </a:ln>
  </c:spPr>
  <c:txPr>
    <a:bodyPr/>
    <a:lstStyle/>
    <a:p>
      <a:pPr>
        <a:defRPr/>
      </a:pPr>
      <a:endParaRPr lang="pt-BR"/>
    </a:p>
  </c:txPr>
  <c:printSettings>
    <c:headerFooter/>
    <c:pageMargins b="0.78740157499999996" l="0.511811024" r="0.511811024" t="0.78740157499999996" header="0.31496062000000002" footer="0.31496062000000002"/>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pivotSource>
    <c:name>[Stopped Turbines - Report.xlsx]Dashboard_V02 (2)!Tabela dinâmica3</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a:t>CHA - Total de turbinas</a:t>
            </a:r>
            <a:r>
              <a:rPr lang="en-US" sz="1200" baseline="0"/>
              <a:t> paradas</a:t>
            </a:r>
            <a:endParaRPr lang="en-US" sz="120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pt-BR"/>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lumMod val="50000"/>
            </a:schemeClr>
          </a:solidFill>
          <a:ln>
            <a:noFill/>
          </a:ln>
          <a:effectLst/>
        </c:spPr>
      </c:pivotFmt>
      <c:pivotFmt>
        <c:idx val="2"/>
        <c:spPr>
          <a:solidFill>
            <a:schemeClr val="accent2">
              <a:lumMod val="75000"/>
            </a:schemeClr>
          </a:solidFill>
          <a:ln>
            <a:noFill/>
          </a:ln>
          <a:effectLst/>
        </c:spPr>
      </c:pivotFmt>
      <c:pivotFmt>
        <c:idx val="3"/>
        <c:spPr>
          <a:solidFill>
            <a:schemeClr val="accent2">
              <a:lumMod val="60000"/>
              <a:lumOff val="40000"/>
            </a:schemeClr>
          </a:solidFill>
          <a:ln>
            <a:noFill/>
          </a:ln>
          <a:effectLst/>
        </c:spPr>
      </c:pivotFmt>
      <c:pivotFmt>
        <c:idx val="4"/>
        <c:spPr>
          <a:solidFill>
            <a:schemeClr val="accent2">
              <a:lumMod val="40000"/>
              <a:lumOff val="60000"/>
            </a:schemeClr>
          </a:solidFill>
          <a:ln>
            <a:noFill/>
          </a:ln>
          <a:effectLst/>
        </c:spPr>
      </c:pivotFmt>
      <c:pivotFmt>
        <c:idx val="5"/>
        <c:spPr>
          <a:solidFill>
            <a:schemeClr val="accent2">
              <a:lumMod val="20000"/>
              <a:lumOff val="80000"/>
            </a:schemeClr>
          </a:solidFill>
          <a:ln>
            <a:noFill/>
          </a:ln>
          <a:effectLst/>
        </c:spPr>
      </c:pivotFmt>
      <c:pivotFmt>
        <c:idx val="6"/>
        <c:spPr>
          <a:solidFill>
            <a:schemeClr val="accent2">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pt-BR"/>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2">
              <a:lumMod val="50000"/>
            </a:schemeClr>
          </a:solidFill>
          <a:ln>
            <a:noFill/>
          </a:ln>
          <a:effectLst/>
        </c:spPr>
      </c:pivotFmt>
      <c:pivotFmt>
        <c:idx val="9"/>
        <c:spPr>
          <a:solidFill>
            <a:schemeClr val="accent2">
              <a:lumMod val="50000"/>
            </a:schemeClr>
          </a:solidFill>
          <a:ln>
            <a:noFill/>
          </a:ln>
          <a:effectLst/>
        </c:spPr>
      </c:pivotFmt>
      <c:pivotFmt>
        <c:idx val="10"/>
        <c:spPr>
          <a:solidFill>
            <a:schemeClr val="accent2">
              <a:lumMod val="50000"/>
            </a:schemeClr>
          </a:solidFill>
          <a:ln>
            <a:noFill/>
          </a:ln>
          <a:effectLst/>
        </c:spPr>
      </c:pivotFmt>
      <c:pivotFmt>
        <c:idx val="11"/>
        <c:spPr>
          <a:solidFill>
            <a:schemeClr val="accent2">
              <a:lumMod val="50000"/>
            </a:schemeClr>
          </a:solidFill>
          <a:ln>
            <a:noFill/>
          </a:ln>
          <a:effectLst/>
        </c:spPr>
      </c:pivotFmt>
      <c:pivotFmt>
        <c:idx val="12"/>
        <c:spPr>
          <a:solidFill>
            <a:schemeClr val="accent2">
              <a:lumMod val="50000"/>
            </a:schemeClr>
          </a:solidFill>
          <a:ln>
            <a:noFill/>
          </a:ln>
          <a:effectLst/>
        </c:spPr>
      </c:pivotFmt>
      <c:pivotFmt>
        <c:idx val="13"/>
        <c:spPr>
          <a:solidFill>
            <a:schemeClr val="accent2">
              <a:lumMod val="20000"/>
              <a:lumOff val="80000"/>
            </a:schemeClr>
          </a:solidFill>
          <a:ln>
            <a:noFill/>
          </a:ln>
          <a:effectLst/>
        </c:spPr>
      </c:pivotFmt>
      <c:pivotFmt>
        <c:idx val="14"/>
        <c:spPr>
          <a:solidFill>
            <a:schemeClr val="accent2">
              <a:lumMod val="20000"/>
              <a:lumOff val="80000"/>
            </a:schemeClr>
          </a:solidFill>
          <a:ln>
            <a:noFill/>
          </a:ln>
          <a:effectLst/>
        </c:spPr>
      </c:pivotFmt>
      <c:pivotFmt>
        <c:idx val="15"/>
        <c:spPr>
          <a:solidFill>
            <a:schemeClr val="accent2">
              <a:lumMod val="20000"/>
              <a:lumOff val="80000"/>
            </a:schemeClr>
          </a:solidFill>
          <a:ln>
            <a:noFill/>
          </a:ln>
          <a:effectLst/>
        </c:spPr>
      </c:pivotFmt>
      <c:pivotFmt>
        <c:idx val="16"/>
        <c:spPr>
          <a:solidFill>
            <a:schemeClr val="accent2">
              <a:lumMod val="20000"/>
              <a:lumOff val="80000"/>
            </a:schemeClr>
          </a:solidFill>
          <a:ln>
            <a:noFill/>
          </a:ln>
          <a:effectLst/>
        </c:spPr>
      </c:pivotFmt>
      <c:pivotFmt>
        <c:idx val="17"/>
        <c:spPr>
          <a:solidFill>
            <a:schemeClr val="accent2">
              <a:lumMod val="20000"/>
              <a:lumOff val="80000"/>
            </a:schemeClr>
          </a:solidFill>
          <a:ln>
            <a:noFill/>
          </a:ln>
          <a:effectLst/>
        </c:spPr>
      </c:pivotFmt>
      <c:pivotFmt>
        <c:idx val="18"/>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pt-BR"/>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2">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pt-BR"/>
            </a:p>
          </c:txP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pt-BR"/>
            </a:p>
          </c:txP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pt-BR"/>
            </a:p>
          </c:txPr>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pt-BR"/>
            </a:p>
          </c:txP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'Dashboard_V02 (2)'!$AI$35:$AI$36</c:f>
              <c:strCache>
                <c:ptCount val="1"/>
                <c:pt idx="0">
                  <c:v>Total Geral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'Dashboard_V02 (2)'!$AH$37</c:f>
              <c:strCache>
                <c:ptCount val="1"/>
                <c:pt idx="0">
                  <c:v>Total Geral</c:v>
                </c:pt>
              </c:strCache>
            </c:strRef>
          </c:cat>
          <c:val>
            <c:numRef>
              <c:f>'Dashboard_V02 (2)'!$AI$37</c:f>
              <c:numCache>
                <c:formatCode>General</c:formatCode>
                <c:ptCount val="1"/>
              </c:numCache>
            </c:numRef>
          </c:val>
          <c:extLst>
            <c:ext xmlns:c16="http://schemas.microsoft.com/office/drawing/2014/chart" uri="{C3380CC4-5D6E-409C-BE32-E72D297353CC}">
              <c16:uniqueId val="{00000000-DA3C-4117-86CF-0FD835FCA4D7}"/>
            </c:ext>
          </c:extLst>
        </c:ser>
        <c:dLbls>
          <c:showLegendKey val="0"/>
          <c:showVal val="1"/>
          <c:showCatName val="0"/>
          <c:showSerName val="0"/>
          <c:showPercent val="0"/>
          <c:showBubbleSize val="0"/>
        </c:dLbls>
        <c:gapWidth val="219"/>
        <c:overlap val="100"/>
        <c:axId val="1318550431"/>
        <c:axId val="1318551391"/>
      </c:barChart>
      <c:catAx>
        <c:axId val="13185504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1318551391"/>
        <c:crosses val="autoZero"/>
        <c:auto val="1"/>
        <c:lblAlgn val="ctr"/>
        <c:lblOffset val="100"/>
        <c:noMultiLvlLbl val="0"/>
      </c:catAx>
      <c:valAx>
        <c:axId val="1318551391"/>
        <c:scaling>
          <c:orientation val="minMax"/>
          <c:max val="10"/>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131855043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9050" cap="flat" cmpd="sng" algn="ctr">
      <a:solidFill>
        <a:schemeClr val="tx1"/>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t-BR"/>
              <a:t>Histórico - N° de WTGs paradas </a:t>
            </a:r>
            <a:r>
              <a:rPr lang="pt-BR" baseline="0"/>
              <a:t>7d+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BR"/>
        </a:p>
      </c:txPr>
    </c:title>
    <c:autoTitleDeleted val="0"/>
    <c:plotArea>
      <c:layout>
        <c:manualLayout>
          <c:layoutTarget val="inner"/>
          <c:xMode val="edge"/>
          <c:yMode val="edge"/>
          <c:x val="6.9403547738711296E-2"/>
          <c:y val="0.1137336242256715"/>
          <c:w val="0.91407416343346648"/>
          <c:h val="0.5937560208950784"/>
        </c:manualLayout>
      </c:layout>
      <c:barChart>
        <c:barDir val="col"/>
        <c:grouping val="stacked"/>
        <c:varyColors val="0"/>
        <c:ser>
          <c:idx val="0"/>
          <c:order val="0"/>
          <c:tx>
            <c:strRef>
              <c:f>Historic!$F$1</c:f>
              <c:strCache>
                <c:ptCount val="1"/>
                <c:pt idx="0">
                  <c:v>ASA</c:v>
                </c:pt>
              </c:strCache>
            </c:strRef>
          </c:tx>
          <c:spPr>
            <a:solidFill>
              <a:schemeClr val="tx2">
                <a:lumMod val="90000"/>
                <a:lumOff val="1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pt-BR"/>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Historic!$A$2:$A$119</c15:sqref>
                  </c15:fullRef>
                </c:ext>
              </c:extLst>
              <c:f>Historic!$A$2:$A$111</c:f>
              <c:strCache>
                <c:ptCount val="96"/>
                <c:pt idx="0">
                  <c:v>2025W01</c:v>
                </c:pt>
                <c:pt idx="1">
                  <c:v>2025W02</c:v>
                </c:pt>
                <c:pt idx="2">
                  <c:v>2025W03</c:v>
                </c:pt>
                <c:pt idx="3">
                  <c:v>2025W04</c:v>
                </c:pt>
                <c:pt idx="4">
                  <c:v>2025W05</c:v>
                </c:pt>
                <c:pt idx="5">
                  <c:v>2025W06</c:v>
                </c:pt>
                <c:pt idx="6">
                  <c:v>2025W07</c:v>
                </c:pt>
                <c:pt idx="7">
                  <c:v>2025W08</c:v>
                </c:pt>
                <c:pt idx="8">
                  <c:v>2025W09</c:v>
                </c:pt>
                <c:pt idx="9">
                  <c:v>2025W10</c:v>
                </c:pt>
                <c:pt idx="10">
                  <c:v>2025W11</c:v>
                </c:pt>
                <c:pt idx="11">
                  <c:v>2025W12</c:v>
                </c:pt>
                <c:pt idx="12">
                  <c:v>2025W13</c:v>
                </c:pt>
                <c:pt idx="13">
                  <c:v>2025W14</c:v>
                </c:pt>
                <c:pt idx="14">
                  <c:v>2025W15</c:v>
                </c:pt>
                <c:pt idx="15">
                  <c:v>2025W16</c:v>
                </c:pt>
                <c:pt idx="16">
                  <c:v>2025W17</c:v>
                </c:pt>
                <c:pt idx="17">
                  <c:v>2025W18</c:v>
                </c:pt>
                <c:pt idx="18">
                  <c:v>2025W19</c:v>
                </c:pt>
                <c:pt idx="19">
                  <c:v>2025W20</c:v>
                </c:pt>
                <c:pt idx="20">
                  <c:v>2025W21</c:v>
                </c:pt>
                <c:pt idx="21">
                  <c:v>2025W22</c:v>
                </c:pt>
                <c:pt idx="22">
                  <c:v>2025W23</c:v>
                </c:pt>
                <c:pt idx="23">
                  <c:v>2025W24</c:v>
                </c:pt>
                <c:pt idx="24">
                  <c:v>2025W25</c:v>
                </c:pt>
                <c:pt idx="25">
                  <c:v>2025W26</c:v>
                </c:pt>
                <c:pt idx="26">
                  <c:v>2025W27</c:v>
                </c:pt>
                <c:pt idx="27">
                  <c:v>2025W28</c:v>
                </c:pt>
                <c:pt idx="28">
                  <c:v>2025W29</c:v>
                </c:pt>
                <c:pt idx="29">
                  <c:v>2025W30</c:v>
                </c:pt>
                <c:pt idx="30">
                  <c:v>2025W31</c:v>
                </c:pt>
                <c:pt idx="31">
                  <c:v>2025W32</c:v>
                </c:pt>
                <c:pt idx="32">
                  <c:v>2025W33</c:v>
                </c:pt>
                <c:pt idx="33">
                  <c:v>2025W34</c:v>
                </c:pt>
                <c:pt idx="34">
                  <c:v>2025W35</c:v>
                </c:pt>
                <c:pt idx="35">
                  <c:v>2025W36</c:v>
                </c:pt>
                <c:pt idx="36">
                  <c:v>2025W37</c:v>
                </c:pt>
                <c:pt idx="37">
                  <c:v>2025W38</c:v>
                </c:pt>
                <c:pt idx="38">
                  <c:v>2025W39</c:v>
                </c:pt>
                <c:pt idx="39">
                  <c:v>2025W40</c:v>
                </c:pt>
                <c:pt idx="40">
                  <c:v>2025W41</c:v>
                </c:pt>
                <c:pt idx="41">
                  <c:v>2025W42</c:v>
                </c:pt>
                <c:pt idx="42">
                  <c:v>2025W43</c:v>
                </c:pt>
                <c:pt idx="43">
                  <c:v>2025W44</c:v>
                </c:pt>
                <c:pt idx="44">
                  <c:v>2025W45</c:v>
                </c:pt>
                <c:pt idx="45">
                  <c:v>2025W46</c:v>
                </c:pt>
                <c:pt idx="46">
                  <c:v>2025W47</c:v>
                </c:pt>
                <c:pt idx="47">
                  <c:v>2025W48</c:v>
                </c:pt>
                <c:pt idx="48">
                  <c:v>2025W49</c:v>
                </c:pt>
                <c:pt idx="49">
                  <c:v>2025W50</c:v>
                </c:pt>
                <c:pt idx="50">
                  <c:v>2025W51</c:v>
                </c:pt>
                <c:pt idx="51">
                  <c:v>2025W52</c:v>
                </c:pt>
                <c:pt idx="52">
                  <c:v>2026W01</c:v>
                </c:pt>
                <c:pt idx="53">
                  <c:v>2026W02</c:v>
                </c:pt>
                <c:pt idx="54">
                  <c:v>2026W03</c:v>
                </c:pt>
                <c:pt idx="55">
                  <c:v>2026W04</c:v>
                </c:pt>
                <c:pt idx="56">
                  <c:v>2026W05</c:v>
                </c:pt>
                <c:pt idx="57">
                  <c:v>2026W06</c:v>
                </c:pt>
                <c:pt idx="58">
                  <c:v>2026W07</c:v>
                </c:pt>
                <c:pt idx="59">
                  <c:v>2026W08</c:v>
                </c:pt>
                <c:pt idx="60">
                  <c:v>2026W09</c:v>
                </c:pt>
                <c:pt idx="61">
                  <c:v>2026W10</c:v>
                </c:pt>
                <c:pt idx="62">
                  <c:v>2026W11</c:v>
                </c:pt>
                <c:pt idx="63">
                  <c:v>2026W12</c:v>
                </c:pt>
                <c:pt idx="64">
                  <c:v>2026W13</c:v>
                </c:pt>
                <c:pt idx="65">
                  <c:v>2026W14</c:v>
                </c:pt>
                <c:pt idx="66">
                  <c:v>2026W15</c:v>
                </c:pt>
                <c:pt idx="67">
                  <c:v>2026W16</c:v>
                </c:pt>
                <c:pt idx="68">
                  <c:v>2026W17</c:v>
                </c:pt>
                <c:pt idx="69">
                  <c:v>2026W18</c:v>
                </c:pt>
                <c:pt idx="70">
                  <c:v>2026W19</c:v>
                </c:pt>
                <c:pt idx="71">
                  <c:v>2026W20</c:v>
                </c:pt>
                <c:pt idx="72">
                  <c:v>2026W21</c:v>
                </c:pt>
                <c:pt idx="73">
                  <c:v>2026W22</c:v>
                </c:pt>
                <c:pt idx="74">
                  <c:v>2026W23</c:v>
                </c:pt>
                <c:pt idx="75">
                  <c:v>2026W24</c:v>
                </c:pt>
                <c:pt idx="76">
                  <c:v>2026W25</c:v>
                </c:pt>
                <c:pt idx="77">
                  <c:v>2026W26</c:v>
                </c:pt>
                <c:pt idx="78">
                  <c:v>2026W27</c:v>
                </c:pt>
                <c:pt idx="79">
                  <c:v>2026W28</c:v>
                </c:pt>
                <c:pt idx="80">
                  <c:v>2026W29</c:v>
                </c:pt>
                <c:pt idx="81">
                  <c:v>2026W30</c:v>
                </c:pt>
                <c:pt idx="82">
                  <c:v>2026W31</c:v>
                </c:pt>
                <c:pt idx="83">
                  <c:v>2026W32</c:v>
                </c:pt>
                <c:pt idx="84">
                  <c:v>2026W33</c:v>
                </c:pt>
                <c:pt idx="85">
                  <c:v>2026W34</c:v>
                </c:pt>
                <c:pt idx="86">
                  <c:v>2026W35</c:v>
                </c:pt>
                <c:pt idx="87">
                  <c:v>2026W36</c:v>
                </c:pt>
                <c:pt idx="88">
                  <c:v>2026W37</c:v>
                </c:pt>
                <c:pt idx="89">
                  <c:v>2026W38</c:v>
                </c:pt>
                <c:pt idx="90">
                  <c:v>2026W39</c:v>
                </c:pt>
                <c:pt idx="91">
                  <c:v>2026W40</c:v>
                </c:pt>
                <c:pt idx="92">
                  <c:v>2026W41</c:v>
                </c:pt>
                <c:pt idx="93">
                  <c:v>2026W42</c:v>
                </c:pt>
                <c:pt idx="94">
                  <c:v>2026W43</c:v>
                </c:pt>
                <c:pt idx="95">
                  <c:v>2026W44</c:v>
                </c:pt>
              </c:strCache>
            </c:strRef>
          </c:cat>
          <c:val>
            <c:numRef>
              <c:extLst>
                <c:ext xmlns:c15="http://schemas.microsoft.com/office/drawing/2012/chart" uri="{02D57815-91ED-43cb-92C2-25804820EDAC}">
                  <c15:fullRef>
                    <c15:sqref>Historic!$F$2:$F$119</c15:sqref>
                  </c15:fullRef>
                </c:ext>
              </c:extLst>
              <c:f>Historic!$F$2:$F$111</c:f>
              <c:numCache>
                <c:formatCode>General</c:formatCode>
                <c:ptCount val="96"/>
                <c:pt idx="0">
                  <c:v>2</c:v>
                </c:pt>
                <c:pt idx="1">
                  <c:v>2</c:v>
                </c:pt>
                <c:pt idx="2">
                  <c:v>2</c:v>
                </c:pt>
                <c:pt idx="3">
                  <c:v>3</c:v>
                </c:pt>
                <c:pt idx="4">
                  <c:v>3</c:v>
                </c:pt>
                <c:pt idx="5">
                  <c:v>3</c:v>
                </c:pt>
                <c:pt idx="6">
                  <c:v>3</c:v>
                </c:pt>
                <c:pt idx="7">
                  <c:v>2</c:v>
                </c:pt>
                <c:pt idx="8">
                  <c:v>2</c:v>
                </c:pt>
                <c:pt idx="9">
                  <c:v>2</c:v>
                </c:pt>
                <c:pt idx="10">
                  <c:v>2</c:v>
                </c:pt>
                <c:pt idx="11">
                  <c:v>2</c:v>
                </c:pt>
                <c:pt idx="12">
                  <c:v>2</c:v>
                </c:pt>
                <c:pt idx="13">
                  <c:v>2</c:v>
                </c:pt>
                <c:pt idx="14">
                  <c:v>2</c:v>
                </c:pt>
                <c:pt idx="15">
                  <c:v>2</c:v>
                </c:pt>
                <c:pt idx="16">
                  <c:v>1</c:v>
                </c:pt>
                <c:pt idx="17">
                  <c:v>1</c:v>
                </c:pt>
                <c:pt idx="18">
                  <c:v>1</c:v>
                </c:pt>
                <c:pt idx="19">
                  <c:v>0</c:v>
                </c:pt>
                <c:pt idx="20">
                  <c:v>1</c:v>
                </c:pt>
                <c:pt idx="21">
                  <c:v>1</c:v>
                </c:pt>
                <c:pt idx="22">
                  <c:v>2</c:v>
                </c:pt>
                <c:pt idx="23">
                  <c:v>1</c:v>
                </c:pt>
                <c:pt idx="24">
                  <c:v>1</c:v>
                </c:pt>
                <c:pt idx="25">
                  <c:v>1</c:v>
                </c:pt>
                <c:pt idx="26">
                  <c:v>1</c:v>
                </c:pt>
                <c:pt idx="27">
                  <c:v>1</c:v>
                </c:pt>
                <c:pt idx="28">
                  <c:v>1</c:v>
                </c:pt>
                <c:pt idx="29">
                  <c:v>1</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1</c:v>
                </c:pt>
                <c:pt idx="61">
                  <c:v>1</c:v>
                </c:pt>
                <c:pt idx="62">
                  <c:v>1</c:v>
                </c:pt>
                <c:pt idx="63">
                  <c:v>1</c:v>
                </c:pt>
                <c:pt idx="64">
                  <c:v>0</c:v>
                </c:pt>
                <c:pt idx="65">
                  <c:v>1</c:v>
                </c:pt>
                <c:pt idx="66">
                  <c:v>1</c:v>
                </c:pt>
                <c:pt idx="67">
                  <c:v>1</c:v>
                </c:pt>
                <c:pt idx="68">
                  <c:v>1</c:v>
                </c:pt>
                <c:pt idx="69">
                  <c:v>1</c:v>
                </c:pt>
                <c:pt idx="70">
                  <c:v>1</c:v>
                </c:pt>
                <c:pt idx="71">
                  <c:v>0</c:v>
                </c:pt>
                <c:pt idx="72">
                  <c:v>1</c:v>
                </c:pt>
                <c:pt idx="73">
                  <c:v>0</c:v>
                </c:pt>
                <c:pt idx="74">
                  <c:v>0</c:v>
                </c:pt>
                <c:pt idx="75">
                  <c:v>0</c:v>
                </c:pt>
                <c:pt idx="76">
                  <c:v>0</c:v>
                </c:pt>
                <c:pt idx="77">
                  <c:v>0</c:v>
                </c:pt>
                <c:pt idx="78">
                  <c:v>0</c:v>
                </c:pt>
                <c:pt idx="79">
                  <c:v>0</c:v>
                </c:pt>
                <c:pt idx="80">
                  <c:v>0</c:v>
                </c:pt>
                <c:pt idx="81">
                  <c:v>0</c:v>
                </c:pt>
                <c:pt idx="82">
                  <c:v>0</c:v>
                </c:pt>
                <c:pt idx="83">
                  <c:v>1</c:v>
                </c:pt>
                <c:pt idx="84">
                  <c:v>1</c:v>
                </c:pt>
                <c:pt idx="85">
                  <c:v>0</c:v>
                </c:pt>
                <c:pt idx="86">
                  <c:v>0</c:v>
                </c:pt>
                <c:pt idx="87">
                  <c:v>1</c:v>
                </c:pt>
                <c:pt idx="88">
                  <c:v>0</c:v>
                </c:pt>
                <c:pt idx="89">
                  <c:v>1</c:v>
                </c:pt>
                <c:pt idx="90">
                  <c:v>0</c:v>
                </c:pt>
              </c:numCache>
            </c:numRef>
          </c:val>
          <c:extLst>
            <c:ext xmlns:c16="http://schemas.microsoft.com/office/drawing/2014/chart" uri="{C3380CC4-5D6E-409C-BE32-E72D297353CC}">
              <c16:uniqueId val="{00000000-B721-450D-843B-4A123803820D}"/>
            </c:ext>
          </c:extLst>
        </c:ser>
        <c:ser>
          <c:idx val="1"/>
          <c:order val="1"/>
          <c:tx>
            <c:strRef>
              <c:f>Historic!$G$1</c:f>
              <c:strCache>
                <c:ptCount val="1"/>
                <c:pt idx="0">
                  <c:v>CHA</c:v>
                </c:pt>
              </c:strCache>
            </c:strRef>
          </c:tx>
          <c:spPr>
            <a:solidFill>
              <a:schemeClr val="accent2">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FFFF"/>
                    </a:solidFill>
                    <a:latin typeface="+mn-lt"/>
                    <a:ea typeface="+mn-ea"/>
                    <a:cs typeface="+mn-cs"/>
                  </a:defRPr>
                </a:pPr>
                <a:endParaRPr lang="pt-BR"/>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Historic!$A$2:$A$119</c15:sqref>
                  </c15:fullRef>
                </c:ext>
              </c:extLst>
              <c:f>Historic!$A$2:$A$111</c:f>
              <c:strCache>
                <c:ptCount val="96"/>
                <c:pt idx="0">
                  <c:v>2025W01</c:v>
                </c:pt>
                <c:pt idx="1">
                  <c:v>2025W02</c:v>
                </c:pt>
                <c:pt idx="2">
                  <c:v>2025W03</c:v>
                </c:pt>
                <c:pt idx="3">
                  <c:v>2025W04</c:v>
                </c:pt>
                <c:pt idx="4">
                  <c:v>2025W05</c:v>
                </c:pt>
                <c:pt idx="5">
                  <c:v>2025W06</c:v>
                </c:pt>
                <c:pt idx="6">
                  <c:v>2025W07</c:v>
                </c:pt>
                <c:pt idx="7">
                  <c:v>2025W08</c:v>
                </c:pt>
                <c:pt idx="8">
                  <c:v>2025W09</c:v>
                </c:pt>
                <c:pt idx="9">
                  <c:v>2025W10</c:v>
                </c:pt>
                <c:pt idx="10">
                  <c:v>2025W11</c:v>
                </c:pt>
                <c:pt idx="11">
                  <c:v>2025W12</c:v>
                </c:pt>
                <c:pt idx="12">
                  <c:v>2025W13</c:v>
                </c:pt>
                <c:pt idx="13">
                  <c:v>2025W14</c:v>
                </c:pt>
                <c:pt idx="14">
                  <c:v>2025W15</c:v>
                </c:pt>
                <c:pt idx="15">
                  <c:v>2025W16</c:v>
                </c:pt>
                <c:pt idx="16">
                  <c:v>2025W17</c:v>
                </c:pt>
                <c:pt idx="17">
                  <c:v>2025W18</c:v>
                </c:pt>
                <c:pt idx="18">
                  <c:v>2025W19</c:v>
                </c:pt>
                <c:pt idx="19">
                  <c:v>2025W20</c:v>
                </c:pt>
                <c:pt idx="20">
                  <c:v>2025W21</c:v>
                </c:pt>
                <c:pt idx="21">
                  <c:v>2025W22</c:v>
                </c:pt>
                <c:pt idx="22">
                  <c:v>2025W23</c:v>
                </c:pt>
                <c:pt idx="23">
                  <c:v>2025W24</c:v>
                </c:pt>
                <c:pt idx="24">
                  <c:v>2025W25</c:v>
                </c:pt>
                <c:pt idx="25">
                  <c:v>2025W26</c:v>
                </c:pt>
                <c:pt idx="26">
                  <c:v>2025W27</c:v>
                </c:pt>
                <c:pt idx="27">
                  <c:v>2025W28</c:v>
                </c:pt>
                <c:pt idx="28">
                  <c:v>2025W29</c:v>
                </c:pt>
                <c:pt idx="29">
                  <c:v>2025W30</c:v>
                </c:pt>
                <c:pt idx="30">
                  <c:v>2025W31</c:v>
                </c:pt>
                <c:pt idx="31">
                  <c:v>2025W32</c:v>
                </c:pt>
                <c:pt idx="32">
                  <c:v>2025W33</c:v>
                </c:pt>
                <c:pt idx="33">
                  <c:v>2025W34</c:v>
                </c:pt>
                <c:pt idx="34">
                  <c:v>2025W35</c:v>
                </c:pt>
                <c:pt idx="35">
                  <c:v>2025W36</c:v>
                </c:pt>
                <c:pt idx="36">
                  <c:v>2025W37</c:v>
                </c:pt>
                <c:pt idx="37">
                  <c:v>2025W38</c:v>
                </c:pt>
                <c:pt idx="38">
                  <c:v>2025W39</c:v>
                </c:pt>
                <c:pt idx="39">
                  <c:v>2025W40</c:v>
                </c:pt>
                <c:pt idx="40">
                  <c:v>2025W41</c:v>
                </c:pt>
                <c:pt idx="41">
                  <c:v>2025W42</c:v>
                </c:pt>
                <c:pt idx="42">
                  <c:v>2025W43</c:v>
                </c:pt>
                <c:pt idx="43">
                  <c:v>2025W44</c:v>
                </c:pt>
                <c:pt idx="44">
                  <c:v>2025W45</c:v>
                </c:pt>
                <c:pt idx="45">
                  <c:v>2025W46</c:v>
                </c:pt>
                <c:pt idx="46">
                  <c:v>2025W47</c:v>
                </c:pt>
                <c:pt idx="47">
                  <c:v>2025W48</c:v>
                </c:pt>
                <c:pt idx="48">
                  <c:v>2025W49</c:v>
                </c:pt>
                <c:pt idx="49">
                  <c:v>2025W50</c:v>
                </c:pt>
                <c:pt idx="50">
                  <c:v>2025W51</c:v>
                </c:pt>
                <c:pt idx="51">
                  <c:v>2025W52</c:v>
                </c:pt>
                <c:pt idx="52">
                  <c:v>2026W01</c:v>
                </c:pt>
                <c:pt idx="53">
                  <c:v>2026W02</c:v>
                </c:pt>
                <c:pt idx="54">
                  <c:v>2026W03</c:v>
                </c:pt>
                <c:pt idx="55">
                  <c:v>2026W04</c:v>
                </c:pt>
                <c:pt idx="56">
                  <c:v>2026W05</c:v>
                </c:pt>
                <c:pt idx="57">
                  <c:v>2026W06</c:v>
                </c:pt>
                <c:pt idx="58">
                  <c:v>2026W07</c:v>
                </c:pt>
                <c:pt idx="59">
                  <c:v>2026W08</c:v>
                </c:pt>
                <c:pt idx="60">
                  <c:v>2026W09</c:v>
                </c:pt>
                <c:pt idx="61">
                  <c:v>2026W10</c:v>
                </c:pt>
                <c:pt idx="62">
                  <c:v>2026W11</c:v>
                </c:pt>
                <c:pt idx="63">
                  <c:v>2026W12</c:v>
                </c:pt>
                <c:pt idx="64">
                  <c:v>2026W13</c:v>
                </c:pt>
                <c:pt idx="65">
                  <c:v>2026W14</c:v>
                </c:pt>
                <c:pt idx="66">
                  <c:v>2026W15</c:v>
                </c:pt>
                <c:pt idx="67">
                  <c:v>2026W16</c:v>
                </c:pt>
                <c:pt idx="68">
                  <c:v>2026W17</c:v>
                </c:pt>
                <c:pt idx="69">
                  <c:v>2026W18</c:v>
                </c:pt>
                <c:pt idx="70">
                  <c:v>2026W19</c:v>
                </c:pt>
                <c:pt idx="71">
                  <c:v>2026W20</c:v>
                </c:pt>
                <c:pt idx="72">
                  <c:v>2026W21</c:v>
                </c:pt>
                <c:pt idx="73">
                  <c:v>2026W22</c:v>
                </c:pt>
                <c:pt idx="74">
                  <c:v>2026W23</c:v>
                </c:pt>
                <c:pt idx="75">
                  <c:v>2026W24</c:v>
                </c:pt>
                <c:pt idx="76">
                  <c:v>2026W25</c:v>
                </c:pt>
                <c:pt idx="77">
                  <c:v>2026W26</c:v>
                </c:pt>
                <c:pt idx="78">
                  <c:v>2026W27</c:v>
                </c:pt>
                <c:pt idx="79">
                  <c:v>2026W28</c:v>
                </c:pt>
                <c:pt idx="80">
                  <c:v>2026W29</c:v>
                </c:pt>
                <c:pt idx="81">
                  <c:v>2026W30</c:v>
                </c:pt>
                <c:pt idx="82">
                  <c:v>2026W31</c:v>
                </c:pt>
                <c:pt idx="83">
                  <c:v>2026W32</c:v>
                </c:pt>
                <c:pt idx="84">
                  <c:v>2026W33</c:v>
                </c:pt>
                <c:pt idx="85">
                  <c:v>2026W34</c:v>
                </c:pt>
                <c:pt idx="86">
                  <c:v>2026W35</c:v>
                </c:pt>
                <c:pt idx="87">
                  <c:v>2026W36</c:v>
                </c:pt>
                <c:pt idx="88">
                  <c:v>2026W37</c:v>
                </c:pt>
                <c:pt idx="89">
                  <c:v>2026W38</c:v>
                </c:pt>
                <c:pt idx="90">
                  <c:v>2026W39</c:v>
                </c:pt>
                <c:pt idx="91">
                  <c:v>2026W40</c:v>
                </c:pt>
                <c:pt idx="92">
                  <c:v>2026W41</c:v>
                </c:pt>
                <c:pt idx="93">
                  <c:v>2026W42</c:v>
                </c:pt>
                <c:pt idx="94">
                  <c:v>2026W43</c:v>
                </c:pt>
                <c:pt idx="95">
                  <c:v>2026W44</c:v>
                </c:pt>
              </c:strCache>
            </c:strRef>
          </c:cat>
          <c:val>
            <c:numRef>
              <c:extLst>
                <c:ext xmlns:c15="http://schemas.microsoft.com/office/drawing/2012/chart" uri="{02D57815-91ED-43cb-92C2-25804820EDAC}">
                  <c15:fullRef>
                    <c15:sqref>Historic!$G$2:$G$119</c15:sqref>
                  </c15:fullRef>
                </c:ext>
              </c:extLst>
              <c:f>Historic!$G$2:$G$111</c:f>
              <c:numCache>
                <c:formatCode>General</c:formatCode>
                <c:ptCount val="96"/>
                <c:pt idx="0">
                  <c:v>10</c:v>
                </c:pt>
                <c:pt idx="1">
                  <c:v>9</c:v>
                </c:pt>
                <c:pt idx="2">
                  <c:v>11</c:v>
                </c:pt>
                <c:pt idx="3">
                  <c:v>12</c:v>
                </c:pt>
                <c:pt idx="4">
                  <c:v>12</c:v>
                </c:pt>
                <c:pt idx="5">
                  <c:v>10</c:v>
                </c:pt>
                <c:pt idx="6">
                  <c:v>15</c:v>
                </c:pt>
                <c:pt idx="7">
                  <c:v>13</c:v>
                </c:pt>
                <c:pt idx="8">
                  <c:v>12</c:v>
                </c:pt>
                <c:pt idx="9">
                  <c:v>11</c:v>
                </c:pt>
                <c:pt idx="10">
                  <c:v>10</c:v>
                </c:pt>
                <c:pt idx="11">
                  <c:v>12</c:v>
                </c:pt>
                <c:pt idx="12">
                  <c:v>11</c:v>
                </c:pt>
                <c:pt idx="13">
                  <c:v>10</c:v>
                </c:pt>
                <c:pt idx="14">
                  <c:v>11</c:v>
                </c:pt>
                <c:pt idx="15">
                  <c:v>12</c:v>
                </c:pt>
                <c:pt idx="16">
                  <c:v>15</c:v>
                </c:pt>
                <c:pt idx="17">
                  <c:v>13</c:v>
                </c:pt>
                <c:pt idx="18">
                  <c:v>13</c:v>
                </c:pt>
                <c:pt idx="19">
                  <c:v>9</c:v>
                </c:pt>
                <c:pt idx="20">
                  <c:v>10</c:v>
                </c:pt>
                <c:pt idx="21">
                  <c:v>11</c:v>
                </c:pt>
                <c:pt idx="22">
                  <c:v>9</c:v>
                </c:pt>
                <c:pt idx="23">
                  <c:v>10</c:v>
                </c:pt>
                <c:pt idx="24">
                  <c:v>16</c:v>
                </c:pt>
                <c:pt idx="25">
                  <c:v>17</c:v>
                </c:pt>
                <c:pt idx="26">
                  <c:v>17</c:v>
                </c:pt>
                <c:pt idx="27">
                  <c:v>15</c:v>
                </c:pt>
                <c:pt idx="28">
                  <c:v>11</c:v>
                </c:pt>
                <c:pt idx="29">
                  <c:v>9</c:v>
                </c:pt>
                <c:pt idx="30">
                  <c:v>7</c:v>
                </c:pt>
                <c:pt idx="31">
                  <c:v>8</c:v>
                </c:pt>
                <c:pt idx="32">
                  <c:v>7</c:v>
                </c:pt>
                <c:pt idx="33">
                  <c:v>6</c:v>
                </c:pt>
                <c:pt idx="34">
                  <c:v>4</c:v>
                </c:pt>
                <c:pt idx="35">
                  <c:v>4</c:v>
                </c:pt>
                <c:pt idx="36">
                  <c:v>9</c:v>
                </c:pt>
                <c:pt idx="37">
                  <c:v>9</c:v>
                </c:pt>
                <c:pt idx="38">
                  <c:v>7</c:v>
                </c:pt>
                <c:pt idx="39">
                  <c:v>9</c:v>
                </c:pt>
                <c:pt idx="40">
                  <c:v>10</c:v>
                </c:pt>
                <c:pt idx="41">
                  <c:v>10</c:v>
                </c:pt>
                <c:pt idx="42">
                  <c:v>9</c:v>
                </c:pt>
                <c:pt idx="43">
                  <c:v>10</c:v>
                </c:pt>
                <c:pt idx="44">
                  <c:v>13</c:v>
                </c:pt>
                <c:pt idx="45">
                  <c:v>10</c:v>
                </c:pt>
                <c:pt idx="46">
                  <c:v>11</c:v>
                </c:pt>
                <c:pt idx="47">
                  <c:v>10</c:v>
                </c:pt>
                <c:pt idx="48">
                  <c:v>11</c:v>
                </c:pt>
                <c:pt idx="49">
                  <c:v>5</c:v>
                </c:pt>
                <c:pt idx="50">
                  <c:v>3</c:v>
                </c:pt>
                <c:pt idx="51">
                  <c:v>3</c:v>
                </c:pt>
                <c:pt idx="52">
                  <c:v>2</c:v>
                </c:pt>
                <c:pt idx="53">
                  <c:v>3</c:v>
                </c:pt>
                <c:pt idx="54">
                  <c:v>6</c:v>
                </c:pt>
                <c:pt idx="55">
                  <c:v>6</c:v>
                </c:pt>
                <c:pt idx="56">
                  <c:v>7</c:v>
                </c:pt>
                <c:pt idx="57">
                  <c:v>6</c:v>
                </c:pt>
                <c:pt idx="58">
                  <c:v>5</c:v>
                </c:pt>
                <c:pt idx="59">
                  <c:v>6</c:v>
                </c:pt>
                <c:pt idx="60">
                  <c:v>5</c:v>
                </c:pt>
                <c:pt idx="61">
                  <c:v>4</c:v>
                </c:pt>
                <c:pt idx="62">
                  <c:v>3</c:v>
                </c:pt>
                <c:pt idx="63">
                  <c:v>4</c:v>
                </c:pt>
                <c:pt idx="64">
                  <c:v>2</c:v>
                </c:pt>
                <c:pt idx="65">
                  <c:v>3</c:v>
                </c:pt>
                <c:pt idx="66">
                  <c:v>4</c:v>
                </c:pt>
                <c:pt idx="67">
                  <c:v>1</c:v>
                </c:pt>
                <c:pt idx="68">
                  <c:v>2</c:v>
                </c:pt>
                <c:pt idx="69">
                  <c:v>3</c:v>
                </c:pt>
                <c:pt idx="70">
                  <c:v>3</c:v>
                </c:pt>
                <c:pt idx="71">
                  <c:v>3</c:v>
                </c:pt>
                <c:pt idx="72">
                  <c:v>5</c:v>
                </c:pt>
                <c:pt idx="73">
                  <c:v>2</c:v>
                </c:pt>
                <c:pt idx="74">
                  <c:v>4</c:v>
                </c:pt>
                <c:pt idx="75">
                  <c:v>3</c:v>
                </c:pt>
                <c:pt idx="76">
                  <c:v>4</c:v>
                </c:pt>
                <c:pt idx="77">
                  <c:v>3</c:v>
                </c:pt>
                <c:pt idx="78">
                  <c:v>2</c:v>
                </c:pt>
                <c:pt idx="79">
                  <c:v>2</c:v>
                </c:pt>
                <c:pt idx="80">
                  <c:v>4</c:v>
                </c:pt>
                <c:pt idx="81">
                  <c:v>4</c:v>
                </c:pt>
                <c:pt idx="82">
                  <c:v>3</c:v>
                </c:pt>
                <c:pt idx="83">
                  <c:v>5</c:v>
                </c:pt>
                <c:pt idx="84">
                  <c:v>5</c:v>
                </c:pt>
                <c:pt idx="85">
                  <c:v>3</c:v>
                </c:pt>
                <c:pt idx="86">
                  <c:v>2</c:v>
                </c:pt>
                <c:pt idx="87">
                  <c:v>2</c:v>
                </c:pt>
                <c:pt idx="88">
                  <c:v>2</c:v>
                </c:pt>
                <c:pt idx="89">
                  <c:v>3</c:v>
                </c:pt>
                <c:pt idx="90">
                  <c:v>4</c:v>
                </c:pt>
              </c:numCache>
            </c:numRef>
          </c:val>
          <c:extLst>
            <c:ext xmlns:c16="http://schemas.microsoft.com/office/drawing/2014/chart" uri="{C3380CC4-5D6E-409C-BE32-E72D297353CC}">
              <c16:uniqueId val="{00000001-B721-450D-843B-4A123803820D}"/>
            </c:ext>
          </c:extLst>
        </c:ser>
        <c:dLbls>
          <c:dLblPos val="ctr"/>
          <c:showLegendKey val="0"/>
          <c:showVal val="1"/>
          <c:showCatName val="0"/>
          <c:showSerName val="0"/>
          <c:showPercent val="0"/>
          <c:showBubbleSize val="0"/>
        </c:dLbls>
        <c:gapWidth val="150"/>
        <c:overlap val="100"/>
        <c:axId val="1170091967"/>
        <c:axId val="1170090047"/>
      </c:barChart>
      <c:lineChart>
        <c:grouping val="standard"/>
        <c:varyColors val="0"/>
        <c:ser>
          <c:idx val="3"/>
          <c:order val="3"/>
          <c:tx>
            <c:strRef>
              <c:f>Historic!$K$1</c:f>
              <c:strCache>
                <c:ptCount val="1"/>
                <c:pt idx="0">
                  <c:v>MÉDIA ACUMULADA</c:v>
                </c:pt>
              </c:strCache>
            </c:strRef>
          </c:tx>
          <c:spPr>
            <a:ln w="12700" cap="rnd">
              <a:solidFill>
                <a:srgbClr val="FF0000"/>
              </a:solidFill>
              <a:prstDash val="sysDash"/>
              <a:round/>
            </a:ln>
            <a:effectLst/>
          </c:spPr>
          <c:marker>
            <c:symbol val="none"/>
          </c:marker>
          <c:cat>
            <c:strRef>
              <c:extLst>
                <c:ext xmlns:c15="http://schemas.microsoft.com/office/drawing/2012/chart" uri="{02D57815-91ED-43cb-92C2-25804820EDAC}">
                  <c15:fullRef>
                    <c15:sqref>Historic!$A$2:$A$119</c15:sqref>
                  </c15:fullRef>
                </c:ext>
              </c:extLst>
              <c:f>Historic!$A$2:$A$111</c:f>
              <c:strCache>
                <c:ptCount val="96"/>
                <c:pt idx="0">
                  <c:v>2025W01</c:v>
                </c:pt>
                <c:pt idx="1">
                  <c:v>2025W02</c:v>
                </c:pt>
                <c:pt idx="2">
                  <c:v>2025W03</c:v>
                </c:pt>
                <c:pt idx="3">
                  <c:v>2025W04</c:v>
                </c:pt>
                <c:pt idx="4">
                  <c:v>2025W05</c:v>
                </c:pt>
                <c:pt idx="5">
                  <c:v>2025W06</c:v>
                </c:pt>
                <c:pt idx="6">
                  <c:v>2025W07</c:v>
                </c:pt>
                <c:pt idx="7">
                  <c:v>2025W08</c:v>
                </c:pt>
                <c:pt idx="8">
                  <c:v>2025W09</c:v>
                </c:pt>
                <c:pt idx="9">
                  <c:v>2025W10</c:v>
                </c:pt>
                <c:pt idx="10">
                  <c:v>2025W11</c:v>
                </c:pt>
                <c:pt idx="11">
                  <c:v>2025W12</c:v>
                </c:pt>
                <c:pt idx="12">
                  <c:v>2025W13</c:v>
                </c:pt>
                <c:pt idx="13">
                  <c:v>2025W14</c:v>
                </c:pt>
                <c:pt idx="14">
                  <c:v>2025W15</c:v>
                </c:pt>
                <c:pt idx="15">
                  <c:v>2025W16</c:v>
                </c:pt>
                <c:pt idx="16">
                  <c:v>2025W17</c:v>
                </c:pt>
                <c:pt idx="17">
                  <c:v>2025W18</c:v>
                </c:pt>
                <c:pt idx="18">
                  <c:v>2025W19</c:v>
                </c:pt>
                <c:pt idx="19">
                  <c:v>2025W20</c:v>
                </c:pt>
                <c:pt idx="20">
                  <c:v>2025W21</c:v>
                </c:pt>
                <c:pt idx="21">
                  <c:v>2025W22</c:v>
                </c:pt>
                <c:pt idx="22">
                  <c:v>2025W23</c:v>
                </c:pt>
                <c:pt idx="23">
                  <c:v>2025W24</c:v>
                </c:pt>
                <c:pt idx="24">
                  <c:v>2025W25</c:v>
                </c:pt>
                <c:pt idx="25">
                  <c:v>2025W26</c:v>
                </c:pt>
                <c:pt idx="26">
                  <c:v>2025W27</c:v>
                </c:pt>
                <c:pt idx="27">
                  <c:v>2025W28</c:v>
                </c:pt>
                <c:pt idx="28">
                  <c:v>2025W29</c:v>
                </c:pt>
                <c:pt idx="29">
                  <c:v>2025W30</c:v>
                </c:pt>
                <c:pt idx="30">
                  <c:v>2025W31</c:v>
                </c:pt>
                <c:pt idx="31">
                  <c:v>2025W32</c:v>
                </c:pt>
                <c:pt idx="32">
                  <c:v>2025W33</c:v>
                </c:pt>
                <c:pt idx="33">
                  <c:v>2025W34</c:v>
                </c:pt>
                <c:pt idx="34">
                  <c:v>2025W35</c:v>
                </c:pt>
                <c:pt idx="35">
                  <c:v>2025W36</c:v>
                </c:pt>
                <c:pt idx="36">
                  <c:v>2025W37</c:v>
                </c:pt>
                <c:pt idx="37">
                  <c:v>2025W38</c:v>
                </c:pt>
                <c:pt idx="38">
                  <c:v>2025W39</c:v>
                </c:pt>
                <c:pt idx="39">
                  <c:v>2025W40</c:v>
                </c:pt>
                <c:pt idx="40">
                  <c:v>2025W41</c:v>
                </c:pt>
                <c:pt idx="41">
                  <c:v>2025W42</c:v>
                </c:pt>
                <c:pt idx="42">
                  <c:v>2025W43</c:v>
                </c:pt>
                <c:pt idx="43">
                  <c:v>2025W44</c:v>
                </c:pt>
                <c:pt idx="44">
                  <c:v>2025W45</c:v>
                </c:pt>
                <c:pt idx="45">
                  <c:v>2025W46</c:v>
                </c:pt>
                <c:pt idx="46">
                  <c:v>2025W47</c:v>
                </c:pt>
                <c:pt idx="47">
                  <c:v>2025W48</c:v>
                </c:pt>
                <c:pt idx="48">
                  <c:v>2025W49</c:v>
                </c:pt>
                <c:pt idx="49">
                  <c:v>2025W50</c:v>
                </c:pt>
                <c:pt idx="50">
                  <c:v>2025W51</c:v>
                </c:pt>
                <c:pt idx="51">
                  <c:v>2025W52</c:v>
                </c:pt>
                <c:pt idx="52">
                  <c:v>2026W01</c:v>
                </c:pt>
                <c:pt idx="53">
                  <c:v>2026W02</c:v>
                </c:pt>
                <c:pt idx="54">
                  <c:v>2026W03</c:v>
                </c:pt>
                <c:pt idx="55">
                  <c:v>2026W04</c:v>
                </c:pt>
                <c:pt idx="56">
                  <c:v>2026W05</c:v>
                </c:pt>
                <c:pt idx="57">
                  <c:v>2026W06</c:v>
                </c:pt>
                <c:pt idx="58">
                  <c:v>2026W07</c:v>
                </c:pt>
                <c:pt idx="59">
                  <c:v>2026W08</c:v>
                </c:pt>
                <c:pt idx="60">
                  <c:v>2026W09</c:v>
                </c:pt>
                <c:pt idx="61">
                  <c:v>2026W10</c:v>
                </c:pt>
                <c:pt idx="62">
                  <c:v>2026W11</c:v>
                </c:pt>
                <c:pt idx="63">
                  <c:v>2026W12</c:v>
                </c:pt>
                <c:pt idx="64">
                  <c:v>2026W13</c:v>
                </c:pt>
                <c:pt idx="65">
                  <c:v>2026W14</c:v>
                </c:pt>
                <c:pt idx="66">
                  <c:v>2026W15</c:v>
                </c:pt>
                <c:pt idx="67">
                  <c:v>2026W16</c:v>
                </c:pt>
                <c:pt idx="68">
                  <c:v>2026W17</c:v>
                </c:pt>
                <c:pt idx="69">
                  <c:v>2026W18</c:v>
                </c:pt>
                <c:pt idx="70">
                  <c:v>2026W19</c:v>
                </c:pt>
                <c:pt idx="71">
                  <c:v>2026W20</c:v>
                </c:pt>
                <c:pt idx="72">
                  <c:v>2026W21</c:v>
                </c:pt>
                <c:pt idx="73">
                  <c:v>2026W22</c:v>
                </c:pt>
                <c:pt idx="74">
                  <c:v>2026W23</c:v>
                </c:pt>
                <c:pt idx="75">
                  <c:v>2026W24</c:v>
                </c:pt>
                <c:pt idx="76">
                  <c:v>2026W25</c:v>
                </c:pt>
                <c:pt idx="77">
                  <c:v>2026W26</c:v>
                </c:pt>
                <c:pt idx="78">
                  <c:v>2026W27</c:v>
                </c:pt>
                <c:pt idx="79">
                  <c:v>2026W28</c:v>
                </c:pt>
                <c:pt idx="80">
                  <c:v>2026W29</c:v>
                </c:pt>
                <c:pt idx="81">
                  <c:v>2026W30</c:v>
                </c:pt>
                <c:pt idx="82">
                  <c:v>2026W31</c:v>
                </c:pt>
                <c:pt idx="83">
                  <c:v>2026W32</c:v>
                </c:pt>
                <c:pt idx="84">
                  <c:v>2026W33</c:v>
                </c:pt>
                <c:pt idx="85">
                  <c:v>2026W34</c:v>
                </c:pt>
                <c:pt idx="86">
                  <c:v>2026W35</c:v>
                </c:pt>
                <c:pt idx="87">
                  <c:v>2026W36</c:v>
                </c:pt>
                <c:pt idx="88">
                  <c:v>2026W37</c:v>
                </c:pt>
                <c:pt idx="89">
                  <c:v>2026W38</c:v>
                </c:pt>
                <c:pt idx="90">
                  <c:v>2026W39</c:v>
                </c:pt>
                <c:pt idx="91">
                  <c:v>2026W40</c:v>
                </c:pt>
                <c:pt idx="92">
                  <c:v>2026W41</c:v>
                </c:pt>
                <c:pt idx="93">
                  <c:v>2026W42</c:v>
                </c:pt>
                <c:pt idx="94">
                  <c:v>2026W43</c:v>
                </c:pt>
                <c:pt idx="95">
                  <c:v>2026W44</c:v>
                </c:pt>
              </c:strCache>
            </c:strRef>
          </c:cat>
          <c:val>
            <c:numRef>
              <c:extLst>
                <c:ext xmlns:c15="http://schemas.microsoft.com/office/drawing/2012/chart" uri="{02D57815-91ED-43cb-92C2-25804820EDAC}">
                  <c15:fullRef>
                    <c15:sqref>Historic!$K$2:$K$119</c15:sqref>
                  </c15:fullRef>
                </c:ext>
              </c:extLst>
              <c:f>Historic!$K$2:$K$111</c:f>
              <c:numCache>
                <c:formatCode>0.0</c:formatCode>
                <c:ptCount val="96"/>
                <c:pt idx="0">
                  <c:v>12.6</c:v>
                </c:pt>
                <c:pt idx="1">
                  <c:v>12.5</c:v>
                </c:pt>
                <c:pt idx="2">
                  <c:v>12.529411764705882</c:v>
                </c:pt>
                <c:pt idx="3">
                  <c:v>12.666666666666666</c:v>
                </c:pt>
                <c:pt idx="4">
                  <c:v>12.789473684210526</c:v>
                </c:pt>
                <c:pt idx="5">
                  <c:v>12.8</c:v>
                </c:pt>
                <c:pt idx="6">
                  <c:v>13.047619047619047</c:v>
                </c:pt>
                <c:pt idx="7">
                  <c:v>13.136363636363637</c:v>
                </c:pt>
                <c:pt idx="8">
                  <c:v>13.173913043478262</c:v>
                </c:pt>
                <c:pt idx="9">
                  <c:v>13.166666666666666</c:v>
                </c:pt>
                <c:pt idx="10">
                  <c:v>13.12</c:v>
                </c:pt>
                <c:pt idx="11">
                  <c:v>13.153846153846153</c:v>
                </c:pt>
                <c:pt idx="12">
                  <c:v>13.148148148148149</c:v>
                </c:pt>
                <c:pt idx="13">
                  <c:v>13.107142857142858</c:v>
                </c:pt>
                <c:pt idx="14">
                  <c:v>13.103448275862069</c:v>
                </c:pt>
                <c:pt idx="15">
                  <c:v>13.133333333333333</c:v>
                </c:pt>
                <c:pt idx="16">
                  <c:v>13.225806451612904</c:v>
                </c:pt>
                <c:pt idx="17">
                  <c:v>13.25</c:v>
                </c:pt>
                <c:pt idx="18">
                  <c:v>13.030303030303031</c:v>
                </c:pt>
                <c:pt idx="19">
                  <c:v>13.147058823529411</c:v>
                </c:pt>
                <c:pt idx="20">
                  <c:v>13.085714285714285</c:v>
                </c:pt>
                <c:pt idx="21">
                  <c:v>13.055555555555555</c:v>
                </c:pt>
                <c:pt idx="22">
                  <c:v>13</c:v>
                </c:pt>
                <c:pt idx="23">
                  <c:v>12.947368421052632</c:v>
                </c:pt>
                <c:pt idx="24">
                  <c:v>13.051282051282051</c:v>
                </c:pt>
                <c:pt idx="25">
                  <c:v>13.175000000000001</c:v>
                </c:pt>
                <c:pt idx="26">
                  <c:v>13.292682926829269</c:v>
                </c:pt>
                <c:pt idx="27">
                  <c:v>13.357142857142858</c:v>
                </c:pt>
                <c:pt idx="28">
                  <c:v>13.325581395348838</c:v>
                </c:pt>
                <c:pt idx="29">
                  <c:v>13.25</c:v>
                </c:pt>
                <c:pt idx="30">
                  <c:v>13.111111111111111</c:v>
                </c:pt>
                <c:pt idx="31">
                  <c:v>13</c:v>
                </c:pt>
                <c:pt idx="32">
                  <c:v>12.872340425531915</c:v>
                </c:pt>
                <c:pt idx="33">
                  <c:v>12.729166666666666</c:v>
                </c:pt>
                <c:pt idx="34">
                  <c:v>12.551020408163266</c:v>
                </c:pt>
                <c:pt idx="35">
                  <c:v>12.38</c:v>
                </c:pt>
                <c:pt idx="36">
                  <c:v>12.313725490196079</c:v>
                </c:pt>
                <c:pt idx="37">
                  <c:v>12.25</c:v>
                </c:pt>
                <c:pt idx="38">
                  <c:v>12.150943396226415</c:v>
                </c:pt>
                <c:pt idx="39">
                  <c:v>12.092592592592593</c:v>
                </c:pt>
                <c:pt idx="40">
                  <c:v>12.054545454545455</c:v>
                </c:pt>
                <c:pt idx="41">
                  <c:v>12.017857142857142</c:v>
                </c:pt>
                <c:pt idx="42">
                  <c:v>11.964912280701755</c:v>
                </c:pt>
                <c:pt idx="43">
                  <c:v>11.931034482758621</c:v>
                </c:pt>
                <c:pt idx="44">
                  <c:v>11.949152542372881</c:v>
                </c:pt>
                <c:pt idx="45">
                  <c:v>11.916666666666666</c:v>
                </c:pt>
                <c:pt idx="46">
                  <c:v>11.901639344262295</c:v>
                </c:pt>
                <c:pt idx="47">
                  <c:v>11.870967741935484</c:v>
                </c:pt>
                <c:pt idx="48">
                  <c:v>11.857142857142858</c:v>
                </c:pt>
                <c:pt idx="49">
                  <c:v>11.75</c:v>
                </c:pt>
                <c:pt idx="50">
                  <c:v>11.615384615384615</c:v>
                </c:pt>
                <c:pt idx="51">
                  <c:v>11.484848484848484</c:v>
                </c:pt>
                <c:pt idx="52">
                  <c:v>11.343283582089553</c:v>
                </c:pt>
                <c:pt idx="53">
                  <c:v>11.220588235294118</c:v>
                </c:pt>
                <c:pt idx="54">
                  <c:v>11.144927536231885</c:v>
                </c:pt>
                <c:pt idx="55">
                  <c:v>11.071428571428571</c:v>
                </c:pt>
                <c:pt idx="56">
                  <c:v>11.014084507042254</c:v>
                </c:pt>
                <c:pt idx="57">
                  <c:v>10.944444444444445</c:v>
                </c:pt>
                <c:pt idx="58">
                  <c:v>10.863013698630137</c:v>
                </c:pt>
                <c:pt idx="59">
                  <c:v>10.797297297297296</c:v>
                </c:pt>
                <c:pt idx="60">
                  <c:v>10.733333333333333</c:v>
                </c:pt>
                <c:pt idx="61">
                  <c:v>10.657894736842104</c:v>
                </c:pt>
                <c:pt idx="62">
                  <c:v>10.571428571428571</c:v>
                </c:pt>
                <c:pt idx="63">
                  <c:v>10.5</c:v>
                </c:pt>
                <c:pt idx="64">
                  <c:v>10.39240506329114</c:v>
                </c:pt>
                <c:pt idx="65">
                  <c:v>10.3125</c:v>
                </c:pt>
                <c:pt idx="66">
                  <c:v>10.246913580246913</c:v>
                </c:pt>
                <c:pt idx="67">
                  <c:v>10.146341463414634</c:v>
                </c:pt>
                <c:pt idx="68">
                  <c:v>10.060240963855422</c:v>
                </c:pt>
                <c:pt idx="69">
                  <c:v>9.9880952380952372</c:v>
                </c:pt>
                <c:pt idx="70">
                  <c:v>9.9176470588235297</c:v>
                </c:pt>
                <c:pt idx="71">
                  <c:v>9.8372093023255811</c:v>
                </c:pt>
                <c:pt idx="72">
                  <c:v>9.7931034482758612</c:v>
                </c:pt>
                <c:pt idx="73">
                  <c:v>9.704545454545455</c:v>
                </c:pt>
                <c:pt idx="74">
                  <c:v>9.6404494382022463</c:v>
                </c:pt>
                <c:pt idx="75">
                  <c:v>9.5666666666666664</c:v>
                </c:pt>
                <c:pt idx="76">
                  <c:v>9.5054945054945055</c:v>
                </c:pt>
                <c:pt idx="77">
                  <c:v>9.4347826086956523</c:v>
                </c:pt>
                <c:pt idx="78">
                  <c:v>9.3548387096774199</c:v>
                </c:pt>
                <c:pt idx="79">
                  <c:v>9.2765957446808507</c:v>
                </c:pt>
                <c:pt idx="80">
                  <c:v>9.2210526315789476</c:v>
                </c:pt>
              </c:numCache>
            </c:numRef>
          </c:val>
          <c:smooth val="0"/>
          <c:extLst>
            <c:ext xmlns:c16="http://schemas.microsoft.com/office/drawing/2014/chart" uri="{C3380CC4-5D6E-409C-BE32-E72D297353CC}">
              <c16:uniqueId val="{00000002-B721-450D-843B-4A123803820D}"/>
            </c:ext>
          </c:extLst>
        </c:ser>
        <c:dLbls>
          <c:showLegendKey val="0"/>
          <c:showVal val="0"/>
          <c:showCatName val="0"/>
          <c:showSerName val="0"/>
          <c:showPercent val="0"/>
          <c:showBubbleSize val="0"/>
        </c:dLbls>
        <c:marker val="1"/>
        <c:smooth val="0"/>
        <c:axId val="1170091967"/>
        <c:axId val="1170090047"/>
      </c:lineChart>
      <c:lineChart>
        <c:grouping val="standard"/>
        <c:varyColors val="0"/>
        <c:ser>
          <c:idx val="2"/>
          <c:order val="2"/>
          <c:tx>
            <c:strRef>
              <c:f>Historic!$I$1</c:f>
              <c:strCache>
                <c:ptCount val="1"/>
                <c:pt idx="0">
                  <c:v>Turbinas afetadas</c:v>
                </c:pt>
              </c:strCache>
            </c:strRef>
          </c:tx>
          <c:spPr>
            <a:ln w="28575" cap="rnd">
              <a:solidFill>
                <a:schemeClr val="accent3"/>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Historic!$A$2:$A$119</c15:sqref>
                  </c15:fullRef>
                </c:ext>
              </c:extLst>
              <c:f>Historic!$A$2:$A$111</c:f>
              <c:strCache>
                <c:ptCount val="96"/>
                <c:pt idx="0">
                  <c:v>2025W01</c:v>
                </c:pt>
                <c:pt idx="1">
                  <c:v>2025W02</c:v>
                </c:pt>
                <c:pt idx="2">
                  <c:v>2025W03</c:v>
                </c:pt>
                <c:pt idx="3">
                  <c:v>2025W04</c:v>
                </c:pt>
                <c:pt idx="4">
                  <c:v>2025W05</c:v>
                </c:pt>
                <c:pt idx="5">
                  <c:v>2025W06</c:v>
                </c:pt>
                <c:pt idx="6">
                  <c:v>2025W07</c:v>
                </c:pt>
                <c:pt idx="7">
                  <c:v>2025W08</c:v>
                </c:pt>
                <c:pt idx="8">
                  <c:v>2025W09</c:v>
                </c:pt>
                <c:pt idx="9">
                  <c:v>2025W10</c:v>
                </c:pt>
                <c:pt idx="10">
                  <c:v>2025W11</c:v>
                </c:pt>
                <c:pt idx="11">
                  <c:v>2025W12</c:v>
                </c:pt>
                <c:pt idx="12">
                  <c:v>2025W13</c:v>
                </c:pt>
                <c:pt idx="13">
                  <c:v>2025W14</c:v>
                </c:pt>
                <c:pt idx="14">
                  <c:v>2025W15</c:v>
                </c:pt>
                <c:pt idx="15">
                  <c:v>2025W16</c:v>
                </c:pt>
                <c:pt idx="16">
                  <c:v>2025W17</c:v>
                </c:pt>
                <c:pt idx="17">
                  <c:v>2025W18</c:v>
                </c:pt>
                <c:pt idx="18">
                  <c:v>2025W19</c:v>
                </c:pt>
                <c:pt idx="19">
                  <c:v>2025W20</c:v>
                </c:pt>
                <c:pt idx="20">
                  <c:v>2025W21</c:v>
                </c:pt>
                <c:pt idx="21">
                  <c:v>2025W22</c:v>
                </c:pt>
                <c:pt idx="22">
                  <c:v>2025W23</c:v>
                </c:pt>
                <c:pt idx="23">
                  <c:v>2025W24</c:v>
                </c:pt>
                <c:pt idx="24">
                  <c:v>2025W25</c:v>
                </c:pt>
                <c:pt idx="25">
                  <c:v>2025W26</c:v>
                </c:pt>
                <c:pt idx="26">
                  <c:v>2025W27</c:v>
                </c:pt>
                <c:pt idx="27">
                  <c:v>2025W28</c:v>
                </c:pt>
                <c:pt idx="28">
                  <c:v>2025W29</c:v>
                </c:pt>
                <c:pt idx="29">
                  <c:v>2025W30</c:v>
                </c:pt>
                <c:pt idx="30">
                  <c:v>2025W31</c:v>
                </c:pt>
                <c:pt idx="31">
                  <c:v>2025W32</c:v>
                </c:pt>
                <c:pt idx="32">
                  <c:v>2025W33</c:v>
                </c:pt>
                <c:pt idx="33">
                  <c:v>2025W34</c:v>
                </c:pt>
                <c:pt idx="34">
                  <c:v>2025W35</c:v>
                </c:pt>
                <c:pt idx="35">
                  <c:v>2025W36</c:v>
                </c:pt>
                <c:pt idx="36">
                  <c:v>2025W37</c:v>
                </c:pt>
                <c:pt idx="37">
                  <c:v>2025W38</c:v>
                </c:pt>
                <c:pt idx="38">
                  <c:v>2025W39</c:v>
                </c:pt>
                <c:pt idx="39">
                  <c:v>2025W40</c:v>
                </c:pt>
                <c:pt idx="40">
                  <c:v>2025W41</c:v>
                </c:pt>
                <c:pt idx="41">
                  <c:v>2025W42</c:v>
                </c:pt>
                <c:pt idx="42">
                  <c:v>2025W43</c:v>
                </c:pt>
                <c:pt idx="43">
                  <c:v>2025W44</c:v>
                </c:pt>
                <c:pt idx="44">
                  <c:v>2025W45</c:v>
                </c:pt>
                <c:pt idx="45">
                  <c:v>2025W46</c:v>
                </c:pt>
                <c:pt idx="46">
                  <c:v>2025W47</c:v>
                </c:pt>
                <c:pt idx="47">
                  <c:v>2025W48</c:v>
                </c:pt>
                <c:pt idx="48">
                  <c:v>2025W49</c:v>
                </c:pt>
                <c:pt idx="49">
                  <c:v>2025W50</c:v>
                </c:pt>
                <c:pt idx="50">
                  <c:v>2025W51</c:v>
                </c:pt>
                <c:pt idx="51">
                  <c:v>2025W52</c:v>
                </c:pt>
                <c:pt idx="52">
                  <c:v>2026W01</c:v>
                </c:pt>
                <c:pt idx="53">
                  <c:v>2026W02</c:v>
                </c:pt>
                <c:pt idx="54">
                  <c:v>2026W03</c:v>
                </c:pt>
                <c:pt idx="55">
                  <c:v>2026W04</c:v>
                </c:pt>
                <c:pt idx="56">
                  <c:v>2026W05</c:v>
                </c:pt>
                <c:pt idx="57">
                  <c:v>2026W06</c:v>
                </c:pt>
                <c:pt idx="58">
                  <c:v>2026W07</c:v>
                </c:pt>
                <c:pt idx="59">
                  <c:v>2026W08</c:v>
                </c:pt>
                <c:pt idx="60">
                  <c:v>2026W09</c:v>
                </c:pt>
                <c:pt idx="61">
                  <c:v>2026W10</c:v>
                </c:pt>
                <c:pt idx="62">
                  <c:v>2026W11</c:v>
                </c:pt>
                <c:pt idx="63">
                  <c:v>2026W12</c:v>
                </c:pt>
                <c:pt idx="64">
                  <c:v>2026W13</c:v>
                </c:pt>
                <c:pt idx="65">
                  <c:v>2026W14</c:v>
                </c:pt>
                <c:pt idx="66">
                  <c:v>2026W15</c:v>
                </c:pt>
                <c:pt idx="67">
                  <c:v>2026W16</c:v>
                </c:pt>
                <c:pt idx="68">
                  <c:v>2026W17</c:v>
                </c:pt>
                <c:pt idx="69">
                  <c:v>2026W18</c:v>
                </c:pt>
                <c:pt idx="70">
                  <c:v>2026W19</c:v>
                </c:pt>
                <c:pt idx="71">
                  <c:v>2026W20</c:v>
                </c:pt>
                <c:pt idx="72">
                  <c:v>2026W21</c:v>
                </c:pt>
                <c:pt idx="73">
                  <c:v>2026W22</c:v>
                </c:pt>
                <c:pt idx="74">
                  <c:v>2026W23</c:v>
                </c:pt>
                <c:pt idx="75">
                  <c:v>2026W24</c:v>
                </c:pt>
                <c:pt idx="76">
                  <c:v>2026W25</c:v>
                </c:pt>
                <c:pt idx="77">
                  <c:v>2026W26</c:v>
                </c:pt>
                <c:pt idx="78">
                  <c:v>2026W27</c:v>
                </c:pt>
                <c:pt idx="79">
                  <c:v>2026W28</c:v>
                </c:pt>
                <c:pt idx="80">
                  <c:v>2026W29</c:v>
                </c:pt>
                <c:pt idx="81">
                  <c:v>2026W30</c:v>
                </c:pt>
                <c:pt idx="82">
                  <c:v>2026W31</c:v>
                </c:pt>
                <c:pt idx="83">
                  <c:v>2026W32</c:v>
                </c:pt>
                <c:pt idx="84">
                  <c:v>2026W33</c:v>
                </c:pt>
                <c:pt idx="85">
                  <c:v>2026W34</c:v>
                </c:pt>
                <c:pt idx="86">
                  <c:v>2026W35</c:v>
                </c:pt>
                <c:pt idx="87">
                  <c:v>2026W36</c:v>
                </c:pt>
                <c:pt idx="88">
                  <c:v>2026W37</c:v>
                </c:pt>
                <c:pt idx="89">
                  <c:v>2026W38</c:v>
                </c:pt>
                <c:pt idx="90">
                  <c:v>2026W39</c:v>
                </c:pt>
                <c:pt idx="91">
                  <c:v>2026W40</c:v>
                </c:pt>
                <c:pt idx="92">
                  <c:v>2026W41</c:v>
                </c:pt>
                <c:pt idx="93">
                  <c:v>2026W42</c:v>
                </c:pt>
                <c:pt idx="94">
                  <c:v>2026W43</c:v>
                </c:pt>
                <c:pt idx="95">
                  <c:v>2026W44</c:v>
                </c:pt>
              </c:strCache>
            </c:strRef>
          </c:cat>
          <c:val>
            <c:numRef>
              <c:extLst>
                <c:ext xmlns:c15="http://schemas.microsoft.com/office/drawing/2012/chart" uri="{02D57815-91ED-43cb-92C2-25804820EDAC}">
                  <c15:fullRef>
                    <c15:sqref>Historic!$I$2:$I$119</c15:sqref>
                  </c15:fullRef>
                </c:ext>
              </c:extLst>
              <c:f>Historic!$I$2:$I$111</c:f>
              <c:numCache>
                <c:formatCode>General</c:formatCode>
                <c:ptCount val="96"/>
                <c:pt idx="0">
                  <c:v>32</c:v>
                </c:pt>
                <c:pt idx="1">
                  <c:v>33</c:v>
                </c:pt>
                <c:pt idx="2">
                  <c:v>34</c:v>
                </c:pt>
                <c:pt idx="3">
                  <c:v>35</c:v>
                </c:pt>
                <c:pt idx="4">
                  <c:v>36</c:v>
                </c:pt>
                <c:pt idx="5">
                  <c:v>43</c:v>
                </c:pt>
                <c:pt idx="6">
                  <c:v>44</c:v>
                </c:pt>
                <c:pt idx="7">
                  <c:v>49</c:v>
                </c:pt>
                <c:pt idx="8">
                  <c:v>53</c:v>
                </c:pt>
                <c:pt idx="9">
                  <c:v>55</c:v>
                </c:pt>
                <c:pt idx="10">
                  <c:v>57</c:v>
                </c:pt>
                <c:pt idx="11">
                  <c:v>60</c:v>
                </c:pt>
                <c:pt idx="12">
                  <c:v>61</c:v>
                </c:pt>
                <c:pt idx="13">
                  <c:v>62</c:v>
                </c:pt>
                <c:pt idx="14">
                  <c:v>65</c:v>
                </c:pt>
                <c:pt idx="15">
                  <c:v>69</c:v>
                </c:pt>
                <c:pt idx="16">
                  <c:v>69</c:v>
                </c:pt>
                <c:pt idx="17">
                  <c:v>70</c:v>
                </c:pt>
                <c:pt idx="18">
                  <c:v>72</c:v>
                </c:pt>
                <c:pt idx="19">
                  <c:v>74</c:v>
                </c:pt>
                <c:pt idx="20">
                  <c:v>76</c:v>
                </c:pt>
                <c:pt idx="21">
                  <c:v>76</c:v>
                </c:pt>
                <c:pt idx="22">
                  <c:v>78</c:v>
                </c:pt>
                <c:pt idx="23">
                  <c:v>87</c:v>
                </c:pt>
                <c:pt idx="24">
                  <c:v>87</c:v>
                </c:pt>
                <c:pt idx="25">
                  <c:v>88</c:v>
                </c:pt>
                <c:pt idx="26">
                  <c:v>90</c:v>
                </c:pt>
                <c:pt idx="27">
                  <c:v>91</c:v>
                </c:pt>
                <c:pt idx="28">
                  <c:v>93</c:v>
                </c:pt>
                <c:pt idx="29">
                  <c:v>93</c:v>
                </c:pt>
                <c:pt idx="30">
                  <c:v>94</c:v>
                </c:pt>
                <c:pt idx="31">
                  <c:v>96</c:v>
                </c:pt>
                <c:pt idx="32">
                  <c:v>97</c:v>
                </c:pt>
                <c:pt idx="33">
                  <c:v>98</c:v>
                </c:pt>
                <c:pt idx="34">
                  <c:v>102</c:v>
                </c:pt>
                <c:pt idx="35">
                  <c:v>104</c:v>
                </c:pt>
                <c:pt idx="36">
                  <c:v>107</c:v>
                </c:pt>
                <c:pt idx="37">
                  <c:v>107</c:v>
                </c:pt>
                <c:pt idx="38">
                  <c:v>109</c:v>
                </c:pt>
                <c:pt idx="39">
                  <c:v>112</c:v>
                </c:pt>
                <c:pt idx="40">
                  <c:v>113</c:v>
                </c:pt>
                <c:pt idx="41">
                  <c:v>115</c:v>
                </c:pt>
                <c:pt idx="42">
                  <c:v>117</c:v>
                </c:pt>
                <c:pt idx="43">
                  <c:v>120</c:v>
                </c:pt>
                <c:pt idx="44">
                  <c:v>120</c:v>
                </c:pt>
                <c:pt idx="45">
                  <c:v>121</c:v>
                </c:pt>
                <c:pt idx="46">
                  <c:v>122</c:v>
                </c:pt>
                <c:pt idx="47">
                  <c:v>125</c:v>
                </c:pt>
                <c:pt idx="48">
                  <c:v>126</c:v>
                </c:pt>
                <c:pt idx="49">
                  <c:v>128</c:v>
                </c:pt>
                <c:pt idx="50">
                  <c:v>132</c:v>
                </c:pt>
                <c:pt idx="51">
                  <c:v>132</c:v>
                </c:pt>
                <c:pt idx="52">
                  <c:v>133</c:v>
                </c:pt>
                <c:pt idx="53">
                  <c:v>137</c:v>
                </c:pt>
                <c:pt idx="54">
                  <c:v>139</c:v>
                </c:pt>
                <c:pt idx="55">
                  <c:v>143</c:v>
                </c:pt>
                <c:pt idx="56">
                  <c:v>144</c:v>
                </c:pt>
                <c:pt idx="57">
                  <c:v>146</c:v>
                </c:pt>
                <c:pt idx="58">
                  <c:v>151</c:v>
                </c:pt>
                <c:pt idx="59">
                  <c:v>152</c:v>
                </c:pt>
                <c:pt idx="60">
                  <c:v>153</c:v>
                </c:pt>
                <c:pt idx="61">
                  <c:v>156</c:v>
                </c:pt>
                <c:pt idx="62">
                  <c:v>157</c:v>
                </c:pt>
                <c:pt idx="63">
                  <c:v>157</c:v>
                </c:pt>
                <c:pt idx="64">
                  <c:v>157</c:v>
                </c:pt>
                <c:pt idx="65">
                  <c:v>157</c:v>
                </c:pt>
                <c:pt idx="66">
                  <c:v>157</c:v>
                </c:pt>
                <c:pt idx="67">
                  <c:v>157</c:v>
                </c:pt>
                <c:pt idx="68">
                  <c:v>157</c:v>
                </c:pt>
                <c:pt idx="69">
                  <c:v>157</c:v>
                </c:pt>
                <c:pt idx="70">
                  <c:v>157</c:v>
                </c:pt>
                <c:pt idx="71">
                  <c:v>157</c:v>
                </c:pt>
                <c:pt idx="72">
                  <c:v>157</c:v>
                </c:pt>
                <c:pt idx="73">
                  <c:v>157</c:v>
                </c:pt>
                <c:pt idx="74">
                  <c:v>157</c:v>
                </c:pt>
                <c:pt idx="75">
                  <c:v>157</c:v>
                </c:pt>
                <c:pt idx="76">
                  <c:v>157</c:v>
                </c:pt>
                <c:pt idx="77">
                  <c:v>157</c:v>
                </c:pt>
                <c:pt idx="78">
                  <c:v>157</c:v>
                </c:pt>
                <c:pt idx="79">
                  <c:v>157</c:v>
                </c:pt>
                <c:pt idx="80">
                  <c:v>157</c:v>
                </c:pt>
              </c:numCache>
            </c:numRef>
          </c:val>
          <c:smooth val="0"/>
          <c:extLst>
            <c:ext xmlns:c16="http://schemas.microsoft.com/office/drawing/2014/chart" uri="{C3380CC4-5D6E-409C-BE32-E72D297353CC}">
              <c16:uniqueId val="{00000003-B721-450D-843B-4A123803820D}"/>
            </c:ext>
          </c:extLst>
        </c:ser>
        <c:dLbls>
          <c:dLblPos val="ctr"/>
          <c:showLegendKey val="0"/>
          <c:showVal val="1"/>
          <c:showCatName val="0"/>
          <c:showSerName val="0"/>
          <c:showPercent val="0"/>
          <c:showBubbleSize val="0"/>
        </c:dLbls>
        <c:marker val="1"/>
        <c:smooth val="0"/>
        <c:axId val="1600383599"/>
        <c:axId val="1600383119"/>
      </c:lineChart>
      <c:catAx>
        <c:axId val="117009196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pt-BR"/>
                  <a:t>Semana</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pt-BR"/>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1170090047"/>
        <c:crosses val="autoZero"/>
        <c:auto val="1"/>
        <c:lblAlgn val="ctr"/>
        <c:lblOffset val="100"/>
        <c:noMultiLvlLbl val="0"/>
      </c:catAx>
      <c:valAx>
        <c:axId val="117009004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pt-BR"/>
                  <a:t>Número de turbinas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pt-BR"/>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1170091967"/>
        <c:crosses val="autoZero"/>
        <c:crossBetween val="between"/>
      </c:valAx>
      <c:valAx>
        <c:axId val="1600383119"/>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1600383599"/>
        <c:crosses val="max"/>
        <c:crossBetween val="between"/>
      </c:valAx>
      <c:catAx>
        <c:axId val="1600383599"/>
        <c:scaling>
          <c:orientation val="minMax"/>
        </c:scaling>
        <c:delete val="1"/>
        <c:axPos val="b"/>
        <c:numFmt formatCode="General" sourceLinked="1"/>
        <c:majorTickMark val="out"/>
        <c:minorTickMark val="none"/>
        <c:tickLblPos val="nextTo"/>
        <c:crossAx val="1600383119"/>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pivotSource>
    <c:name>[Stopped Turbines - Report.xlsx]Planilha4!Tabela dinâmica5</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t-BR"/>
              <a:t>Comparação</a:t>
            </a:r>
            <a:r>
              <a:rPr lang="pt-BR" baseline="0"/>
              <a:t> 2025 x 2026 - Nº de WTGs paradas +7 dias - Chapada Branca</a:t>
            </a:r>
            <a:endParaRPr lang="pt-B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BR"/>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6">
              <a:lumMod val="50000"/>
            </a:schemeClr>
          </a:solidFill>
          <a:ln>
            <a:no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pt-BR"/>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3">
              <a:lumMod val="20000"/>
              <a:lumOff val="80000"/>
            </a:schemeClr>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pivotFmt>
      <c:pivotFmt>
        <c:idx val="16"/>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6">
              <a:lumMod val="5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pt-BR"/>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6">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pt-BR"/>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pt-BR"/>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pt-BR"/>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pt-BR"/>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pt-BR"/>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5">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pt-BR"/>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5">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5">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5">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Planilha4!$B$3:$B$4</c:f>
              <c:strCache>
                <c:ptCount val="1"/>
                <c:pt idx="0">
                  <c:v>2025</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Planilha4!$A$5:$A$56</c:f>
              <c:strCache>
                <c:ptCount val="52"/>
                <c:pt idx="0">
                  <c:v>01</c:v>
                </c:pt>
                <c:pt idx="1">
                  <c:v>02</c:v>
                </c:pt>
                <c:pt idx="2">
                  <c:v>03</c:v>
                </c:pt>
                <c:pt idx="3">
                  <c:v>04</c:v>
                </c:pt>
                <c:pt idx="4">
                  <c:v>05</c:v>
                </c:pt>
                <c:pt idx="5">
                  <c:v>06</c:v>
                </c:pt>
                <c:pt idx="6">
                  <c:v>07</c:v>
                </c:pt>
                <c:pt idx="7">
                  <c:v>08</c:v>
                </c:pt>
                <c:pt idx="8">
                  <c:v>09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strCache>
            </c:strRef>
          </c:cat>
          <c:val>
            <c:numRef>
              <c:f>Planilha4!$B$5:$B$56</c:f>
              <c:numCache>
                <c:formatCode>General</c:formatCode>
                <c:ptCount val="52"/>
                <c:pt idx="0">
                  <c:v>12</c:v>
                </c:pt>
                <c:pt idx="1">
                  <c:v>11</c:v>
                </c:pt>
                <c:pt idx="2">
                  <c:v>13</c:v>
                </c:pt>
                <c:pt idx="3">
                  <c:v>15</c:v>
                </c:pt>
                <c:pt idx="4">
                  <c:v>15</c:v>
                </c:pt>
                <c:pt idx="5">
                  <c:v>13</c:v>
                </c:pt>
                <c:pt idx="6">
                  <c:v>18</c:v>
                </c:pt>
                <c:pt idx="7">
                  <c:v>15</c:v>
                </c:pt>
                <c:pt idx="8">
                  <c:v>14</c:v>
                </c:pt>
                <c:pt idx="9">
                  <c:v>13</c:v>
                </c:pt>
                <c:pt idx="10">
                  <c:v>12</c:v>
                </c:pt>
                <c:pt idx="11">
                  <c:v>14</c:v>
                </c:pt>
                <c:pt idx="12">
                  <c:v>13</c:v>
                </c:pt>
                <c:pt idx="13">
                  <c:v>12</c:v>
                </c:pt>
                <c:pt idx="14">
                  <c:v>13</c:v>
                </c:pt>
                <c:pt idx="15">
                  <c:v>14</c:v>
                </c:pt>
                <c:pt idx="16">
                  <c:v>16</c:v>
                </c:pt>
                <c:pt idx="17">
                  <c:v>14</c:v>
                </c:pt>
                <c:pt idx="18">
                  <c:v>14</c:v>
                </c:pt>
                <c:pt idx="19">
                  <c:v>9</c:v>
                </c:pt>
                <c:pt idx="20">
                  <c:v>11</c:v>
                </c:pt>
                <c:pt idx="21">
                  <c:v>12</c:v>
                </c:pt>
                <c:pt idx="22">
                  <c:v>11</c:v>
                </c:pt>
                <c:pt idx="23">
                  <c:v>11</c:v>
                </c:pt>
                <c:pt idx="24">
                  <c:v>17</c:v>
                </c:pt>
                <c:pt idx="25">
                  <c:v>18</c:v>
                </c:pt>
                <c:pt idx="26">
                  <c:v>18</c:v>
                </c:pt>
                <c:pt idx="27">
                  <c:v>16</c:v>
                </c:pt>
                <c:pt idx="28">
                  <c:v>12</c:v>
                </c:pt>
                <c:pt idx="29">
                  <c:v>10</c:v>
                </c:pt>
                <c:pt idx="30">
                  <c:v>7</c:v>
                </c:pt>
                <c:pt idx="31">
                  <c:v>8</c:v>
                </c:pt>
                <c:pt idx="32">
                  <c:v>7</c:v>
                </c:pt>
                <c:pt idx="33">
                  <c:v>6</c:v>
                </c:pt>
                <c:pt idx="34">
                  <c:v>4</c:v>
                </c:pt>
                <c:pt idx="35">
                  <c:v>4</c:v>
                </c:pt>
                <c:pt idx="36">
                  <c:v>9</c:v>
                </c:pt>
                <c:pt idx="37">
                  <c:v>9</c:v>
                </c:pt>
                <c:pt idx="38">
                  <c:v>7</c:v>
                </c:pt>
                <c:pt idx="39">
                  <c:v>9</c:v>
                </c:pt>
                <c:pt idx="40">
                  <c:v>10</c:v>
                </c:pt>
                <c:pt idx="41">
                  <c:v>10</c:v>
                </c:pt>
                <c:pt idx="42">
                  <c:v>9</c:v>
                </c:pt>
                <c:pt idx="43">
                  <c:v>10</c:v>
                </c:pt>
                <c:pt idx="44">
                  <c:v>13</c:v>
                </c:pt>
                <c:pt idx="45">
                  <c:v>10</c:v>
                </c:pt>
                <c:pt idx="46">
                  <c:v>11</c:v>
                </c:pt>
                <c:pt idx="47">
                  <c:v>10</c:v>
                </c:pt>
                <c:pt idx="48">
                  <c:v>11</c:v>
                </c:pt>
                <c:pt idx="49">
                  <c:v>5</c:v>
                </c:pt>
                <c:pt idx="50">
                  <c:v>3</c:v>
                </c:pt>
                <c:pt idx="51">
                  <c:v>3</c:v>
                </c:pt>
              </c:numCache>
            </c:numRef>
          </c:val>
          <c:extLst>
            <c:ext xmlns:c16="http://schemas.microsoft.com/office/drawing/2014/chart" uri="{C3380CC4-5D6E-409C-BE32-E72D297353CC}">
              <c16:uniqueId val="{00000000-17C7-4A3C-8163-CFECEE5865A4}"/>
            </c:ext>
          </c:extLst>
        </c:ser>
        <c:ser>
          <c:idx val="1"/>
          <c:order val="1"/>
          <c:tx>
            <c:strRef>
              <c:f>Planilha4!$C$3:$C$4</c:f>
              <c:strCache>
                <c:ptCount val="1"/>
                <c:pt idx="0">
                  <c:v>2026</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Planilha4!$A$5:$A$56</c:f>
              <c:strCache>
                <c:ptCount val="52"/>
                <c:pt idx="0">
                  <c:v>01</c:v>
                </c:pt>
                <c:pt idx="1">
                  <c:v>02</c:v>
                </c:pt>
                <c:pt idx="2">
                  <c:v>03</c:v>
                </c:pt>
                <c:pt idx="3">
                  <c:v>04</c:v>
                </c:pt>
                <c:pt idx="4">
                  <c:v>05</c:v>
                </c:pt>
                <c:pt idx="5">
                  <c:v>06</c:v>
                </c:pt>
                <c:pt idx="6">
                  <c:v>07</c:v>
                </c:pt>
                <c:pt idx="7">
                  <c:v>08</c:v>
                </c:pt>
                <c:pt idx="8">
                  <c:v>09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strCache>
            </c:strRef>
          </c:cat>
          <c:val>
            <c:numRef>
              <c:f>Planilha4!$C$5:$C$56</c:f>
              <c:numCache>
                <c:formatCode>General</c:formatCode>
                <c:ptCount val="52"/>
                <c:pt idx="0">
                  <c:v>2</c:v>
                </c:pt>
                <c:pt idx="1">
                  <c:v>3</c:v>
                </c:pt>
                <c:pt idx="2">
                  <c:v>6</c:v>
                </c:pt>
                <c:pt idx="3">
                  <c:v>6</c:v>
                </c:pt>
                <c:pt idx="4">
                  <c:v>7</c:v>
                </c:pt>
                <c:pt idx="5">
                  <c:v>6</c:v>
                </c:pt>
                <c:pt idx="6">
                  <c:v>5</c:v>
                </c:pt>
                <c:pt idx="7">
                  <c:v>6</c:v>
                </c:pt>
                <c:pt idx="8">
                  <c:v>6</c:v>
                </c:pt>
                <c:pt idx="9">
                  <c:v>5</c:v>
                </c:pt>
                <c:pt idx="10">
                  <c:v>4</c:v>
                </c:pt>
                <c:pt idx="11">
                  <c:v>5</c:v>
                </c:pt>
                <c:pt idx="12">
                  <c:v>2</c:v>
                </c:pt>
                <c:pt idx="13">
                  <c:v>4</c:v>
                </c:pt>
                <c:pt idx="14">
                  <c:v>5</c:v>
                </c:pt>
                <c:pt idx="15">
                  <c:v>2</c:v>
                </c:pt>
                <c:pt idx="16">
                  <c:v>3</c:v>
                </c:pt>
                <c:pt idx="17">
                  <c:v>4</c:v>
                </c:pt>
                <c:pt idx="18">
                  <c:v>4</c:v>
                </c:pt>
                <c:pt idx="19">
                  <c:v>3</c:v>
                </c:pt>
                <c:pt idx="20">
                  <c:v>6</c:v>
                </c:pt>
                <c:pt idx="21">
                  <c:v>2</c:v>
                </c:pt>
                <c:pt idx="22">
                  <c:v>4</c:v>
                </c:pt>
                <c:pt idx="23">
                  <c:v>3</c:v>
                </c:pt>
                <c:pt idx="24">
                  <c:v>4</c:v>
                </c:pt>
                <c:pt idx="25">
                  <c:v>3</c:v>
                </c:pt>
                <c:pt idx="26">
                  <c:v>2</c:v>
                </c:pt>
                <c:pt idx="27">
                  <c:v>2</c:v>
                </c:pt>
                <c:pt idx="28">
                  <c:v>4</c:v>
                </c:pt>
                <c:pt idx="29">
                  <c:v>4</c:v>
                </c:pt>
                <c:pt idx="30">
                  <c:v>3</c:v>
                </c:pt>
                <c:pt idx="31">
                  <c:v>6</c:v>
                </c:pt>
                <c:pt idx="32">
                  <c:v>6</c:v>
                </c:pt>
                <c:pt idx="33">
                  <c:v>3</c:v>
                </c:pt>
                <c:pt idx="34">
                  <c:v>2</c:v>
                </c:pt>
                <c:pt idx="35">
                  <c:v>3</c:v>
                </c:pt>
                <c:pt idx="36">
                  <c:v>2</c:v>
                </c:pt>
                <c:pt idx="37">
                  <c:v>4</c:v>
                </c:pt>
                <c:pt idx="38">
                  <c:v>4</c:v>
                </c:pt>
                <c:pt idx="39">
                  <c:v>0</c:v>
                </c:pt>
                <c:pt idx="40">
                  <c:v>0</c:v>
                </c:pt>
                <c:pt idx="41">
                  <c:v>0</c:v>
                </c:pt>
                <c:pt idx="42">
                  <c:v>0</c:v>
                </c:pt>
                <c:pt idx="43">
                  <c:v>0</c:v>
                </c:pt>
                <c:pt idx="44">
                  <c:v>0</c:v>
                </c:pt>
                <c:pt idx="45">
                  <c:v>0</c:v>
                </c:pt>
                <c:pt idx="46">
                  <c:v>0</c:v>
                </c:pt>
                <c:pt idx="47">
                  <c:v>0</c:v>
                </c:pt>
                <c:pt idx="48">
                  <c:v>0</c:v>
                </c:pt>
                <c:pt idx="49">
                  <c:v>0</c:v>
                </c:pt>
                <c:pt idx="50">
                  <c:v>0</c:v>
                </c:pt>
                <c:pt idx="51">
                  <c:v>0</c:v>
                </c:pt>
              </c:numCache>
            </c:numRef>
          </c:val>
          <c:extLst>
            <c:ext xmlns:c16="http://schemas.microsoft.com/office/drawing/2014/chart" uri="{C3380CC4-5D6E-409C-BE32-E72D297353CC}">
              <c16:uniqueId val="{00000004-F3AA-4014-9418-97235EE4FF6B}"/>
            </c:ext>
          </c:extLst>
        </c:ser>
        <c:dLbls>
          <c:dLblPos val="ctr"/>
          <c:showLegendKey val="0"/>
          <c:showVal val="1"/>
          <c:showCatName val="0"/>
          <c:showSerName val="0"/>
          <c:showPercent val="0"/>
          <c:showBubbleSize val="0"/>
        </c:dLbls>
        <c:gapWidth val="219"/>
        <c:axId val="2109945056"/>
        <c:axId val="2109938336"/>
      </c:barChart>
      <c:catAx>
        <c:axId val="21099450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pt-BR"/>
                  <a:t>Semana</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pt-BR"/>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2109938336"/>
        <c:crosses val="autoZero"/>
        <c:auto val="1"/>
        <c:lblAlgn val="ctr"/>
        <c:lblOffset val="100"/>
        <c:noMultiLvlLbl val="0"/>
      </c:catAx>
      <c:valAx>
        <c:axId val="210993833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pt-BR"/>
                  <a:t>Nº</a:t>
                </a:r>
                <a:r>
                  <a:rPr lang="pt-BR" baseline="0"/>
                  <a:t> de WTGs </a:t>
                </a:r>
                <a:endParaRPr lang="pt-B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pt-BR"/>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210994505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3" Type="http://schemas.openxmlformats.org/officeDocument/2006/relationships/chart" Target="../charts/chart5.xml"/><Relationship Id="rId7" Type="http://schemas.openxmlformats.org/officeDocument/2006/relationships/hyperlink" Target="#'Fonte de Dados - Essentia'!A1"/><Relationship Id="rId2" Type="http://schemas.openxmlformats.org/officeDocument/2006/relationships/chart" Target="../charts/chart4.xml"/><Relationship Id="rId1" Type="http://schemas.openxmlformats.org/officeDocument/2006/relationships/chart" Target="../charts/chart3.xml"/><Relationship Id="rId6" Type="http://schemas.openxmlformats.org/officeDocument/2006/relationships/image" Target="../media/image2.jpeg"/><Relationship Id="rId5" Type="http://schemas.openxmlformats.org/officeDocument/2006/relationships/image" Target="../media/image1.png"/><Relationship Id="rId4" Type="http://schemas.openxmlformats.org/officeDocument/2006/relationships/chart" Target="../charts/chart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1" Type="http://schemas.openxmlformats.org/officeDocument/2006/relationships/chart" Target="../charts/chart8.xml"/></Relationships>
</file>

<file path=xl/drawings/_rels/drawing6.xml.rels><?xml version="1.0" encoding="UTF-8" standalone="yes"?>
<Relationships xmlns="http://schemas.openxmlformats.org/package/2006/relationships"><Relationship Id="rId1" Type="http://schemas.openxmlformats.org/officeDocument/2006/relationships/chart" Target="../charts/chart9.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8.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3.png"/></Relationships>
</file>

<file path=xl/drawings/_rels/drawing9.xml.rels><?xml version="1.0" encoding="UTF-8" standalone="yes"?>
<Relationships xmlns="http://schemas.openxmlformats.org/package/2006/relationships"><Relationship Id="rId3" Type="http://schemas.openxmlformats.org/officeDocument/2006/relationships/chart" Target="../charts/chart13.xml"/><Relationship Id="rId7" Type="http://schemas.openxmlformats.org/officeDocument/2006/relationships/hyperlink" Target="#'Fonte de Dados - Auren'!A1"/><Relationship Id="rId2" Type="http://schemas.openxmlformats.org/officeDocument/2006/relationships/chart" Target="../charts/chart12.xml"/><Relationship Id="rId1" Type="http://schemas.openxmlformats.org/officeDocument/2006/relationships/chart" Target="../charts/chart11.xml"/><Relationship Id="rId6" Type="http://schemas.openxmlformats.org/officeDocument/2006/relationships/image" Target="../media/image5.png"/><Relationship Id="rId5" Type="http://schemas.openxmlformats.org/officeDocument/2006/relationships/chart" Target="../charts/chart14.xml"/><Relationship Id="rId4" Type="http://schemas.openxmlformats.org/officeDocument/2006/relationships/image" Target="../media/image4.png"/></Relationships>
</file>

<file path=xl/drawings/_rels/drawing10.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chart" Target="../charts/chart15.xml"/></Relationships>
</file>

<file path=xl/drawings/_rels/drawing12.xml.rels><?xml version="1.0" encoding="UTF-8" standalone="yes"?>
<Relationships xmlns="http://schemas.openxmlformats.org/package/2006/relationships"><Relationship Id="rId3" Type="http://schemas.openxmlformats.org/officeDocument/2006/relationships/chart" Target="../charts/chart18.xml"/><Relationship Id="rId2" Type="http://schemas.openxmlformats.org/officeDocument/2006/relationships/chart" Target="../charts/chart17.xml"/><Relationship Id="rId1" Type="http://schemas.openxmlformats.org/officeDocument/2006/relationships/chart" Target="../charts/chart16.xml"/><Relationship Id="rId4" Type="http://schemas.openxmlformats.org/officeDocument/2006/relationships/chart" Target="../charts/chart19.xml"/></Relationships>
</file>

<file path=xl/drawings/drawing1.xml><?xml version="1.0" encoding="utf-8"?>
<xdr:wsDr xmlns:xdr="http://schemas.openxmlformats.org/drawingml/2006/spreadsheetDrawing" xmlns:a="http://schemas.openxmlformats.org/drawingml/2006/main">
  <xdr:twoCellAnchor>
    <xdr:from>
      <xdr:col>1</xdr:col>
      <xdr:colOff>0</xdr:colOff>
      <xdr:row>16</xdr:row>
      <xdr:rowOff>26670</xdr:rowOff>
    </xdr:from>
    <xdr:to>
      <xdr:col>8</xdr:col>
      <xdr:colOff>0</xdr:colOff>
      <xdr:row>30</xdr:row>
      <xdr:rowOff>59055</xdr:rowOff>
    </xdr:to>
    <xdr:graphicFrame macro="">
      <xdr:nvGraphicFramePr>
        <xdr:cNvPr id="2" name="GraficoComparativo">
          <a:extLst>
            <a:ext uri="{FF2B5EF4-FFF2-40B4-BE49-F238E27FC236}">
              <a16:creationId xmlns:a16="http://schemas.microsoft.com/office/drawing/2014/main" id="{7159725F-6794-24F9-436B-183B05FCD65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875851</xdr:colOff>
      <xdr:row>29</xdr:row>
      <xdr:rowOff>24331</xdr:rowOff>
    </xdr:from>
    <xdr:to>
      <xdr:col>7</xdr:col>
      <xdr:colOff>2719943</xdr:colOff>
      <xdr:row>55</xdr:row>
      <xdr:rowOff>154612</xdr:rowOff>
    </xdr:to>
    <xdr:graphicFrame macro="">
      <xdr:nvGraphicFramePr>
        <xdr:cNvPr id="5" name="Gráfico 4">
          <a:extLst>
            <a:ext uri="{FF2B5EF4-FFF2-40B4-BE49-F238E27FC236}">
              <a16:creationId xmlns:a16="http://schemas.microsoft.com/office/drawing/2014/main" id="{717B3761-E67B-4D20-925D-7861976DC6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259977</xdr:colOff>
      <xdr:row>5</xdr:row>
      <xdr:rowOff>16585</xdr:rowOff>
    </xdr:from>
    <xdr:to>
      <xdr:col>2</xdr:col>
      <xdr:colOff>246642</xdr:colOff>
      <xdr:row>13</xdr:row>
      <xdr:rowOff>35218</xdr:rowOff>
    </xdr:to>
    <mc:AlternateContent xmlns:mc="http://schemas.openxmlformats.org/markup-compatibility/2006" xmlns:a14="http://schemas.microsoft.com/office/drawing/2010/main">
      <mc:Choice Requires="a14">
        <xdr:graphicFrame macro="">
          <xdr:nvGraphicFramePr>
            <xdr:cNvPr id="6" name="Site">
              <a:extLst>
                <a:ext uri="{FF2B5EF4-FFF2-40B4-BE49-F238E27FC236}">
                  <a16:creationId xmlns:a16="http://schemas.microsoft.com/office/drawing/2014/main" id="{F41A2A0E-4CA4-738B-F16D-62ADDDC79799}"/>
                </a:ext>
              </a:extLst>
            </xdr:cNvPr>
            <xdr:cNvGraphicFramePr/>
          </xdr:nvGraphicFramePr>
          <xdr:xfrm>
            <a:off x="0" y="0"/>
            <a:ext cx="0" cy="0"/>
          </xdr:xfrm>
          <a:graphic>
            <a:graphicData uri="http://schemas.microsoft.com/office/drawing/2010/slicer">
              <sle:slicer xmlns:sle="http://schemas.microsoft.com/office/drawing/2010/slicer" name="Site"/>
            </a:graphicData>
          </a:graphic>
        </xdr:graphicFrame>
      </mc:Choice>
      <mc:Fallback xmlns="">
        <xdr:sp macro="" textlink="">
          <xdr:nvSpPr>
            <xdr:cNvPr id="0" name=""/>
            <xdr:cNvSpPr>
              <a:spLocks noTextEdit="1"/>
            </xdr:cNvSpPr>
          </xdr:nvSpPr>
          <xdr:spPr>
            <a:xfrm>
              <a:off x="259977" y="756814"/>
              <a:ext cx="1828800" cy="1499090"/>
            </a:xfrm>
            <a:prstGeom prst="rect">
              <a:avLst/>
            </a:prstGeom>
            <a:solidFill>
              <a:prstClr val="white"/>
            </a:solidFill>
            <a:ln w="1">
              <a:solidFill>
                <a:prstClr val="green"/>
              </a:solidFill>
            </a:ln>
          </xdr:spPr>
          <xdr:txBody>
            <a:bodyPr vertOverflow="clip" horzOverflow="clip"/>
            <a:lstStyle/>
            <a:p>
              <a:r>
                <a:rPr lang="pt-BR" sz="1100"/>
                <a:t>Esta forma representa uma segmentação de dados. Segmentações de dados têm suporte no Excel 2010 ou versões posteriores.
\Se a forma tiver sido modificada em uma versão anterior do Excel, ou se a pasta de trabalho tiver sido salva no Excel 2003 ou versões anteriores, a segmentação de dados não poderá ser usada.</a:t>
              </a:r>
            </a:p>
          </xdr:txBody>
        </xdr:sp>
      </mc:Fallback>
    </mc:AlternateContent>
    <xdr:clientData/>
  </xdr:twoCellAnchor>
  <xdr:twoCellAnchor editAs="oneCell">
    <xdr:from>
      <xdr:col>0</xdr:col>
      <xdr:colOff>382088</xdr:colOff>
      <xdr:row>29</xdr:row>
      <xdr:rowOff>162197</xdr:rowOff>
    </xdr:from>
    <xdr:to>
      <xdr:col>2</xdr:col>
      <xdr:colOff>382088</xdr:colOff>
      <xdr:row>43</xdr:row>
      <xdr:rowOff>152672</xdr:rowOff>
    </xdr:to>
    <mc:AlternateContent xmlns:mc="http://schemas.openxmlformats.org/markup-compatibility/2006" xmlns:a14="http://schemas.microsoft.com/office/drawing/2010/main">
      <mc:Choice Requires="a14">
        <xdr:graphicFrame macro="">
          <xdr:nvGraphicFramePr>
            <xdr:cNvPr id="2" name="Site 1">
              <a:extLst>
                <a:ext uri="{FF2B5EF4-FFF2-40B4-BE49-F238E27FC236}">
                  <a16:creationId xmlns:a16="http://schemas.microsoft.com/office/drawing/2014/main" id="{A2D50FEE-4407-EEF3-3A87-D5D0E03962D0}"/>
                </a:ext>
              </a:extLst>
            </xdr:cNvPr>
            <xdr:cNvGraphicFramePr/>
          </xdr:nvGraphicFramePr>
          <xdr:xfrm>
            <a:off x="0" y="0"/>
            <a:ext cx="0" cy="0"/>
          </xdr:xfrm>
          <a:graphic>
            <a:graphicData uri="http://schemas.microsoft.com/office/drawing/2010/slicer">
              <sle:slicer xmlns:sle="http://schemas.microsoft.com/office/drawing/2010/slicer" name="Site 1"/>
            </a:graphicData>
          </a:graphic>
        </xdr:graphicFrame>
      </mc:Choice>
      <mc:Fallback xmlns="">
        <xdr:sp macro="" textlink="">
          <xdr:nvSpPr>
            <xdr:cNvPr id="0" name=""/>
            <xdr:cNvSpPr>
              <a:spLocks noTextEdit="1"/>
            </xdr:cNvSpPr>
          </xdr:nvSpPr>
          <xdr:spPr>
            <a:xfrm>
              <a:off x="382088" y="5703026"/>
              <a:ext cx="1828800" cy="2581275"/>
            </a:xfrm>
            <a:prstGeom prst="rect">
              <a:avLst/>
            </a:prstGeom>
            <a:solidFill>
              <a:prstClr val="white"/>
            </a:solidFill>
            <a:ln w="1">
              <a:solidFill>
                <a:prstClr val="green"/>
              </a:solidFill>
            </a:ln>
          </xdr:spPr>
          <xdr:txBody>
            <a:bodyPr vertOverflow="clip" horzOverflow="clip"/>
            <a:lstStyle/>
            <a:p>
              <a:r>
                <a:rPr lang="pt-BR" sz="1100"/>
                <a:t>Esta forma representa uma segmentação de dados. Segmentações de dados têm suporte no Excel 2010 ou versões posteriores.
\Se a forma tiver sido modificada em uma versão anterior do Excel, ou se a pasta de trabalho tiver sido salva no Excel 2003 ou versões anteriores, a segmentação de dados não poderá ser usada.</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8</xdr:col>
      <xdr:colOff>1226891</xdr:colOff>
      <xdr:row>40</xdr:row>
      <xdr:rowOff>39898</xdr:rowOff>
    </xdr:from>
    <xdr:to>
      <xdr:col>10</xdr:col>
      <xdr:colOff>1317464</xdr:colOff>
      <xdr:row>61</xdr:row>
      <xdr:rowOff>114301</xdr:rowOff>
    </xdr:to>
    <xdr:graphicFrame macro="">
      <xdr:nvGraphicFramePr>
        <xdr:cNvPr id="4" name="Gráfico 2">
          <a:extLst>
            <a:ext uri="{FF2B5EF4-FFF2-40B4-BE49-F238E27FC236}">
              <a16:creationId xmlns:a16="http://schemas.microsoft.com/office/drawing/2014/main" id="{836B661F-E8EC-8BA0-D24A-67E4A58ACCE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54724</xdr:colOff>
      <xdr:row>40</xdr:row>
      <xdr:rowOff>41452</xdr:rowOff>
    </xdr:from>
    <xdr:to>
      <xdr:col>12</xdr:col>
      <xdr:colOff>1269943</xdr:colOff>
      <xdr:row>61</xdr:row>
      <xdr:rowOff>107261</xdr:rowOff>
    </xdr:to>
    <xdr:graphicFrame macro="">
      <xdr:nvGraphicFramePr>
        <xdr:cNvPr id="10" name="Gráfico 4">
          <a:extLst>
            <a:ext uri="{FF2B5EF4-FFF2-40B4-BE49-F238E27FC236}">
              <a16:creationId xmlns:a16="http://schemas.microsoft.com/office/drawing/2014/main" id="{F6A2DBC8-FBA4-1003-1F92-09712DF0E53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33</xdr:col>
      <xdr:colOff>1923104</xdr:colOff>
      <xdr:row>3</xdr:row>
      <xdr:rowOff>137978</xdr:rowOff>
    </xdr:from>
    <xdr:to>
      <xdr:col>42</xdr:col>
      <xdr:colOff>1287379</xdr:colOff>
      <xdr:row>33</xdr:row>
      <xdr:rowOff>41432</xdr:rowOff>
    </xdr:to>
    <xdr:graphicFrame macro="">
      <xdr:nvGraphicFramePr>
        <xdr:cNvPr id="9" name="Gráfico 1">
          <a:extLst>
            <a:ext uri="{FF2B5EF4-FFF2-40B4-BE49-F238E27FC236}">
              <a16:creationId xmlns:a16="http://schemas.microsoft.com/office/drawing/2014/main" id="{47A7B23C-3F9F-4FB4-B399-DEF1D02065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78105</xdr:colOff>
      <xdr:row>3</xdr:row>
      <xdr:rowOff>49530</xdr:rowOff>
    </xdr:from>
    <xdr:to>
      <xdr:col>21</xdr:col>
      <xdr:colOff>66675</xdr:colOff>
      <xdr:row>32</xdr:row>
      <xdr:rowOff>126066</xdr:rowOff>
    </xdr:to>
    <xdr:graphicFrame macro="">
      <xdr:nvGraphicFramePr>
        <xdr:cNvPr id="2" name="Gráfico 5">
          <a:extLst>
            <a:ext uri="{FF2B5EF4-FFF2-40B4-BE49-F238E27FC236}">
              <a16:creationId xmlns:a16="http://schemas.microsoft.com/office/drawing/2014/main" id="{6D0F344B-F5F1-40EA-A6E5-0A090A350E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211455</xdr:colOff>
      <xdr:row>0</xdr:row>
      <xdr:rowOff>43815</xdr:rowOff>
    </xdr:from>
    <xdr:to>
      <xdr:col>2</xdr:col>
      <xdr:colOff>513457</xdr:colOff>
      <xdr:row>2</xdr:row>
      <xdr:rowOff>110490</xdr:rowOff>
    </xdr:to>
    <xdr:pic>
      <xdr:nvPicPr>
        <xdr:cNvPr id="6" name="Imagem 5">
          <a:extLst>
            <a:ext uri="{FF2B5EF4-FFF2-40B4-BE49-F238E27FC236}">
              <a16:creationId xmlns:a16="http://schemas.microsoft.com/office/drawing/2014/main" id="{DC9A9CD3-4DE7-78A6-873A-3A752BBAF28D}"/>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211455" y="43815"/>
          <a:ext cx="1521202" cy="428625"/>
        </a:xfrm>
        <a:prstGeom prst="rect">
          <a:avLst/>
        </a:prstGeom>
      </xdr:spPr>
    </xdr:pic>
    <xdr:clientData/>
  </xdr:twoCellAnchor>
  <xdr:twoCellAnchor editAs="oneCell">
    <xdr:from>
      <xdr:col>20</xdr:col>
      <xdr:colOff>476250</xdr:colOff>
      <xdr:row>0</xdr:row>
      <xdr:rowOff>38100</xdr:rowOff>
    </xdr:from>
    <xdr:to>
      <xdr:col>22</xdr:col>
      <xdr:colOff>567690</xdr:colOff>
      <xdr:row>2</xdr:row>
      <xdr:rowOff>129952</xdr:rowOff>
    </xdr:to>
    <xdr:pic>
      <xdr:nvPicPr>
        <xdr:cNvPr id="7" name="Imagem 6" descr="Essentia Energia RI">
          <a:extLst>
            <a:ext uri="{FF2B5EF4-FFF2-40B4-BE49-F238E27FC236}">
              <a16:creationId xmlns:a16="http://schemas.microsoft.com/office/drawing/2014/main" id="{0991B52D-A253-4927-BC9B-D40B9E272597}"/>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6125825" y="38100"/>
          <a:ext cx="1310640" cy="45380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91440</xdr:colOff>
      <xdr:row>3</xdr:row>
      <xdr:rowOff>74295</xdr:rowOff>
    </xdr:from>
    <xdr:to>
      <xdr:col>1</xdr:col>
      <xdr:colOff>550545</xdr:colOff>
      <xdr:row>5</xdr:row>
      <xdr:rowOff>161925</xdr:rowOff>
    </xdr:to>
    <xdr:sp macro="" textlink="">
      <xdr:nvSpPr>
        <xdr:cNvPr id="8" name="Retângulo 7">
          <a:hlinkClick xmlns:r="http://schemas.openxmlformats.org/officeDocument/2006/relationships" r:id="rId7"/>
          <a:extLst>
            <a:ext uri="{FF2B5EF4-FFF2-40B4-BE49-F238E27FC236}">
              <a16:creationId xmlns:a16="http://schemas.microsoft.com/office/drawing/2014/main" id="{6F6BC6CF-C881-549B-9911-13ED466A0F31}"/>
            </a:ext>
          </a:extLst>
        </xdr:cNvPr>
        <xdr:cNvSpPr/>
      </xdr:nvSpPr>
      <xdr:spPr>
        <a:xfrm>
          <a:off x="91440" y="617220"/>
          <a:ext cx="1068705" cy="449580"/>
        </a:xfrm>
        <a:prstGeom prst="rect">
          <a:avLst/>
        </a:prstGeom>
        <a:solidFill>
          <a:srgbClr val="118751"/>
        </a:solidFill>
        <a:ln>
          <a:solidFill>
            <a:srgbClr val="11875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100" b="1">
              <a:solidFill>
                <a:schemeClr val="bg1"/>
              </a:solidFill>
            </a:rPr>
            <a:t>Lista</a:t>
          </a:r>
          <a:r>
            <a:rPr lang="pt-BR" sz="1100" b="1" baseline="0">
              <a:solidFill>
                <a:schemeClr val="bg1"/>
              </a:solidFill>
            </a:rPr>
            <a:t> de WTGs</a:t>
          </a:r>
          <a:endParaRPr lang="pt-BR" sz="1100" b="1">
            <a:solidFill>
              <a:schemeClr val="bg1"/>
            </a:solidFill>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3</xdr:col>
      <xdr:colOff>304800</xdr:colOff>
      <xdr:row>2</xdr:row>
      <xdr:rowOff>34290</xdr:rowOff>
    </xdr:from>
    <xdr:to>
      <xdr:col>12</xdr:col>
      <xdr:colOff>243840</xdr:colOff>
      <xdr:row>20</xdr:row>
      <xdr:rowOff>99060</xdr:rowOff>
    </xdr:to>
    <xdr:graphicFrame macro="">
      <xdr:nvGraphicFramePr>
        <xdr:cNvPr id="3" name="Gráfico 1">
          <a:extLst>
            <a:ext uri="{FF2B5EF4-FFF2-40B4-BE49-F238E27FC236}">
              <a16:creationId xmlns:a16="http://schemas.microsoft.com/office/drawing/2014/main" id="{DB532396-A18E-5004-8A98-EF2BDC2CE11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358140</xdr:colOff>
      <xdr:row>5</xdr:row>
      <xdr:rowOff>41910</xdr:rowOff>
    </xdr:from>
    <xdr:to>
      <xdr:col>10</xdr:col>
      <xdr:colOff>53340</xdr:colOff>
      <xdr:row>20</xdr:row>
      <xdr:rowOff>41910</xdr:rowOff>
    </xdr:to>
    <xdr:graphicFrame macro="">
      <xdr:nvGraphicFramePr>
        <xdr:cNvPr id="3" name="Gráfico 1">
          <a:extLst>
            <a:ext uri="{FF2B5EF4-FFF2-40B4-BE49-F238E27FC236}">
              <a16:creationId xmlns:a16="http://schemas.microsoft.com/office/drawing/2014/main" id="{BFC9C325-748D-48EE-16C8-2582C36FB66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445769</xdr:colOff>
      <xdr:row>1</xdr:row>
      <xdr:rowOff>72390</xdr:rowOff>
    </xdr:from>
    <xdr:to>
      <xdr:col>12</xdr:col>
      <xdr:colOff>28574</xdr:colOff>
      <xdr:row>25</xdr:row>
      <xdr:rowOff>85725</xdr:rowOff>
    </xdr:to>
    <xdr:graphicFrame macro="">
      <xdr:nvGraphicFramePr>
        <xdr:cNvPr id="2" name="Gráfico 1">
          <a:extLst>
            <a:ext uri="{FF2B5EF4-FFF2-40B4-BE49-F238E27FC236}">
              <a16:creationId xmlns:a16="http://schemas.microsoft.com/office/drawing/2014/main" id="{2A5B3B25-0600-5C12-AB65-322BF2AABC6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14</xdr:col>
      <xdr:colOff>539846</xdr:colOff>
      <xdr:row>15</xdr:row>
      <xdr:rowOff>112059</xdr:rowOff>
    </xdr:from>
    <xdr:to>
      <xdr:col>33</xdr:col>
      <xdr:colOff>199432</xdr:colOff>
      <xdr:row>34</xdr:row>
      <xdr:rowOff>21754</xdr:rowOff>
    </xdr:to>
    <xdr:graphicFrame macro="">
      <xdr:nvGraphicFramePr>
        <xdr:cNvPr id="5" name="Gráfico 1">
          <a:extLst>
            <a:ext uri="{FF2B5EF4-FFF2-40B4-BE49-F238E27FC236}">
              <a16:creationId xmlns:a16="http://schemas.microsoft.com/office/drawing/2014/main" id="{CECA6863-9F2C-3439-B70C-D1444806F35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114300</xdr:colOff>
      <xdr:row>0</xdr:row>
      <xdr:rowOff>43815</xdr:rowOff>
    </xdr:from>
    <xdr:to>
      <xdr:col>1</xdr:col>
      <xdr:colOff>858262</xdr:colOff>
      <xdr:row>0</xdr:row>
      <xdr:rowOff>478155</xdr:rowOff>
    </xdr:to>
    <xdr:pic>
      <xdr:nvPicPr>
        <xdr:cNvPr id="2" name="Imagem 1">
          <a:extLst>
            <a:ext uri="{FF2B5EF4-FFF2-40B4-BE49-F238E27FC236}">
              <a16:creationId xmlns:a16="http://schemas.microsoft.com/office/drawing/2014/main" id="{24EAE225-9F99-4DAE-87C9-53093C8EB38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14300" y="43815"/>
          <a:ext cx="1521202" cy="438150"/>
        </a:xfrm>
        <a:prstGeom prst="rect">
          <a:avLst/>
        </a:prstGeom>
      </xdr:spPr>
    </xdr:pic>
    <xdr:clientData/>
  </xdr:twoCellAnchor>
  <xdr:twoCellAnchor editAs="oneCell">
    <xdr:from>
      <xdr:col>12</xdr:col>
      <xdr:colOff>336176</xdr:colOff>
      <xdr:row>0</xdr:row>
      <xdr:rowOff>44824</xdr:rowOff>
    </xdr:from>
    <xdr:to>
      <xdr:col>12</xdr:col>
      <xdr:colOff>1654436</xdr:colOff>
      <xdr:row>0</xdr:row>
      <xdr:rowOff>498626</xdr:rowOff>
    </xdr:to>
    <xdr:pic>
      <xdr:nvPicPr>
        <xdr:cNvPr id="3" name="Imagem 2" descr="Essentia Energia RI">
          <a:extLst>
            <a:ext uri="{FF2B5EF4-FFF2-40B4-BE49-F238E27FC236}">
              <a16:creationId xmlns:a16="http://schemas.microsoft.com/office/drawing/2014/main" id="{6A90882F-81A5-4E5D-A7BF-3BF78E3D701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9363764" y="44824"/>
          <a:ext cx="1314450" cy="45380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9.xml><?xml version="1.0" encoding="utf-8"?>
<xdr:wsDr xmlns:xdr="http://schemas.openxmlformats.org/drawingml/2006/spreadsheetDrawing" xmlns:a="http://schemas.openxmlformats.org/drawingml/2006/main">
  <xdr:twoCellAnchor>
    <xdr:from>
      <xdr:col>8</xdr:col>
      <xdr:colOff>1226891</xdr:colOff>
      <xdr:row>40</xdr:row>
      <xdr:rowOff>39898</xdr:rowOff>
    </xdr:from>
    <xdr:to>
      <xdr:col>10</xdr:col>
      <xdr:colOff>1317464</xdr:colOff>
      <xdr:row>61</xdr:row>
      <xdr:rowOff>114301</xdr:rowOff>
    </xdr:to>
    <xdr:graphicFrame macro="">
      <xdr:nvGraphicFramePr>
        <xdr:cNvPr id="2" name="Gráfico 2">
          <a:extLst>
            <a:ext uri="{FF2B5EF4-FFF2-40B4-BE49-F238E27FC236}">
              <a16:creationId xmlns:a16="http://schemas.microsoft.com/office/drawing/2014/main" id="{0CB793BE-4FB1-4033-8959-7BB6DF74E3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54724</xdr:colOff>
      <xdr:row>40</xdr:row>
      <xdr:rowOff>41452</xdr:rowOff>
    </xdr:from>
    <xdr:to>
      <xdr:col>12</xdr:col>
      <xdr:colOff>1269943</xdr:colOff>
      <xdr:row>61</xdr:row>
      <xdr:rowOff>107261</xdr:rowOff>
    </xdr:to>
    <xdr:graphicFrame macro="">
      <xdr:nvGraphicFramePr>
        <xdr:cNvPr id="3" name="Gráfico 4">
          <a:extLst>
            <a:ext uri="{FF2B5EF4-FFF2-40B4-BE49-F238E27FC236}">
              <a16:creationId xmlns:a16="http://schemas.microsoft.com/office/drawing/2014/main" id="{6A232BD5-C9CD-4A1C-9A7F-F10B95C44D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33</xdr:col>
      <xdr:colOff>1923104</xdr:colOff>
      <xdr:row>3</xdr:row>
      <xdr:rowOff>137978</xdr:rowOff>
    </xdr:from>
    <xdr:to>
      <xdr:col>42</xdr:col>
      <xdr:colOff>1287379</xdr:colOff>
      <xdr:row>33</xdr:row>
      <xdr:rowOff>41432</xdr:rowOff>
    </xdr:to>
    <xdr:graphicFrame macro="">
      <xdr:nvGraphicFramePr>
        <xdr:cNvPr id="4" name="Gráfico 1">
          <a:extLst>
            <a:ext uri="{FF2B5EF4-FFF2-40B4-BE49-F238E27FC236}">
              <a16:creationId xmlns:a16="http://schemas.microsoft.com/office/drawing/2014/main" id="{AD72F1BD-EE3E-4EF3-9082-951E1D1165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217170</xdr:colOff>
      <xdr:row>0</xdr:row>
      <xdr:rowOff>26670</xdr:rowOff>
    </xdr:from>
    <xdr:to>
      <xdr:col>2</xdr:col>
      <xdr:colOff>513457</xdr:colOff>
      <xdr:row>2</xdr:row>
      <xdr:rowOff>97155</xdr:rowOff>
    </xdr:to>
    <xdr:pic>
      <xdr:nvPicPr>
        <xdr:cNvPr id="6" name="Imagem 5">
          <a:extLst>
            <a:ext uri="{FF2B5EF4-FFF2-40B4-BE49-F238E27FC236}">
              <a16:creationId xmlns:a16="http://schemas.microsoft.com/office/drawing/2014/main" id="{C455D324-AE92-4A95-95CC-C0A4400EFC73}"/>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215265" y="24765"/>
          <a:ext cx="1521202" cy="430530"/>
        </a:xfrm>
        <a:prstGeom prst="rect">
          <a:avLst/>
        </a:prstGeom>
      </xdr:spPr>
    </xdr:pic>
    <xdr:clientData/>
  </xdr:twoCellAnchor>
  <xdr:twoCellAnchor>
    <xdr:from>
      <xdr:col>2</xdr:col>
      <xdr:colOff>36196</xdr:colOff>
      <xdr:row>3</xdr:row>
      <xdr:rowOff>57149</xdr:rowOff>
    </xdr:from>
    <xdr:to>
      <xdr:col>21</xdr:col>
      <xdr:colOff>31936</xdr:colOff>
      <xdr:row>32</xdr:row>
      <xdr:rowOff>133274</xdr:rowOff>
    </xdr:to>
    <xdr:graphicFrame macro="">
      <xdr:nvGraphicFramePr>
        <xdr:cNvPr id="8" name="Gráfico 7">
          <a:extLst>
            <a:ext uri="{FF2B5EF4-FFF2-40B4-BE49-F238E27FC236}">
              <a16:creationId xmlns:a16="http://schemas.microsoft.com/office/drawing/2014/main" id="{B9A9AED6-157F-4EA3-A555-F0263D7B37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20</xdr:col>
      <xdr:colOff>487679</xdr:colOff>
      <xdr:row>0</xdr:row>
      <xdr:rowOff>67745</xdr:rowOff>
    </xdr:from>
    <xdr:to>
      <xdr:col>22</xdr:col>
      <xdr:colOff>453797</xdr:colOff>
      <xdr:row>2</xdr:row>
      <xdr:rowOff>97293</xdr:rowOff>
    </xdr:to>
    <xdr:pic>
      <xdr:nvPicPr>
        <xdr:cNvPr id="11" name="Imagem 10">
          <a:extLst>
            <a:ext uri="{FF2B5EF4-FFF2-40B4-BE49-F238E27FC236}">
              <a16:creationId xmlns:a16="http://schemas.microsoft.com/office/drawing/2014/main" id="{47E995E3-33C9-E506-A2E2-140480828BDE}"/>
            </a:ext>
          </a:extLst>
        </xdr:cNvPr>
        <xdr:cNvPicPr>
          <a:picLocks noChangeAspect="1"/>
        </xdr:cNvPicPr>
      </xdr:nvPicPr>
      <xdr:blipFill>
        <a:blip xmlns:r="http://schemas.openxmlformats.org/officeDocument/2006/relationships" r:embed="rId6"/>
        <a:stretch>
          <a:fillRect/>
        </a:stretch>
      </xdr:blipFill>
      <xdr:spPr>
        <a:xfrm>
          <a:off x="16137254" y="67745"/>
          <a:ext cx="1185318" cy="397213"/>
        </a:xfrm>
        <a:prstGeom prst="rect">
          <a:avLst/>
        </a:prstGeom>
      </xdr:spPr>
    </xdr:pic>
    <xdr:clientData/>
  </xdr:twoCellAnchor>
  <xdr:twoCellAnchor>
    <xdr:from>
      <xdr:col>0</xdr:col>
      <xdr:colOff>100965</xdr:colOff>
      <xdr:row>3</xdr:row>
      <xdr:rowOff>83820</xdr:rowOff>
    </xdr:from>
    <xdr:to>
      <xdr:col>1</xdr:col>
      <xdr:colOff>560070</xdr:colOff>
      <xdr:row>5</xdr:row>
      <xdr:rowOff>171450</xdr:rowOff>
    </xdr:to>
    <xdr:sp macro="" textlink="">
      <xdr:nvSpPr>
        <xdr:cNvPr id="12" name="Retângulo 11">
          <a:hlinkClick xmlns:r="http://schemas.openxmlformats.org/officeDocument/2006/relationships" r:id="rId7"/>
          <a:extLst>
            <a:ext uri="{FF2B5EF4-FFF2-40B4-BE49-F238E27FC236}">
              <a16:creationId xmlns:a16="http://schemas.microsoft.com/office/drawing/2014/main" id="{F8593750-AF42-4821-BB51-72015EFA0DEC}"/>
            </a:ext>
          </a:extLst>
        </xdr:cNvPr>
        <xdr:cNvSpPr/>
      </xdr:nvSpPr>
      <xdr:spPr>
        <a:xfrm>
          <a:off x="100965" y="626745"/>
          <a:ext cx="1068705" cy="449580"/>
        </a:xfrm>
        <a:prstGeom prst="rect">
          <a:avLst/>
        </a:prstGeom>
        <a:solidFill>
          <a:srgbClr val="118751"/>
        </a:solidFill>
        <a:ln>
          <a:solidFill>
            <a:srgbClr val="11875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100" b="1">
              <a:solidFill>
                <a:schemeClr val="bg1"/>
              </a:solidFill>
            </a:rPr>
            <a:t>Lista</a:t>
          </a:r>
          <a:r>
            <a:rPr lang="pt-BR" sz="1100" b="1" baseline="0">
              <a:solidFill>
                <a:schemeClr val="bg1"/>
              </a:solidFill>
            </a:rPr>
            <a:t> de WTGs</a:t>
          </a:r>
          <a:endParaRPr lang="pt-BR" sz="1100" b="1">
            <a:solidFill>
              <a:schemeClr val="bg1"/>
            </a:solidFill>
          </a:endParaRPr>
        </a:p>
      </xdr:txBody>
    </xdr:sp>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161925</xdr:colOff>
      <xdr:row>0</xdr:row>
      <xdr:rowOff>47625</xdr:rowOff>
    </xdr:from>
    <xdr:to>
      <xdr:col>1</xdr:col>
      <xdr:colOff>667762</xdr:colOff>
      <xdr:row>1</xdr:row>
      <xdr:rowOff>186690</xdr:rowOff>
    </xdr:to>
    <xdr:pic>
      <xdr:nvPicPr>
        <xdr:cNvPr id="2" name="Imagem 1">
          <a:extLst>
            <a:ext uri="{FF2B5EF4-FFF2-40B4-BE49-F238E27FC236}">
              <a16:creationId xmlns:a16="http://schemas.microsoft.com/office/drawing/2014/main" id="{FC832AEB-E641-49E5-8E85-42D8B11427D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61925" y="47625"/>
          <a:ext cx="1521202" cy="424815"/>
        </a:xfrm>
        <a:prstGeom prst="rect">
          <a:avLst/>
        </a:prstGeom>
      </xdr:spPr>
    </xdr:pic>
    <xdr:clientData/>
  </xdr:twoCellAnchor>
  <xdr:twoCellAnchor editAs="oneCell">
    <xdr:from>
      <xdr:col>12</xdr:col>
      <xdr:colOff>222212</xdr:colOff>
      <xdr:row>0</xdr:row>
      <xdr:rowOff>82251</xdr:rowOff>
    </xdr:from>
    <xdr:to>
      <xdr:col>12</xdr:col>
      <xdr:colOff>1430390</xdr:colOff>
      <xdr:row>1</xdr:row>
      <xdr:rowOff>174776</xdr:rowOff>
    </xdr:to>
    <xdr:pic>
      <xdr:nvPicPr>
        <xdr:cNvPr id="3" name="Imagem 2">
          <a:extLst>
            <a:ext uri="{FF2B5EF4-FFF2-40B4-BE49-F238E27FC236}">
              <a16:creationId xmlns:a16="http://schemas.microsoft.com/office/drawing/2014/main" id="{247C2AD6-DD94-4767-A73E-0DCB83832BCF}"/>
            </a:ext>
          </a:extLst>
        </xdr:cNvPr>
        <xdr:cNvPicPr>
          <a:picLocks noChangeAspect="1"/>
        </xdr:cNvPicPr>
      </xdr:nvPicPr>
      <xdr:blipFill>
        <a:blip xmlns:r="http://schemas.openxmlformats.org/officeDocument/2006/relationships" r:embed="rId2"/>
        <a:stretch>
          <a:fillRect/>
        </a:stretch>
      </xdr:blipFill>
      <xdr:spPr>
        <a:xfrm>
          <a:off x="19720447" y="82251"/>
          <a:ext cx="1196748" cy="389593"/>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13</xdr:col>
      <xdr:colOff>547241</xdr:colOff>
      <xdr:row>2</xdr:row>
      <xdr:rowOff>164157</xdr:rowOff>
    </xdr:from>
    <xdr:to>
      <xdr:col>32</xdr:col>
      <xdr:colOff>206828</xdr:colOff>
      <xdr:row>33</xdr:row>
      <xdr:rowOff>87084</xdr:rowOff>
    </xdr:to>
    <xdr:graphicFrame macro="">
      <xdr:nvGraphicFramePr>
        <xdr:cNvPr id="2" name="Gráfico 1">
          <a:extLst>
            <a:ext uri="{FF2B5EF4-FFF2-40B4-BE49-F238E27FC236}">
              <a16:creationId xmlns:a16="http://schemas.microsoft.com/office/drawing/2014/main" id="{DE9F06A3-8044-4613-9487-4E8094330C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0</xdr:col>
      <xdr:colOff>1226891</xdr:colOff>
      <xdr:row>37</xdr:row>
      <xdr:rowOff>39898</xdr:rowOff>
    </xdr:from>
    <xdr:to>
      <xdr:col>2</xdr:col>
      <xdr:colOff>1317464</xdr:colOff>
      <xdr:row>58</xdr:row>
      <xdr:rowOff>114301</xdr:rowOff>
    </xdr:to>
    <xdr:graphicFrame macro="">
      <xdr:nvGraphicFramePr>
        <xdr:cNvPr id="2" name="Gráfico 2">
          <a:extLst>
            <a:ext uri="{FF2B5EF4-FFF2-40B4-BE49-F238E27FC236}">
              <a16:creationId xmlns:a16="http://schemas.microsoft.com/office/drawing/2014/main" id="{281B6FA0-5FCE-4935-95EC-2BBEE017BE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54724</xdr:colOff>
      <xdr:row>37</xdr:row>
      <xdr:rowOff>41452</xdr:rowOff>
    </xdr:from>
    <xdr:to>
      <xdr:col>4</xdr:col>
      <xdr:colOff>1269943</xdr:colOff>
      <xdr:row>58</xdr:row>
      <xdr:rowOff>107261</xdr:rowOff>
    </xdr:to>
    <xdr:graphicFrame macro="">
      <xdr:nvGraphicFramePr>
        <xdr:cNvPr id="3" name="Gráfico 4">
          <a:extLst>
            <a:ext uri="{FF2B5EF4-FFF2-40B4-BE49-F238E27FC236}">
              <a16:creationId xmlns:a16="http://schemas.microsoft.com/office/drawing/2014/main" id="{7760FA9C-044F-4367-A3F0-F83CA38746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0</xdr:row>
      <xdr:rowOff>0</xdr:rowOff>
    </xdr:from>
    <xdr:to>
      <xdr:col>13</xdr:col>
      <xdr:colOff>556260</xdr:colOff>
      <xdr:row>29</xdr:row>
      <xdr:rowOff>78442</xdr:rowOff>
    </xdr:to>
    <xdr:graphicFrame macro="">
      <xdr:nvGraphicFramePr>
        <xdr:cNvPr id="4" name="Gráfico 1">
          <a:extLst>
            <a:ext uri="{FF2B5EF4-FFF2-40B4-BE49-F238E27FC236}">
              <a16:creationId xmlns:a16="http://schemas.microsoft.com/office/drawing/2014/main" id="{F9FAB6A6-CEE9-49FB-9BE6-5DBB2768C1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1905</xdr:colOff>
      <xdr:row>0</xdr:row>
      <xdr:rowOff>0</xdr:rowOff>
    </xdr:from>
    <xdr:to>
      <xdr:col>25</xdr:col>
      <xdr:colOff>2428875</xdr:colOff>
      <xdr:row>29</xdr:row>
      <xdr:rowOff>87966</xdr:rowOff>
    </xdr:to>
    <xdr:graphicFrame macro="">
      <xdr:nvGraphicFramePr>
        <xdr:cNvPr id="5" name="Gráfico 5">
          <a:extLst>
            <a:ext uri="{FF2B5EF4-FFF2-40B4-BE49-F238E27FC236}">
              <a16:creationId xmlns:a16="http://schemas.microsoft.com/office/drawing/2014/main" id="{B65B6AB0-CD75-44E0-A39A-AE4F981764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6.xml"/></Relationships>
</file>

<file path=xl/pivotCache/_rels/pivotCacheDefinition7.xml.rels><?xml version="1.0" encoding="UTF-8" standalone="yes"?>
<Relationships xmlns="http://schemas.openxmlformats.org/package/2006/relationships"><Relationship Id="rId1" Type="http://schemas.openxmlformats.org/officeDocument/2006/relationships/pivotCacheRecords" Target="pivotCacheRecords7.xml"/></Relationships>
</file>

<file path=xl/pivotCache/_rels/pivotCacheDefinition8.xml.rels><?xml version="1.0" encoding="UTF-8" standalone="yes"?>
<Relationships xmlns="http://schemas.openxmlformats.org/package/2006/relationships"><Relationship Id="rId1" Type="http://schemas.openxmlformats.org/officeDocument/2006/relationships/pivotCacheRecords" Target="pivotCacheRecords8.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aires Rodrigues, Victor" refreshedDate="45610.607098379631" createdVersion="8" refreshedVersion="8" minRefreshableVersion="3" recordCount="22" xr:uid="{F4431656-A267-4DB3-AB45-DBE9C3DD77F5}">
  <cacheSource type="worksheet">
    <worksheetSource ref="A3:N21" sheet="Fonte de Dados - Essentia"/>
  </cacheSource>
  <cacheFields count="13">
    <cacheField name="Site" numFmtId="0">
      <sharedItems count="4">
        <s v="Chapada I"/>
        <s v="Chapada II"/>
        <s v="Asa Branca"/>
        <s v="Chapada III"/>
      </sharedItems>
    </cacheField>
    <cacheField name="WTG" numFmtId="0">
      <sharedItems count="22">
        <s v="JOA 11-10"/>
        <s v="JOA 11-14"/>
        <s v="JOA 12-04"/>
        <s v="JOA 12-08"/>
        <s v="JOA 15-12"/>
        <s v="JOA 04-13"/>
        <s v="JOA 07-06"/>
        <s v="JOA 12-17"/>
        <s v="JOA 05-05"/>
        <s v="JOA 12-11"/>
        <s v="JOA 04-14"/>
        <s v="AB 07-11"/>
        <s v="AUG 05-12"/>
        <s v="AB 06-06"/>
        <s v="AB 06-08"/>
        <s v="JOA 01-12"/>
        <s v="AUG 05-13"/>
        <s v="JOA 12-03"/>
        <s v="AB 05-13"/>
        <s v="JOA 16-14"/>
        <s v="JOA 05-12"/>
        <s v="JOA 15-11"/>
      </sharedItems>
    </cacheField>
    <cacheField name="Data da parada" numFmtId="14">
      <sharedItems containsSemiMixedTypes="0" containsNonDate="0" containsDate="1" containsString="0" minDate="2024-10-01T00:00:00" maxDate="2024-11-15T00:00:00" count="11">
        <d v="2024-10-01T00:00:00"/>
        <d v="2024-10-02T00:00:00"/>
        <d v="2024-10-16T00:00:00"/>
        <d v="2024-10-30T00:00:00"/>
        <d v="2024-11-04T00:00:00"/>
        <d v="2024-11-05T00:00:00"/>
        <d v="2024-11-10T00:00:00"/>
        <d v="2024-11-11T00:00:00"/>
        <d v="2024-11-12T00:00:00"/>
        <d v="2024-11-13T00:00:00"/>
        <d v="2024-11-14T00:00:00"/>
      </sharedItems>
      <fieldGroup par="12"/>
    </cacheField>
    <cacheField name="Data de retorno" numFmtId="0">
      <sharedItems containsNonDate="0" containsString="0" containsBlank="1"/>
    </cacheField>
    <cacheField name="Dias parada" numFmtId="0">
      <sharedItems containsSemiMixedTypes="0" containsString="0" containsNumber="1" containsInteger="1" minValue="0" maxValue="44" count="11">
        <n v="44"/>
        <n v="43"/>
        <n v="29"/>
        <n v="15"/>
        <n v="10"/>
        <n v="9"/>
        <n v="4"/>
        <n v="3"/>
        <n v="2"/>
        <n v="1"/>
        <n v="0"/>
      </sharedItems>
    </cacheField>
    <cacheField name="Previsão de Retorno" numFmtId="14">
      <sharedItems containsSemiMixedTypes="0" containsNonDate="0" containsDate="1" containsString="0" minDate="2024-11-11T00:00:00" maxDate="2024-12-27T00:00:00" count="11">
        <d v="2024-11-11T00:00:00"/>
        <d v="2024-11-22T00:00:00"/>
        <d v="2024-11-12T00:00:00"/>
        <d v="2024-12-06T00:00:00"/>
        <d v="2024-11-25T00:00:00"/>
        <d v="2024-11-20T00:00:00"/>
        <d v="2024-12-26T00:00:00"/>
        <d v="2024-11-19T00:00:00"/>
        <d v="2024-12-04T00:00:00"/>
        <d v="2024-11-14T00:00:00"/>
        <d v="2024-11-27T00:00:00"/>
      </sharedItems>
    </cacheField>
    <cacheField name="Motivo" numFmtId="0">
      <sharedItems count="15">
        <s v="Troca de Gearbox."/>
        <s v="Troca de Gerador. "/>
        <s v="Reparo de pá feito. Aguardando MCE."/>
        <s v="Danos no pitch bearing. Pendente MCE."/>
        <s v="MCE gearbox."/>
        <s v="Danos no gerador, curto no wye ring. "/>
        <s v="Reparo executado no wye ring do gerador, porém, apresentou falha de fuga de corrente no terra. "/>
        <s v="MCE do transformador auxiliar."/>
        <s v="Pitch controller colective fault. "/>
        <s v="Turbina não passa no teste de baterias do sistema de pitch. "/>
        <s v="Falha de baterias na axis 1. WEPA da axis 1 está danificada."/>
        <s v="Danos na gearbox. Boroscopia sendo executada. "/>
        <s v="Falha de bateria."/>
        <s v="Falha de baterias na axis 1."/>
        <s v="Falha de pitch overrun 0 degree. "/>
      </sharedItems>
    </cacheField>
    <cacheField name="Componente/Subsistema" numFmtId="0">
      <sharedItems count="7">
        <s v="Gearbox"/>
        <s v="Gerador"/>
        <s v="Blade"/>
        <s v="Pitch Bearing"/>
        <s v="Top Box"/>
        <s v="Pitch System"/>
        <s v="Pitch Battery"/>
      </sharedItems>
    </cacheField>
    <cacheField name="Ação Pendente" numFmtId="0">
      <sharedItems count="19">
        <s v="Aguardando MCE."/>
        <s v="Troca de barramento da fase L do rotor. Esperando chegar o barramento em campo, previsão de chegada 14/11."/>
        <s v="Troubleshooting de uma falha de pitch para realização do troubleshooting da principal. Trenders irão ser coletados e analisados pela engenharia. "/>
        <s v="Aguardando MCE. Máquina inserida no lugar da AUG 04-14. "/>
        <s v="Reparo do gerador em andamento."/>
        <s v="Aguardando deslocamento de um time de Chapada para realizar o reparo. "/>
        <s v="Troubleshooting da falha."/>
        <s v="Troubleshooting da falha com suporte da engenharia. "/>
        <s v="Troca da WEPA. "/>
        <s v="Boroscopia sendo realizada a pedido da Engenharia. "/>
        <s v="Troubleshooting da falha. "/>
        <s v="Troubleshooting da falha pelo time de campo. " u="1"/>
        <s v="Troubleshooting da falha pelo time de campo com suporte da engenharia. " u="1"/>
        <s v="Aguardando troca do pitch bearing." u="1"/>
        <s v="Troubleshooting de uma falha de pitch para realização do troubleshooting da falha de fuga de corrente. Trenders irão ser coletados e analisados pela engenharia. " u="1"/>
        <s v="Troca da WEPA pelo time de campo. " u="1"/>
        <s v="Aguardando troca da gearbox. " u="1"/>
        <s v="Aguardando disponibilidade do time de MCE para realizar a  troca do transformador auxiliar." u="1"/>
        <s v="Troubleshooting pelo time de campo. " u="1"/>
      </sharedItems>
    </cacheField>
    <cacheField name="Responsável pelas Ações" numFmtId="0">
      <sharedItems/>
    </cacheField>
    <cacheField name="Responsável" numFmtId="0">
      <sharedItems/>
    </cacheField>
    <cacheField name="Dias (Data da parada)" numFmtId="0" databaseField="0">
      <fieldGroup base="2">
        <rangePr groupBy="days" startDate="2024-10-01T00:00:00" endDate="2024-11-15T00:00:00"/>
        <groupItems count="368">
          <s v="&lt;01/10/2024"/>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v"/>
          <s v="02/fev"/>
          <s v="03/fev"/>
          <s v="04/fev"/>
          <s v="05/fev"/>
          <s v="06/fev"/>
          <s v="07/fev"/>
          <s v="08/fev"/>
          <s v="09/fev"/>
          <s v="10/fev"/>
          <s v="11/fev"/>
          <s v="12/fev"/>
          <s v="13/fev"/>
          <s v="14/fev"/>
          <s v="15/fev"/>
          <s v="16/fev"/>
          <s v="17/fev"/>
          <s v="18/fev"/>
          <s v="19/fev"/>
          <s v="20/fev"/>
          <s v="21/fev"/>
          <s v="22/fev"/>
          <s v="23/fev"/>
          <s v="24/fev"/>
          <s v="25/fev"/>
          <s v="26/fev"/>
          <s v="27/fev"/>
          <s v="28/fev"/>
          <s v="29/fev"/>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br"/>
          <s v="02/abr"/>
          <s v="03/abr"/>
          <s v="04/abr"/>
          <s v="05/abr"/>
          <s v="06/abr"/>
          <s v="07/abr"/>
          <s v="08/abr"/>
          <s v="09/abr"/>
          <s v="10/abr"/>
          <s v="11/abr"/>
          <s v="12/abr"/>
          <s v="13/abr"/>
          <s v="14/abr"/>
          <s v="15/abr"/>
          <s v="16/abr"/>
          <s v="17/abr"/>
          <s v="18/abr"/>
          <s v="19/abr"/>
          <s v="20/abr"/>
          <s v="21/abr"/>
          <s v="22/abr"/>
          <s v="23/abr"/>
          <s v="24/abr"/>
          <s v="25/abr"/>
          <s v="26/abr"/>
          <s v="27/abr"/>
          <s v="28/abr"/>
          <s v="29/abr"/>
          <s v="30/abr"/>
          <s v="01/mai"/>
          <s v="02/mai"/>
          <s v="03/mai"/>
          <s v="04/mai"/>
          <s v="05/mai"/>
          <s v="06/mai"/>
          <s v="07/mai"/>
          <s v="08/mai"/>
          <s v="09/mai"/>
          <s v="10/mai"/>
          <s v="11/mai"/>
          <s v="12/mai"/>
          <s v="13/mai"/>
          <s v="14/mai"/>
          <s v="15/mai"/>
          <s v="16/mai"/>
          <s v="17/mai"/>
          <s v="18/mai"/>
          <s v="19/mai"/>
          <s v="20/mai"/>
          <s v="21/mai"/>
          <s v="22/mai"/>
          <s v="23/mai"/>
          <s v="24/mai"/>
          <s v="25/mai"/>
          <s v="26/mai"/>
          <s v="27/mai"/>
          <s v="28/mai"/>
          <s v="29/mai"/>
          <s v="30/mai"/>
          <s v="31/mai"/>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go"/>
          <s v="02/ago"/>
          <s v="03/ago"/>
          <s v="04/ago"/>
          <s v="05/ago"/>
          <s v="06/ago"/>
          <s v="07/ago"/>
          <s v="08/ago"/>
          <s v="09/ago"/>
          <s v="10/ago"/>
          <s v="11/ago"/>
          <s v="12/ago"/>
          <s v="13/ago"/>
          <s v="14/ago"/>
          <s v="15/ago"/>
          <s v="16/ago"/>
          <s v="17/ago"/>
          <s v="18/ago"/>
          <s v="19/ago"/>
          <s v="20/ago"/>
          <s v="21/ago"/>
          <s v="22/ago"/>
          <s v="23/ago"/>
          <s v="24/ago"/>
          <s v="25/ago"/>
          <s v="26/ago"/>
          <s v="27/ago"/>
          <s v="28/ago"/>
          <s v="29/ago"/>
          <s v="30/ago"/>
          <s v="31/ago"/>
          <s v="01/set"/>
          <s v="02/set"/>
          <s v="03/set"/>
          <s v="04/set"/>
          <s v="05/set"/>
          <s v="06/set"/>
          <s v="07/set"/>
          <s v="08/set"/>
          <s v="09/set"/>
          <s v="10/set"/>
          <s v="11/set"/>
          <s v="12/set"/>
          <s v="13/set"/>
          <s v="14/set"/>
          <s v="15/set"/>
          <s v="16/set"/>
          <s v="17/set"/>
          <s v="18/set"/>
          <s v="19/set"/>
          <s v="20/set"/>
          <s v="21/set"/>
          <s v="22/set"/>
          <s v="23/set"/>
          <s v="24/set"/>
          <s v="25/set"/>
          <s v="26/set"/>
          <s v="27/set"/>
          <s v="28/set"/>
          <s v="29/set"/>
          <s v="30/set"/>
          <s v="01/out"/>
          <s v="02/out"/>
          <s v="03/out"/>
          <s v="04/out"/>
          <s v="05/out"/>
          <s v="06/out"/>
          <s v="07/out"/>
          <s v="08/out"/>
          <s v="09/out"/>
          <s v="10/out"/>
          <s v="11/out"/>
          <s v="12/out"/>
          <s v="13/out"/>
          <s v="14/out"/>
          <s v="15/out"/>
          <s v="16/out"/>
          <s v="17/out"/>
          <s v="18/out"/>
          <s v="19/out"/>
          <s v="20/out"/>
          <s v="21/out"/>
          <s v="22/out"/>
          <s v="23/out"/>
          <s v="24/out"/>
          <s v="25/out"/>
          <s v="26/out"/>
          <s v="27/out"/>
          <s v="28/out"/>
          <s v="29/out"/>
          <s v="30/out"/>
          <s v="31/out"/>
          <s v="01/nov"/>
          <s v="02/nov"/>
          <s v="03/nov"/>
          <s v="04/nov"/>
          <s v="05/nov"/>
          <s v="06/nov"/>
          <s v="07/nov"/>
          <s v="08/nov"/>
          <s v="09/nov"/>
          <s v="10/nov"/>
          <s v="11/nov"/>
          <s v="12/nov"/>
          <s v="13/nov"/>
          <s v="14/nov"/>
          <s v="15/nov"/>
          <s v="16/nov"/>
          <s v="17/nov"/>
          <s v="18/nov"/>
          <s v="19/nov"/>
          <s v="20/nov"/>
          <s v="21/nov"/>
          <s v="22/nov"/>
          <s v="23/nov"/>
          <s v="24/nov"/>
          <s v="25/nov"/>
          <s v="26/nov"/>
          <s v="27/nov"/>
          <s v="28/nov"/>
          <s v="29/nov"/>
          <s v="30/nov"/>
          <s v="01/dez"/>
          <s v="02/dez"/>
          <s v="03/dez"/>
          <s v="04/dez"/>
          <s v="05/dez"/>
          <s v="06/dez"/>
          <s v="07/dez"/>
          <s v="08/dez"/>
          <s v="09/dez"/>
          <s v="10/dez"/>
          <s v="11/dez"/>
          <s v="12/dez"/>
          <s v="13/dez"/>
          <s v="14/dez"/>
          <s v="15/dez"/>
          <s v="16/dez"/>
          <s v="17/dez"/>
          <s v="18/dez"/>
          <s v="19/dez"/>
          <s v="20/dez"/>
          <s v="21/dez"/>
          <s v="22/dez"/>
          <s v="23/dez"/>
          <s v="24/dez"/>
          <s v="25/dez"/>
          <s v="26/dez"/>
          <s v="27/dez"/>
          <s v="28/dez"/>
          <s v="29/dez"/>
          <s v="30/dez"/>
          <s v="31/dez"/>
          <s v="&gt;15/11/2024"/>
        </groupItems>
      </fieldGroup>
    </cacheField>
    <cacheField name="Meses (Data da parada)" numFmtId="0" databaseField="0">
      <fieldGroup base="2">
        <rangePr groupBy="months" startDate="2024-10-01T00:00:00" endDate="2024-11-15T00:00:00"/>
        <groupItems count="14">
          <s v="&lt;01/10/2024"/>
          <s v="jan"/>
          <s v="fev"/>
          <s v="mar"/>
          <s v="abr"/>
          <s v="mai"/>
          <s v="jun"/>
          <s v="jul"/>
          <s v="ago"/>
          <s v="set"/>
          <s v="out"/>
          <s v="nov"/>
          <s v="dez"/>
          <s v="&gt;15/11/2024"/>
        </groupItems>
      </fieldGroup>
    </cacheField>
  </cacheFields>
  <extLst>
    <ext xmlns:x14="http://schemas.microsoft.com/office/spreadsheetml/2009/9/main" uri="{725AE2AE-9491-48be-B2B4-4EB974FC3084}">
      <x14:pivotCacheDefinition pivotCacheId="876344688"/>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aires Rodrigues, Victor" refreshedDate="45652.66375983796" createdVersion="8" refreshedVersion="8" minRefreshableVersion="3" recordCount="30" xr:uid="{19777A2C-A27B-445A-A303-7BFE691C184B}">
  <cacheSource type="worksheet">
    <worksheetSource ref="A3:Q33" sheet="Fonte de Dados - Essentia"/>
  </cacheSource>
  <cacheFields count="15">
    <cacheField name="Site" numFmtId="0">
      <sharedItems count="4">
        <s v="Chapada I"/>
        <s v="Asa Branca"/>
        <s v="Chapada II"/>
        <s v="Chapada III"/>
      </sharedItems>
    </cacheField>
    <cacheField name="WTG" numFmtId="0">
      <sharedItems/>
    </cacheField>
    <cacheField name="Data da parada" numFmtId="14">
      <sharedItems containsNonDate="0" containsDate="1" containsString="0" containsBlank="1" minDate="2024-10-01T00:00:00" maxDate="2024-12-27T00:00:00"/>
    </cacheField>
    <cacheField name="Data de retorno" numFmtId="0">
      <sharedItems containsNonDate="0" containsDate="1" containsString="0" containsBlank="1" minDate="2024-11-14T00:00:00" maxDate="2024-12-21T00:00:00"/>
    </cacheField>
    <cacheField name="Status" numFmtId="0">
      <sharedItems count="4">
        <s v="Rodando"/>
        <s v="Parada"/>
        <s v="Rodando "/>
        <s v="Rodando - Monitoramento"/>
      </sharedItems>
    </cacheField>
    <cacheField name="Dias parada" numFmtId="0">
      <sharedItems containsBlank="1" containsMixedTypes="1" containsNumber="1" containsInteger="1" minValue="0" maxValue="86"/>
    </cacheField>
    <cacheField name="Previsão de Retorno" numFmtId="0">
      <sharedItems containsNonDate="0" containsDate="1" containsString="0" containsBlank="1" minDate="2024-11-11T00:00:00" maxDate="2024-12-31T00:00:00"/>
    </cacheField>
    <cacheField name="Motivo" numFmtId="0">
      <sharedItems/>
    </cacheField>
    <cacheField name="Componente/Subsistema" numFmtId="0">
      <sharedItems containsBlank="1"/>
    </cacheField>
    <cacheField name="Ação Pendente" numFmtId="0">
      <sharedItems longText="1"/>
    </cacheField>
    <cacheField name="Responsável pelas Ações" numFmtId="0">
      <sharedItems/>
    </cacheField>
    <cacheField name="Responsável" numFmtId="0">
      <sharedItems containsBlank="1"/>
    </cacheField>
    <cacheField name="Responsável pela Disponibilidade" numFmtId="0">
      <sharedItems/>
    </cacheField>
    <cacheField name="Horas paradas" numFmtId="2">
      <sharedItems containsSemiMixedTypes="0" containsString="0" containsNumber="1" containsInteger="1" minValue="0" maxValue="1704"/>
    </cacheField>
    <cacheField name="Indisponibilidade TB" numFmtId="10">
      <sharedItems containsSemiMixedTypes="0" containsString="0" containsNumber="1" minValue="0" maxValue="1.6351744186046513E-2"/>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odrigues, Victor" refreshedDate="45923.400827662037" createdVersion="8" refreshedVersion="8" minRefreshableVersion="3" recordCount="56" xr:uid="{567119DE-E4E6-4DA7-BD0F-196A4DDB1CED}">
  <cacheSource type="worksheet">
    <worksheetSource ref="A2:K58" sheet="Planilha5"/>
  </cacheSource>
  <cacheFields count="11">
    <cacheField name="Site" numFmtId="0">
      <sharedItems count="4">
        <s v="Asa Branca"/>
        <s v="Chapada I"/>
        <s v="Chapada II"/>
        <s v="Chapada III"/>
      </sharedItems>
    </cacheField>
    <cacheField name="Subsistema" numFmtId="0">
      <sharedItems count="14">
        <s v="Troubleshooting"/>
        <s v="Pitch Battery"/>
        <s v="Gerador"/>
        <s v="Pitch Axis Box"/>
        <s v="Gearbox"/>
        <s v="Pitch System"/>
        <s v="Pitch Bearing"/>
        <s v="Top Box"/>
        <s v="Yaw Drive"/>
        <s v="Blade"/>
        <s v="Flex coupling"/>
        <s v="Main Bearing"/>
        <s v="Gerador / Gearbox"/>
        <s v="Gerador e Yaw Drive"/>
      </sharedItems>
    </cacheField>
    <cacheField name="jan-25" numFmtId="0">
      <sharedItems containsSemiMixedTypes="0" containsString="0" containsNumber="1" containsInteger="1" minValue="0" maxValue="5"/>
    </cacheField>
    <cacheField name="fev-25" numFmtId="0">
      <sharedItems containsSemiMixedTypes="0" containsString="0" containsNumber="1" containsInteger="1" minValue="0" maxValue="7"/>
    </cacheField>
    <cacheField name="mar-25" numFmtId="0">
      <sharedItems containsSemiMixedTypes="0" containsString="0" containsNumber="1" containsInteger="1" minValue="0" maxValue="5"/>
    </cacheField>
    <cacheField name="abr-25" numFmtId="0">
      <sharedItems containsSemiMixedTypes="0" containsString="0" containsNumber="1" containsInteger="1" minValue="0" maxValue="4"/>
    </cacheField>
    <cacheField name="mai-25" numFmtId="0">
      <sharedItems containsSemiMixedTypes="0" containsString="0" containsNumber="1" containsInteger="1" minValue="0" maxValue="6"/>
    </cacheField>
    <cacheField name="jun-25" numFmtId="0">
      <sharedItems containsSemiMixedTypes="0" containsString="0" containsNumber="1" containsInteger="1" minValue="0" maxValue="4"/>
    </cacheField>
    <cacheField name="jul-25" numFmtId="0">
      <sharedItems containsSemiMixedTypes="0" containsString="0" containsNumber="1" containsInteger="1" minValue="0" maxValue="5"/>
    </cacheField>
    <cacheField name="ago-25" numFmtId="0">
      <sharedItems containsSemiMixedTypes="0" containsString="0" containsNumber="1" containsInteger="1" minValue="0" maxValue="4"/>
    </cacheField>
    <cacheField name="set-25" numFmtId="0">
      <sharedItems containsSemiMixedTypes="0" containsString="0" containsNumber="1" containsInteger="1" minValue="0" maxValue="3"/>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odrigues, Victor" refreshedDate="46142.680954166666" createdVersion="8" refreshedVersion="8" minRefreshableVersion="3" recordCount="179" xr:uid="{90ACF2D3-E7CF-4963-AC91-A9B3E6E3954F}">
  <cacheSource type="worksheet">
    <worksheetSource ref="A3:Q182" sheet="Fonte de Dados - Essentia"/>
  </cacheSource>
  <cacheFields count="17">
    <cacheField name="Site" numFmtId="0">
      <sharedItems/>
    </cacheField>
    <cacheField name="WTG" numFmtId="0">
      <sharedItems/>
    </cacheField>
    <cacheField name="Data da parada" numFmtId="14">
      <sharedItems containsNonDate="0" containsDate="1" containsString="0" containsBlank="1" minDate="2024-10-01T00:00:00" maxDate="2026-04-18T00:00:00"/>
    </cacheField>
    <cacheField name="Data de retorno" numFmtId="0">
      <sharedItems containsDate="1" containsBlank="1" containsMixedTypes="1" minDate="2024-11-14T00:00:00" maxDate="2026-04-25T00:00:00"/>
    </cacheField>
    <cacheField name="Status" numFmtId="0">
      <sharedItems containsBlank="1" count="4">
        <s v="Rodando"/>
        <s v="Rodando "/>
        <s v="Parada"/>
        <m u="1"/>
      </sharedItems>
    </cacheField>
    <cacheField name="Dias parada" numFmtId="0">
      <sharedItems containsBlank="1" containsMixedTypes="1" containsNumber="1" containsInteger="1" minValue="0" maxValue="22" count="11">
        <s v="-"/>
        <m/>
        <n v="14"/>
        <n v="13"/>
        <n v="16" u="1"/>
        <n v="7" u="1"/>
        <n v="22" u="1"/>
        <n v="9" u="1"/>
        <n v="6" u="1"/>
        <n v="3" u="1"/>
        <n v="0" u="1"/>
      </sharedItems>
    </cacheField>
    <cacheField name="Previsão de Retorno" numFmtId="0">
      <sharedItems containsDate="1" containsBlank="1" containsMixedTypes="1" minDate="2024-11-11T00:00:00" maxDate="2026-05-07T00:00:00"/>
    </cacheField>
    <cacheField name="Motivo" numFmtId="0">
      <sharedItems/>
    </cacheField>
    <cacheField name="Componente/Subsistema" numFmtId="0">
      <sharedItems containsBlank="1" count="19">
        <s v="Troubleshooting"/>
        <s v="Pitch Battery"/>
        <s v="Gerador"/>
        <s v="Pitch Axis Box"/>
        <s v="Gearbox"/>
        <s v="Pitch System"/>
        <s v="Pitch Bearing"/>
        <s v="Top Box"/>
        <s v="Yaw Drive"/>
        <s v="Blade"/>
        <s v="Flex coupling"/>
        <s v="Main Bearing"/>
        <s v="Gerador / Gearbox"/>
        <s v="Freio Secundário"/>
        <s v="HSS"/>
        <s v="Gerador e Yaw Drive"/>
        <s v="Gearbox+MAIN BEARING"/>
        <s v="Main Bearing e Gearbox"/>
        <m u="1"/>
      </sharedItems>
    </cacheField>
    <cacheField name="Brief Description" numFmtId="0">
      <sharedItems containsBlank="1" count="6">
        <s v="Troubleshooting"/>
        <s v="UPTOWER REPAIR"/>
        <s v="MCE"/>
        <m/>
        <s v="Essentia"/>
        <s v="O&amp;M"/>
      </sharedItems>
    </cacheField>
    <cacheField name="Ação Pendente / Comentários" numFmtId="0">
      <sharedItems containsBlank="1" longText="1"/>
    </cacheField>
    <cacheField name="%MCE" numFmtId="0">
      <sharedItems containsBlank="1" containsMixedTypes="1" containsNumber="1" minValue="0" maxValue="1"/>
    </cacheField>
    <cacheField name="Responsável pelas Ações" numFmtId="0">
      <sharedItems containsBlank="1"/>
    </cacheField>
    <cacheField name="Responsável" numFmtId="0">
      <sharedItems containsBlank="1" containsMixedTypes="1" containsNumber="1" containsInteger="1" minValue="0" maxValue="64"/>
    </cacheField>
    <cacheField name="Responsável pela Disponibilidade" numFmtId="0">
      <sharedItems containsBlank="1" containsMixedTypes="1" containsNumber="1" containsInteger="1" minValue="0" maxValue="64"/>
    </cacheField>
    <cacheField name="Horas paradas" numFmtId="0">
      <sharedItems containsString="0" containsBlank="1" containsNumber="1" containsInteger="1" minValue="0" maxValue="3888"/>
    </cacheField>
    <cacheField name="Indisponibilidade TB" numFmtId="0">
      <sharedItems containsString="0" containsBlank="1" containsNumber="1" minValue="0" maxValue="61.571428571428569"/>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odrigues, Victor" refreshedDate="46282.673931018522" createdVersion="8" refreshedVersion="8" minRefreshableVersion="3" recordCount="20" xr:uid="{B1CDF288-9B11-4778-BCD6-6F7021DDEE0E}">
  <cacheSource type="worksheet">
    <worksheetSource ref="A5:R25" sheet="Fonte de Dados - Auren"/>
  </cacheSource>
  <cacheFields count="18">
    <cacheField name="Site" numFmtId="0">
      <sharedItems count="2">
        <s v="Caetés"/>
        <s v="Alto Sertão 2"/>
      </sharedItems>
    </cacheField>
    <cacheField name="WTG" numFmtId="0">
      <sharedItems/>
    </cacheField>
    <cacheField name="Data da parada" numFmtId="14">
      <sharedItems containsSemiMixedTypes="0" containsNonDate="0" containsDate="1" containsString="0" minDate="2026-06-13T00:00:00" maxDate="2026-09-05T00:00:00"/>
    </cacheField>
    <cacheField name="Data de retorno" numFmtId="0">
      <sharedItems containsNonDate="0" containsDate="1" containsString="0" containsBlank="1" minDate="2026-07-17T00:00:00" maxDate="2026-09-17T00:00:00"/>
    </cacheField>
    <cacheField name="Status" numFmtId="0">
      <sharedItems count="2">
        <s v="Rodando"/>
        <s v="Parada"/>
      </sharedItems>
    </cacheField>
    <cacheField name="Dias parada" numFmtId="0">
      <sharedItems containsMixedTypes="1" containsNumber="1" containsInteger="1" minValue="6" maxValue="93" count="12">
        <s v="-"/>
        <n v="93"/>
        <n v="55"/>
        <n v="14"/>
        <n v="86" u="1"/>
        <n v="62" u="1"/>
        <n v="48" u="1"/>
        <n v="40" u="1"/>
        <n v="15" u="1"/>
        <n v="13" u="1"/>
        <n v="7" u="1"/>
        <n v="6" u="1"/>
      </sharedItems>
    </cacheField>
    <cacheField name="Previsão de Retorno" numFmtId="0">
      <sharedItems containsNonDate="0" containsDate="1" containsString="0" containsBlank="1" minDate="2026-07-31T00:00:00" maxDate="2026-08-28T00:00:00"/>
    </cacheField>
    <cacheField name="Motivo" numFmtId="0">
      <sharedItems/>
    </cacheField>
    <cacheField name="Componente/Subsistema" numFmtId="0">
      <sharedItems count="7">
        <s v="Pitch Bearing"/>
        <s v="Blade"/>
        <s v="Main Bearing"/>
        <s v="Gerador"/>
        <s v="Gearbox"/>
        <s v="Torre"/>
        <s v="Pitch Drive"/>
      </sharedItems>
    </cacheField>
    <cacheField name="Brief Description" numFmtId="0">
      <sharedItems count="3">
        <s v="MCE"/>
        <s v="UPTOWER REPAIR"/>
        <s v="Troubleshooting"/>
      </sharedItems>
    </cacheField>
    <cacheField name="Ação Pendente / Comentários" numFmtId="0">
      <sharedItems longText="1"/>
    </cacheField>
    <cacheField name="%MCE" numFmtId="0">
      <sharedItems containsString="0" containsBlank="1" containsNumber="1" containsInteger="1" minValue="1" maxValue="1"/>
    </cacheField>
    <cacheField name="Responsável pelas Ações" numFmtId="0">
      <sharedItems/>
    </cacheField>
    <cacheField name="Responsável" numFmtId="0">
      <sharedItems containsNonDate="0" containsString="0" containsBlank="1"/>
    </cacheField>
    <cacheField name="Responsável pela Disponibilidade" numFmtId="0">
      <sharedItems containsNonDate="0" containsString="0" containsBlank="1"/>
    </cacheField>
    <cacheField name="Horas paradas" numFmtId="0">
      <sharedItems containsNonDate="0" containsString="0" containsBlank="1"/>
    </cacheField>
    <cacheField name="Indisponibilidade TB" numFmtId="0">
      <sharedItems containsNonDate="0" containsString="0" containsBlank="1"/>
    </cacheField>
    <cacheField name="45292"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odrigues, Victor" refreshedDate="46289.662987847223" createdVersion="8" refreshedVersion="8" minRefreshableVersion="3" recordCount="118" xr:uid="{2A5111A9-9D83-489B-AFBA-0464AD8FAB75}">
  <cacheSource type="worksheet">
    <worksheetSource ref="A1:N119" sheet="Historic"/>
  </cacheSource>
  <cacheFields count="14">
    <cacheField name="YEAR+WEEK" numFmtId="0">
      <sharedItems/>
    </cacheField>
    <cacheField name="Year" numFmtId="0">
      <sharedItems count="3">
        <s v="2024"/>
        <s v="2025"/>
        <s v="2026"/>
      </sharedItems>
    </cacheField>
    <cacheField name="Week" numFmtId="0">
      <sharedItems count="52">
        <s v="39"/>
        <s v="40"/>
        <s v="41"/>
        <s v="42"/>
        <s v="43"/>
        <s v="44"/>
        <s v="45"/>
        <s v="46"/>
        <s v="47"/>
        <s v="48"/>
        <s v="49"/>
        <s v="50"/>
        <s v="51"/>
        <s v="52"/>
        <s v="01"/>
        <s v="02"/>
        <s v="03"/>
        <s v="04"/>
        <s v="05"/>
        <s v="06"/>
        <s v="07"/>
        <s v="08"/>
        <s v="09"/>
        <s v="10"/>
        <s v="11"/>
        <s v="12"/>
        <s v="13"/>
        <s v="14"/>
        <s v="15"/>
        <s v="16"/>
        <s v="17"/>
        <s v="18"/>
        <s v="19"/>
        <s v="20"/>
        <s v="21"/>
        <s v="22"/>
        <s v="23"/>
        <s v="24"/>
        <s v="25"/>
        <s v="26"/>
        <s v="27"/>
        <s v="28"/>
        <s v="29"/>
        <s v="30"/>
        <s v="31"/>
        <s v="32"/>
        <s v="33"/>
        <s v="34"/>
        <s v="35"/>
        <s v="36"/>
        <s v="37"/>
        <s v="38"/>
      </sharedItems>
    </cacheField>
    <cacheField name="Domingo" numFmtId="14">
      <sharedItems containsSemiMixedTypes="0" containsNonDate="0" containsDate="1" containsString="0" minDate="2024-09-23T00:00:00" maxDate="2026-12-22T00:00:00"/>
    </cacheField>
    <cacheField name="Sábado" numFmtId="14">
      <sharedItems containsSemiMixedTypes="0" containsNonDate="0" containsDate="1" containsString="0" minDate="2024-09-29T00:00:00" maxDate="2026-12-28T00:00:00"/>
    </cacheField>
    <cacheField name="ASA" numFmtId="0">
      <sharedItems containsString="0" containsBlank="1" containsNumber="1" containsInteger="1" minValue="0" maxValue="3"/>
    </cacheField>
    <cacheField name="CHA" numFmtId="0">
      <sharedItems containsString="0" containsBlank="1" containsNumber="1" containsInteger="1" minValue="1" maxValue="17"/>
    </cacheField>
    <cacheField name="Total" numFmtId="0">
      <sharedItems containsSemiMixedTypes="0" containsString="0" containsNumber="1" containsInteger="1" minValue="0" maxValue="18"/>
    </cacheField>
    <cacheField name="Turbinas afetadas" numFmtId="0">
      <sharedItems containsString="0" containsBlank="1" containsNumber="1" containsInteger="1" minValue="0" maxValue="157"/>
    </cacheField>
    <cacheField name="SOMA" numFmtId="0">
      <sharedItems containsSemiMixedTypes="0" containsString="0" containsNumber="1" containsInteger="1" minValue="0" maxValue="18"/>
    </cacheField>
    <cacheField name="MÉDIA ACUMULADA" numFmtId="166">
      <sharedItems containsString="0" containsBlank="1" containsNumber="1" minValue="8" maxValue="13.357142857142858"/>
    </cacheField>
    <cacheField name="MÉDIA ANUAL" numFmtId="166">
      <sharedItems containsString="0" containsBlank="1" containsNumber="1" minValue="8" maxValue="14"/>
    </cacheField>
    <cacheField name="#" numFmtId="0">
      <sharedItems containsSemiMixedTypes="0" containsString="0" containsNumber="1" containsInteger="1" minValue="1" maxValue="118"/>
    </cacheField>
    <cacheField name="Média WindSpeed" numFmtId="0">
      <sharedItems containsBlank="1" containsMixedTypes="1" containsNumber="1" minValue="3.587361304908252" maxValue="9.337415162777889"/>
    </cacheField>
  </cacheFields>
  <extLst>
    <ext xmlns:x14="http://schemas.microsoft.com/office/spreadsheetml/2009/9/main" uri="{725AE2AE-9491-48be-B2B4-4EB974FC3084}">
      <x14:pivotCacheDefinition/>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odrigues, Victor" refreshedDate="46289.663268750002" createdVersion="8" refreshedVersion="8" minRefreshableVersion="3" recordCount="234" xr:uid="{6FC77A84-2393-487E-B6B4-5A158F605ABC}">
  <cacheSource type="worksheet">
    <worksheetSource ref="A3:Q237" sheet="Fonte de Dados - Essentia"/>
  </cacheSource>
  <cacheFields count="17">
    <cacheField name="Site" numFmtId="0">
      <sharedItems count="4">
        <s v="Chapada I"/>
        <s v="Asa Branca"/>
        <s v="Chapada II"/>
        <s v="Chapada III"/>
      </sharedItems>
    </cacheField>
    <cacheField name="WTG" numFmtId="0">
      <sharedItems/>
    </cacheField>
    <cacheField name="Data da parada" numFmtId="14">
      <sharedItems containsNonDate="0" containsDate="1" containsString="0" containsBlank="1" minDate="2024-10-01T00:00:00" maxDate="2026-09-23T00:00:00"/>
    </cacheField>
    <cacheField name="Data de retorno" numFmtId="0">
      <sharedItems containsDate="1" containsBlank="1" containsMixedTypes="1" minDate="2024-11-14T00:00:00" maxDate="2026-09-23T00:00:00"/>
    </cacheField>
    <cacheField name="Status" numFmtId="0">
      <sharedItems count="3">
        <s v="Rodando"/>
        <s v="Rodando "/>
        <s v="Parada"/>
      </sharedItems>
    </cacheField>
    <cacheField name="Dias parada" numFmtId="0">
      <sharedItems containsBlank="1" containsMixedTypes="1" containsNumber="1" containsInteger="1" minValue="2" maxValue="77" count="7">
        <s v="-"/>
        <n v="77"/>
        <m/>
        <n v="15"/>
        <n v="13"/>
        <n v="10"/>
        <n v="2"/>
      </sharedItems>
    </cacheField>
    <cacheField name="Previsão de Retorno" numFmtId="0">
      <sharedItems containsDate="1" containsBlank="1" containsMixedTypes="1" minDate="2024-11-11T00:00:00" maxDate="2026-09-22T00:00:00"/>
    </cacheField>
    <cacheField name="Motivo" numFmtId="0">
      <sharedItems/>
    </cacheField>
    <cacheField name="Componente/Subsistema" numFmtId="0">
      <sharedItems count="22">
        <s v="Troubleshooting"/>
        <s v="Pitch Battery"/>
        <s v="Gerador"/>
        <s v="Pitch Axis Box"/>
        <s v="Gearbox"/>
        <s v="Pitch System"/>
        <s v="Pitch Bearing"/>
        <s v="Top Box"/>
        <s v="Yaw Drive"/>
        <s v="Blade"/>
        <s v="Flex coupling"/>
        <s v="Main Bearing"/>
        <s v="Gerador / Gearbox"/>
        <s v="Freio Secundário"/>
        <s v="HSS"/>
        <s v="Gerador e Yaw Drive"/>
        <s v="Gearbox+MAIN BEARING"/>
        <s v="Main Bearing e Gearbox"/>
        <s v="Pitch Bearing / Blade"/>
        <s v="Gearbox e Main Bearing"/>
        <s v="Pitch Motor"/>
        <s v="Acoplamento"/>
      </sharedItems>
    </cacheField>
    <cacheField name="Brief Description" numFmtId="0">
      <sharedItems containsBlank="1" count="9">
        <s v="Troubleshooting"/>
        <s v="UPTOWER REPAIR"/>
        <s v="MCE"/>
        <m/>
        <s v="Essentia"/>
        <s v="O&amp;M"/>
        <s v="MCE / UPTOWER REPAIR"/>
        <s v="UPTOWER"/>
        <s v="UPTOWER REPAIR MCE"/>
      </sharedItems>
    </cacheField>
    <cacheField name="Ação Pendente / Comentários" numFmtId="0">
      <sharedItems containsBlank="1" longText="1"/>
    </cacheField>
    <cacheField name="%MCE" numFmtId="0">
      <sharedItems containsBlank="1" containsMixedTypes="1" containsNumber="1" minValue="0" maxValue="1"/>
    </cacheField>
    <cacheField name="Responsável pelas Ações" numFmtId="0">
      <sharedItems containsBlank="1"/>
    </cacheField>
    <cacheField name="Responsável" numFmtId="0">
      <sharedItems containsBlank="1" containsMixedTypes="1" containsNumber="1" containsInteger="1" minValue="0" maxValue="64"/>
    </cacheField>
    <cacheField name="Responsável pela Disponibilidade" numFmtId="0">
      <sharedItems containsBlank="1" containsMixedTypes="1" containsNumber="1" containsInteger="1" minValue="0" maxValue="64"/>
    </cacheField>
    <cacheField name="Horas paradas" numFmtId="0">
      <sharedItems containsString="0" containsBlank="1" containsNumber="1" containsInteger="1" minValue="0" maxValue="3888"/>
    </cacheField>
    <cacheField name="Indisponibilidade TB" numFmtId="0">
      <sharedItems containsString="0" containsBlank="1" containsNumber="1" minValue="0" maxValue="61.571428571428569"/>
    </cacheField>
  </cacheFields>
  <extLst>
    <ext xmlns:x14="http://schemas.microsoft.com/office/spreadsheetml/2009/9/main" uri="{725AE2AE-9491-48be-B2B4-4EB974FC3084}">
      <x14:pivotCacheDefinition/>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odrigues, Victor" refreshedDate="46289.66863148148" createdVersion="8" refreshedVersion="8" minRefreshableVersion="3" recordCount="48" xr:uid="{39AE3491-5DAB-427D-BC8D-4B0DA784B862}">
  <cacheSource type="worksheet">
    <worksheetSource ref="A1:M49" sheet="Historic - Auren"/>
  </cacheSource>
  <cacheFields count="13">
    <cacheField name="YEAR+WEEK" numFmtId="0">
      <sharedItems/>
    </cacheField>
    <cacheField name="Year" numFmtId="0">
      <sharedItems count="1">
        <s v="2026"/>
      </sharedItems>
    </cacheField>
    <cacheField name="Week" numFmtId="0">
      <sharedItems count="48">
        <s v="05"/>
        <s v="06"/>
        <s v="07"/>
        <s v="08"/>
        <s v="09"/>
        <s v="10"/>
        <s v="11"/>
        <s v="12"/>
        <s v="13"/>
        <s v="14"/>
        <s v="15"/>
        <s v="16"/>
        <s v="17"/>
        <s v="18"/>
        <s v="19"/>
        <s v="20"/>
        <s v="21"/>
        <s v="22"/>
        <s v="23"/>
        <s v="24"/>
        <s v="25"/>
        <s v="26"/>
        <s v="27"/>
        <s v="28"/>
        <s v="29"/>
        <s v="30"/>
        <s v="31"/>
        <s v="32"/>
        <s v="33"/>
        <s v="34"/>
        <s v="35"/>
        <s v="36"/>
        <s v="37"/>
        <s v="38"/>
        <s v="39"/>
        <s v="40"/>
        <s v="41"/>
        <s v="42"/>
        <s v="43"/>
        <s v="44"/>
        <s v="45"/>
        <s v="46"/>
        <s v="47"/>
        <s v="48"/>
        <s v="49"/>
        <s v="50"/>
        <s v="51"/>
        <s v="52"/>
      </sharedItems>
    </cacheField>
    <cacheField name="Domingo" numFmtId="14">
      <sharedItems containsSemiMixedTypes="0" containsNonDate="0" containsDate="1" containsString="0" minDate="2026-01-26T00:00:00" maxDate="2026-12-22T00:00:00"/>
    </cacheField>
    <cacheField name="Sábado" numFmtId="14">
      <sharedItems containsSemiMixedTypes="0" containsNonDate="0" containsDate="1" containsString="0" minDate="2026-02-01T00:00:00" maxDate="2026-12-28T00:00:00"/>
    </cacheField>
    <cacheField name="CAE" numFmtId="0">
      <sharedItems containsString="0" containsBlank="1" containsNumber="1" containsInteger="1" minValue="1" maxValue="4"/>
    </cacheField>
    <cacheField name="AS2" numFmtId="0">
      <sharedItems containsString="0" containsBlank="1" containsNumber="1" containsInteger="1" minValue="0" maxValue="4"/>
    </cacheField>
    <cacheField name="Total" numFmtId="0">
      <sharedItems containsSemiMixedTypes="0" containsString="0" containsNumber="1" containsInteger="1" minValue="0" maxValue="7"/>
    </cacheField>
    <cacheField name="Turbinas afetadas" numFmtId="0">
      <sharedItems containsNonDate="0" containsString="0" containsBlank="1"/>
    </cacheField>
    <cacheField name="SOMA" numFmtId="0">
      <sharedItems containsSemiMixedTypes="0" containsString="0" containsNumber="1" containsInteger="1" minValue="0" maxValue="7"/>
    </cacheField>
    <cacheField name="MÉDIA ACUMULADA" numFmtId="166">
      <sharedItems containsSemiMixedTypes="0" containsString="0" containsNumber="1" minValue="0" maxValue="0.21875"/>
    </cacheField>
    <cacheField name="MÉDIA ANUAL" numFmtId="166">
      <sharedItems containsNonDate="0" containsString="0" containsBlank="1"/>
    </cacheField>
    <cacheField name="#" numFmtId="0">
      <sharedItems containsSemiMixedTypes="0" containsString="0" containsNumber="1" containsInteger="1" minValue="1" maxValue="48"/>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2">
  <r>
    <x v="0"/>
    <x v="0"/>
    <x v="0"/>
    <m/>
    <x v="0"/>
    <x v="0"/>
    <x v="0"/>
    <x v="0"/>
    <x v="0"/>
    <s v="Operations - FSO"/>
    <s v="Essentia"/>
  </r>
  <r>
    <x v="0"/>
    <x v="1"/>
    <x v="0"/>
    <m/>
    <x v="0"/>
    <x v="1"/>
    <x v="1"/>
    <x v="1"/>
    <x v="0"/>
    <s v="Operations - FSO"/>
    <s v="Essentia"/>
  </r>
  <r>
    <x v="0"/>
    <x v="2"/>
    <x v="0"/>
    <m/>
    <x v="0"/>
    <x v="2"/>
    <x v="1"/>
    <x v="1"/>
    <x v="0"/>
    <s v="Operations - FSO"/>
    <s v="Essentia"/>
  </r>
  <r>
    <x v="0"/>
    <x v="3"/>
    <x v="0"/>
    <m/>
    <x v="0"/>
    <x v="3"/>
    <x v="2"/>
    <x v="2"/>
    <x v="0"/>
    <s v="Operations - FSO"/>
    <s v="Essentia"/>
  </r>
  <r>
    <x v="0"/>
    <x v="4"/>
    <x v="0"/>
    <m/>
    <x v="0"/>
    <x v="4"/>
    <x v="3"/>
    <x v="3"/>
    <x v="0"/>
    <s v="Operations - FSO"/>
    <s v="Essentia"/>
  </r>
  <r>
    <x v="1"/>
    <x v="5"/>
    <x v="0"/>
    <m/>
    <x v="0"/>
    <x v="5"/>
    <x v="4"/>
    <x v="0"/>
    <x v="0"/>
    <s v="Operations - FSO"/>
    <s v="Essentia"/>
  </r>
  <r>
    <x v="1"/>
    <x v="6"/>
    <x v="0"/>
    <m/>
    <x v="0"/>
    <x v="1"/>
    <x v="5"/>
    <x v="1"/>
    <x v="1"/>
    <s v="Operations - O&amp;M"/>
    <s v="Essentia"/>
  </r>
  <r>
    <x v="0"/>
    <x v="7"/>
    <x v="1"/>
    <m/>
    <x v="1"/>
    <x v="1"/>
    <x v="6"/>
    <x v="1"/>
    <x v="2"/>
    <s v="Engenharia"/>
    <s v="Victor, Warton e Anderson"/>
  </r>
  <r>
    <x v="1"/>
    <x v="8"/>
    <x v="2"/>
    <m/>
    <x v="2"/>
    <x v="3"/>
    <x v="7"/>
    <x v="4"/>
    <x v="0"/>
    <s v="Operations - FSO"/>
    <s v="Samir e FSO"/>
  </r>
  <r>
    <x v="0"/>
    <x v="9"/>
    <x v="3"/>
    <m/>
    <x v="3"/>
    <x v="6"/>
    <x v="3"/>
    <x v="3"/>
    <x v="3"/>
    <s v="Operations - FSO"/>
    <s v="Samir e FSO/Essentia"/>
  </r>
  <r>
    <x v="1"/>
    <x v="10"/>
    <x v="4"/>
    <m/>
    <x v="4"/>
    <x v="7"/>
    <x v="5"/>
    <x v="1"/>
    <x v="4"/>
    <s v="Operations - O&amp;M"/>
    <s v="Warton e Anderson"/>
  </r>
  <r>
    <x v="2"/>
    <x v="11"/>
    <x v="5"/>
    <m/>
    <x v="5"/>
    <x v="8"/>
    <x v="5"/>
    <x v="1"/>
    <x v="5"/>
    <s v="Operations - O&amp;M"/>
    <s v="Marcelo Lins"/>
  </r>
  <r>
    <x v="3"/>
    <x v="12"/>
    <x v="5"/>
    <m/>
    <x v="5"/>
    <x v="9"/>
    <x v="8"/>
    <x v="5"/>
    <x v="6"/>
    <s v="Operations - O&amp;M"/>
    <s v="Warton e Anderson"/>
  </r>
  <r>
    <x v="2"/>
    <x v="13"/>
    <x v="6"/>
    <m/>
    <x v="6"/>
    <x v="9"/>
    <x v="9"/>
    <x v="6"/>
    <x v="7"/>
    <s v="Engenharia"/>
    <s v="Victor e Daniel"/>
  </r>
  <r>
    <x v="2"/>
    <x v="14"/>
    <x v="7"/>
    <m/>
    <x v="7"/>
    <x v="10"/>
    <x v="5"/>
    <x v="1"/>
    <x v="5"/>
    <s v="Operations - O&amp;M"/>
    <s v="Marcelo Lins"/>
  </r>
  <r>
    <x v="1"/>
    <x v="15"/>
    <x v="7"/>
    <m/>
    <x v="7"/>
    <x v="9"/>
    <x v="10"/>
    <x v="6"/>
    <x v="8"/>
    <s v="Operations - O&amp;M"/>
    <s v="Warton e Anderson"/>
  </r>
  <r>
    <x v="3"/>
    <x v="16"/>
    <x v="7"/>
    <m/>
    <x v="7"/>
    <x v="9"/>
    <x v="11"/>
    <x v="0"/>
    <x v="9"/>
    <s v="Engenharia"/>
    <s v="Warton, Anderson e Gustavo"/>
  </r>
  <r>
    <x v="0"/>
    <x v="17"/>
    <x v="8"/>
    <m/>
    <x v="8"/>
    <x v="9"/>
    <x v="12"/>
    <x v="6"/>
    <x v="10"/>
    <s v="Operations - O&amp;M"/>
    <s v="Warton e Anderson"/>
  </r>
  <r>
    <x v="2"/>
    <x v="18"/>
    <x v="9"/>
    <m/>
    <x v="9"/>
    <x v="9"/>
    <x v="9"/>
    <x v="6"/>
    <x v="10"/>
    <s v="Operations - O&amp;M"/>
    <s v="Daniel"/>
  </r>
  <r>
    <x v="0"/>
    <x v="19"/>
    <x v="9"/>
    <m/>
    <x v="9"/>
    <x v="9"/>
    <x v="13"/>
    <x v="6"/>
    <x v="10"/>
    <s v="Operations - O&amp;M"/>
    <s v="Warton e Anderson"/>
  </r>
  <r>
    <x v="1"/>
    <x v="20"/>
    <x v="9"/>
    <m/>
    <x v="9"/>
    <x v="9"/>
    <x v="10"/>
    <x v="6"/>
    <x v="8"/>
    <s v="Operations - O&amp;M"/>
    <s v="Warton e Anderson"/>
  </r>
  <r>
    <x v="0"/>
    <x v="21"/>
    <x v="10"/>
    <m/>
    <x v="10"/>
    <x v="9"/>
    <x v="14"/>
    <x v="5"/>
    <x v="6"/>
    <s v="Operations - O&amp;M"/>
    <s v="Warton e Anderson"/>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
  <r>
    <x v="0"/>
    <s v="JOA 13-15"/>
    <d v="2024-11-14T00:00:00"/>
    <d v="2024-11-14T00:00:00"/>
    <x v="0"/>
    <s v="-"/>
    <d v="2024-11-14T00:00:00"/>
    <s v="Falha de safety chain. "/>
    <m/>
    <s v="Troubleshooting da falha."/>
    <s v="Operations - O&amp;M"/>
    <s v="Warton e Anderson"/>
    <s v="Invenergy"/>
    <n v="0"/>
    <n v="0"/>
  </r>
  <r>
    <x v="1"/>
    <s v="AB 05-13"/>
    <d v="2024-11-13T00:00:00"/>
    <d v="2024-11-15T00:00:00"/>
    <x v="0"/>
    <s v="-"/>
    <d v="2024-11-15T00:00:00"/>
    <s v="Turbina não passa no teste de baterias do sistema de pitch. "/>
    <s v="Pitch Battery"/>
    <s v="Troubleshooting da falha e suporte da engenharia. "/>
    <s v="Engenharia"/>
    <s v="Daniel"/>
    <s v="Invenergy"/>
    <n v="48"/>
    <n v="2.3255813953488373E-4"/>
  </r>
  <r>
    <x v="2"/>
    <s v="JOA 01-12"/>
    <d v="2024-11-11T00:00:00"/>
    <d v="2024-11-16T00:00:00"/>
    <x v="0"/>
    <s v="-"/>
    <d v="2024-11-14T00:00:00"/>
    <s v="Falha de baterias na axis 1. WEPA da axis 1 está danificada. Estamos utilizando WEPAs reparadas e baterias novas. "/>
    <s v="Pitch Battery"/>
    <s v="Troca da WEPA. "/>
    <s v="Operations - O&amp;M"/>
    <s v="Warton e Anderson"/>
    <s v="Invenergy"/>
    <n v="120"/>
    <n v="5.8139534883720929E-4"/>
  </r>
  <r>
    <x v="0"/>
    <s v="JOA 12-08"/>
    <d v="2024-10-01T00:00:00"/>
    <m/>
    <x v="1"/>
    <n v="86"/>
    <m/>
    <s v="Reparo de pá feito. Aguardando MCE."/>
    <s v="Blade"/>
    <s v="Aguardando MCE."/>
    <s v="Operations - FSO"/>
    <s v="Essentia"/>
    <s v="Essentia"/>
    <n v="0"/>
    <n v="0"/>
  </r>
  <r>
    <x v="0"/>
    <s v="JOA 15-12"/>
    <d v="2024-10-01T00:00:00"/>
    <m/>
    <x v="1"/>
    <n v="86"/>
    <m/>
    <s v="Danos na gearbox e pitch bearing. Pendente MCE."/>
    <s v="Pitch Bearing"/>
    <s v="Aguardando MCE."/>
    <s v="Operations - FSO"/>
    <s v="Essentia"/>
    <s v="Essentia"/>
    <n v="0"/>
    <n v="0"/>
  </r>
  <r>
    <x v="2"/>
    <s v="JOA 04-13"/>
    <d v="2024-10-01T00:00:00"/>
    <m/>
    <x v="1"/>
    <n v="86"/>
    <m/>
    <s v="Danos na gearbox. Aguardando MCE."/>
    <s v="Gearbox"/>
    <s v="Aguardando MCE."/>
    <s v="Operations - FSO"/>
    <s v="Essentia"/>
    <s v="Essentia"/>
    <n v="0"/>
    <n v="0"/>
  </r>
  <r>
    <x v="1"/>
    <s v="AB 06-06"/>
    <d v="2024-11-10T00:00:00"/>
    <d v="2024-11-17T00:00:00"/>
    <x v="0"/>
    <s v="-"/>
    <d v="2024-11-14T00:00:00"/>
    <s v="Turbina não passa no teste de baterias do sistema de pitch. "/>
    <s v="Pitch Battery"/>
    <s v="Troubleshooting da falha com suporte da engenharia. "/>
    <s v="Engenharia"/>
    <s v="Victor e Daniel"/>
    <s v="Invenergy"/>
    <n v="168"/>
    <n v="8.1395348837209306E-4"/>
  </r>
  <r>
    <x v="2"/>
    <s v="JOA 04-14"/>
    <d v="2024-11-04T00:00:00"/>
    <d v="2024-11-20T00:00:00"/>
    <x v="0"/>
    <s v="-"/>
    <d v="2024-11-19T00:00:00"/>
    <s v="Danos no gerador, curto no wye ring. "/>
    <s v="Gerador"/>
    <s v="Reparo do gerador em andamento."/>
    <s v="Operations - O&amp;M"/>
    <s v="Warton e Anderson"/>
    <s v="Essentia"/>
    <n v="0"/>
    <n v="0"/>
  </r>
  <r>
    <x v="2"/>
    <s v="JOA 05-05"/>
    <d v="2024-10-16T00:00:00"/>
    <m/>
    <x v="1"/>
    <n v="71"/>
    <d v="2024-12-26T00:00:00"/>
    <s v="MCE concluída. Corretivas pendentes."/>
    <s v="Top Box"/>
    <s v="Corretiva sendo executada hoje. Houveram danos nos IGBTs de linha e de rotor, falha na unidade hidráulica de freio,  ligação do cabo de fase estava para o terra, motores de yaw fora da posição e baixo nível de óleo na gearbox. "/>
    <s v="Operations - O&amp;M"/>
    <s v="Samir e FSO"/>
    <s v="Invenergy"/>
    <n v="1704"/>
    <n v="8.2558139534883723E-3"/>
  </r>
  <r>
    <x v="2"/>
    <s v="JOA 03-06"/>
    <d v="2024-11-19T00:00:00"/>
    <d v="2024-11-22T00:00:00"/>
    <x v="2"/>
    <s v="-"/>
    <d v="2024-11-22T00:00:00"/>
    <s v="Quebra da barra de suporte da axis box. "/>
    <m/>
    <s v="Sendo realizada a ação corretiva sugerida pela Essentia. Não temos disponível a peça sugerida para a correção, iremos canibalizar outra turbina (AUG 05-13) para reparar a barra danificada com o novo coxim. SS aberta para suporte da engenharia para entendendermos a causa raiz da falha. "/>
    <s v="Operations - O&amp;M / Engenharia"/>
    <m/>
    <s v="Invenergy"/>
    <n v="72"/>
    <n v="3.4883720930232559E-4"/>
  </r>
  <r>
    <x v="0"/>
    <s v="JOA 11-10"/>
    <d v="2024-10-01T00:00:00"/>
    <d v="2024-11-26T00:00:00"/>
    <x v="2"/>
    <s v="-"/>
    <d v="2024-11-11T00:00:00"/>
    <s v="Troca de Gearbox."/>
    <s v="Gearbox"/>
    <s v="Aguardando MCE."/>
    <s v="Operations - FSO"/>
    <s v="Essentia"/>
    <s v="Essentia"/>
    <n v="0"/>
    <n v="0"/>
  </r>
  <r>
    <x v="1"/>
    <s v="AB 07-11"/>
    <d v="2024-11-05T00:00:00"/>
    <m/>
    <x v="1"/>
    <n v="51"/>
    <m/>
    <s v="Danos no gerador, curto no wye ring. Aguardando MCE. "/>
    <s v="Gerador"/>
    <s v="Tentativa de Reparo do gerador foi realizada, porém, o reparo exigirá um esforço maior, portanto, foi acordado que terminariamos o reparo da 06-08 primeiro e depois voltaremos para a 07-11. Foi feita uma tentativa de reparo, porém, sem sucesso. Aguardando MCE. "/>
    <s v="Operations - FSO"/>
    <s v="Marcelo Lins"/>
    <s v="Essentia"/>
    <n v="0"/>
    <n v="0"/>
  </r>
  <r>
    <x v="0"/>
    <s v="JOA 11-14"/>
    <d v="2024-10-01T00:00:00"/>
    <d v="2024-11-26T00:00:00"/>
    <x v="2"/>
    <s v="-"/>
    <d v="2024-11-22T00:00:00"/>
    <s v="Troca de Gerador. "/>
    <s v="Gerador"/>
    <s v="Aguardando MCE."/>
    <s v="Operations - FSO"/>
    <s v="Essentia"/>
    <s v="Essentia"/>
    <n v="0"/>
    <n v="0"/>
  </r>
  <r>
    <x v="3"/>
    <s v="AUG 05-12"/>
    <d v="2024-11-05T00:00:00"/>
    <d v="2024-11-28T00:00:00"/>
    <x v="0"/>
    <s v="-"/>
    <d v="2024-11-29T00:00:00"/>
    <s v="Pitch controller colective fault. "/>
    <s v="Pitch System"/>
    <s v="Troubleshooting da falha. Motivos de força maior impactaram no atendimento da turbina. Já foi tentando várias soluções e não deram certo. Foi feita a troca do cabo de controle da axis cabinet. Está sendo feita a verificação do sistema de freios das axis hoje (21/11). SS aberta (18/11) solicitando suporte da Engenharia. Sendo realizada a formatação e upload do parâmetros na UCSA. Troca dos componentes não teriam sido necessárias se tivéssemos os privilégios master de acesso ao SCADA."/>
    <s v="Operations - O&amp;M / Engenharia"/>
    <s v="Warton e Anderson"/>
    <s v="Invenergy"/>
    <n v="552"/>
    <n v="8.357558139534883E-3"/>
  </r>
  <r>
    <x v="0"/>
    <s v="JOA 12-17"/>
    <d v="2024-10-02T00:00:00"/>
    <d v="2024-11-29T00:00:00"/>
    <x v="0"/>
    <s v="-"/>
    <d v="2024-11-29T00:00:00"/>
    <s v="Reparo executado no wye ring do gerador, porém, apresentou falha de fuga de corrente no terra. "/>
    <s v="Gerador"/>
    <s v="Trenders foram coletados e analisados. Foram realizadas novas medições, as quais não mostraram anomalias, então o gerador foi reaberto e identificado danos no wye ring. Reparo já está sendo feito (solda do ponto, limpeza entre espiras e reparo do isolamento. "/>
    <s v="Operations - O&amp;M  "/>
    <s v="Victor, Warton e Anderson"/>
    <s v="Essentia"/>
    <n v="0"/>
    <n v="0"/>
  </r>
  <r>
    <x v="0"/>
    <s v="JOA 12-04"/>
    <d v="2024-10-01T00:00:00"/>
    <d v="2024-12-06T00:00:00"/>
    <x v="0"/>
    <s v="-"/>
    <d v="2024-11-29T00:00:00"/>
    <s v="Troca de Gerador. Aguardando MCE. "/>
    <s v="Gerador"/>
    <s v="Aguardando MCE."/>
    <s v="Operations - FSO"/>
    <s v="Essentia"/>
    <s v="Essentia"/>
    <n v="0"/>
    <n v="0"/>
  </r>
  <r>
    <x v="3"/>
    <s v="AUG 05-13"/>
    <d v="2024-11-11T00:00:00"/>
    <m/>
    <x v="1"/>
    <n v="45"/>
    <m/>
    <s v="Danos na gearbox. Aguardando MCE. "/>
    <s v="Gearbox"/>
    <s v="Boroscopia foi realizada e disposição da engenharia foi de manter a turbina parada e priorizada para MCE. Aguardando MCE."/>
    <s v="Operations - FSO"/>
    <s v="Warton, Anderson e Gustavo"/>
    <s v="Invenergy"/>
    <n v="1080"/>
    <n v="1.6351744186046513E-2"/>
  </r>
  <r>
    <x v="2"/>
    <s v="JOA 07-06"/>
    <d v="2024-10-01T00:00:00"/>
    <d v="2024-12-11T00:00:00"/>
    <x v="0"/>
    <s v="-"/>
    <d v="2024-12-06T00:00:00"/>
    <s v="Danos no gerador, curto no wye ring. "/>
    <s v="Gerador"/>
    <s v="Reparo do wye ring sendo executado. Previsão de finalização 06/12. Alertas de raios impactando a execução do reparo. Reparo só iniciado com a chegada no material no almoxarifado (conjunto de barras das fases do rotor). Reparo iniciou no dia 02/12 após a finalização de outro reparo em outra turbina. "/>
    <s v="Operations - O&amp;M"/>
    <s v="Essentia"/>
    <s v="Essentia"/>
    <n v="0"/>
    <n v="0"/>
  </r>
  <r>
    <x v="1"/>
    <s v="AB 06-08"/>
    <d v="2024-11-11T00:00:00"/>
    <d v="2024-12-11T00:00:00"/>
    <x v="0"/>
    <s v="-"/>
    <d v="2024-12-11T00:00:00"/>
    <s v="Danos no gerador, curto no wye ring. "/>
    <s v="Gerador"/>
    <s v="Executando reparo do wye ring."/>
    <s v="Operations - O&amp;M"/>
    <s v="Marcelo Lins"/>
    <s v="Essentia"/>
    <n v="0"/>
    <n v="0"/>
  </r>
  <r>
    <x v="0"/>
    <s v="JOA 09-08"/>
    <d v="2024-11-16T00:00:00"/>
    <m/>
    <x v="1"/>
    <n v="40"/>
    <m/>
    <s v="Gearbox colapsada. Aguardando MCE. "/>
    <m/>
    <s v="Boroscopia no main bearing sendo realizada para verificar se temos danos adicionais. Aguardando MCE."/>
    <s v="Operations - FSO"/>
    <m/>
    <s v="Essentia"/>
    <n v="0"/>
    <n v="0"/>
  </r>
  <r>
    <x v="0"/>
    <s v="JOA 12-16"/>
    <d v="2024-11-18T00:00:00"/>
    <d v="2024-12-19T00:00:00"/>
    <x v="0"/>
    <s v="-"/>
    <d v="2024-12-20T00:00:00"/>
    <s v="Gerador com curto de corrente para o terra. Aguardando MCE. "/>
    <m/>
    <s v="Aguardando MCE. Identificar a causa raiz da falha (se falha de rolamento ou não). "/>
    <s v="Operations - FSO / Engenharia"/>
    <m/>
    <s v="Invenergy"/>
    <n v="744"/>
    <n v="3.1344792719919111E-3"/>
  </r>
  <r>
    <x v="0"/>
    <s v="JOA 12-11"/>
    <d v="2024-10-30T00:00:00"/>
    <d v="2024-12-20T00:00:00"/>
    <x v="0"/>
    <s v="-"/>
    <d v="2024-12-20T00:00:00"/>
    <s v="MCE concluída. Corretiva pendente"/>
    <s v="Pitch Bearing"/>
    <s v="Corretiva sendo executada de calibração de pá. "/>
    <s v="Operations - O&amp;M"/>
    <s v="Samir e FSO/Essentia"/>
    <s v="Invenergy"/>
    <n v="1224"/>
    <n v="5.1567239635995953E-3"/>
  </r>
  <r>
    <x v="0"/>
    <s v="JOA 15-01"/>
    <d v="2024-11-22T00:00:00"/>
    <m/>
    <x v="1"/>
    <n v="34"/>
    <m/>
    <s v="Danos na gearbox. Aguardando MCE."/>
    <m/>
    <s v="Engenharia enviou a disposição solicitando a parada da turbina e troca da gearbox. Aguardando MCE. "/>
    <s v="Operations - FSO"/>
    <m/>
    <s v="Invenergy"/>
    <n v="816"/>
    <n v="3.4378159757330637E-3"/>
  </r>
  <r>
    <x v="0"/>
    <s v="JOA 16-09"/>
    <d v="2024-11-30T00:00:00"/>
    <m/>
    <x v="1"/>
    <n v="26"/>
    <m/>
    <s v="Danos na gearbox. Aguardando MCE."/>
    <m/>
    <s v="Aguardando MCE."/>
    <s v="Operations - FSO"/>
    <m/>
    <s v="Invenergy"/>
    <n v="624"/>
    <n v="2.6289180990899897E-3"/>
  </r>
  <r>
    <x v="0"/>
    <s v="JOA 15-16"/>
    <m/>
    <m/>
    <x v="3"/>
    <m/>
    <m/>
    <s v="Danos na pista externa do pitch bearing. "/>
    <m/>
    <s v="Aguardando finalização das inspeções para disposição da engenharia. "/>
    <s v="Operations - O&amp;M / Engenharia"/>
    <m/>
    <s v="Invenergy"/>
    <n v="0"/>
    <n v="0"/>
  </r>
  <r>
    <x v="0"/>
    <s v="JOA 10-04"/>
    <d v="2024-12-07T00:00:00"/>
    <m/>
    <x v="1"/>
    <n v="19"/>
    <d v="2024-12-20T00:00:00"/>
    <s v="Danos no gerador, curto no wye ring e cabo de releed. "/>
    <m/>
    <s v="Reparo do gerador finalizado. Corretiva em execução. "/>
    <s v="Operations - O&amp;M"/>
    <m/>
    <s v="Essentia"/>
    <n v="0"/>
    <n v="0"/>
  </r>
  <r>
    <x v="0"/>
    <s v="JOA 15-15"/>
    <d v="2024-12-04T00:00:00"/>
    <m/>
    <x v="1"/>
    <n v="22"/>
    <m/>
    <s v="2 Yaw drives danificados. "/>
    <m/>
    <s v="Aguardando disponibilidade do yaw drive."/>
    <s v="Essentia"/>
    <m/>
    <s v="Essentia"/>
    <n v="0"/>
    <n v="0"/>
  </r>
  <r>
    <x v="0"/>
    <s v="JOA 11-12"/>
    <d v="2024-12-17T00:00:00"/>
    <m/>
    <x v="1"/>
    <n v="9"/>
    <d v="2024-12-30T00:00:00"/>
    <s v="Dano no wye ring. "/>
    <m/>
    <s v="Reparo do wye ring sendo executado.  "/>
    <s v="Essentia"/>
    <s v="Essentia"/>
    <s v="Essentia"/>
    <n v="0"/>
    <n v="0"/>
  </r>
  <r>
    <x v="0"/>
    <s v="JOA 11-11"/>
    <d v="2024-12-26T00:00:00"/>
    <m/>
    <x v="1"/>
    <n v="0"/>
    <m/>
    <s v="Falhas nas baterias de pitch devido à danos no rolamento."/>
    <m/>
    <s v="Disposição da engenharia. "/>
    <s v="Engenharia"/>
    <m/>
    <s v="Invenergy"/>
    <n v="0"/>
    <n v="0"/>
  </r>
  <r>
    <x v="1"/>
    <s v="AB 06-08 "/>
    <d v="2024-12-26T00:00:00"/>
    <m/>
    <x v="1"/>
    <n v="0"/>
    <d v="2024-12-27T00:00:00"/>
    <s v="Troca do rolamento do gerador. "/>
    <m/>
    <s v="Troca do rolamento do gerador sendo executada. "/>
    <s v="Operations - O&amp;M"/>
    <m/>
    <s v="Essentia"/>
    <n v="0"/>
    <n v="0"/>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6">
  <r>
    <x v="0"/>
    <x v="0"/>
    <n v="0"/>
    <n v="0"/>
    <n v="0"/>
    <n v="0"/>
    <n v="0"/>
    <n v="0"/>
    <n v="0"/>
    <n v="0"/>
    <n v="0"/>
  </r>
  <r>
    <x v="0"/>
    <x v="1"/>
    <n v="0"/>
    <n v="0"/>
    <n v="0"/>
    <n v="0"/>
    <n v="0"/>
    <n v="0"/>
    <n v="0"/>
    <n v="0"/>
    <n v="0"/>
  </r>
  <r>
    <x v="0"/>
    <x v="2"/>
    <n v="2"/>
    <n v="2"/>
    <n v="2"/>
    <n v="2"/>
    <n v="1"/>
    <n v="0"/>
    <n v="0"/>
    <n v="0"/>
    <n v="0"/>
  </r>
  <r>
    <x v="0"/>
    <x v="3"/>
    <n v="0"/>
    <n v="0"/>
    <n v="0"/>
    <n v="0"/>
    <n v="0"/>
    <n v="0"/>
    <n v="0"/>
    <n v="0"/>
    <n v="0"/>
  </r>
  <r>
    <x v="0"/>
    <x v="4"/>
    <n v="0"/>
    <n v="0"/>
    <n v="0"/>
    <n v="0"/>
    <n v="0"/>
    <n v="0"/>
    <n v="0"/>
    <n v="0"/>
    <n v="0"/>
  </r>
  <r>
    <x v="0"/>
    <x v="5"/>
    <n v="0"/>
    <n v="0"/>
    <n v="0"/>
    <n v="0"/>
    <n v="0"/>
    <n v="0"/>
    <n v="0"/>
    <n v="0"/>
    <n v="0"/>
  </r>
  <r>
    <x v="0"/>
    <x v="6"/>
    <n v="0"/>
    <n v="0"/>
    <n v="0"/>
    <n v="0"/>
    <n v="0"/>
    <n v="0"/>
    <n v="0"/>
    <n v="0"/>
    <n v="0"/>
  </r>
  <r>
    <x v="0"/>
    <x v="7"/>
    <n v="0"/>
    <n v="0"/>
    <n v="0"/>
    <n v="0"/>
    <n v="0"/>
    <n v="0"/>
    <n v="0"/>
    <n v="0"/>
    <n v="0"/>
  </r>
  <r>
    <x v="0"/>
    <x v="8"/>
    <n v="0"/>
    <n v="0"/>
    <n v="0"/>
    <n v="0"/>
    <n v="0"/>
    <n v="0"/>
    <n v="0"/>
    <n v="0"/>
    <n v="0"/>
  </r>
  <r>
    <x v="0"/>
    <x v="9"/>
    <n v="1"/>
    <n v="1"/>
    <n v="0"/>
    <n v="0"/>
    <n v="1"/>
    <n v="2"/>
    <n v="1"/>
    <n v="0"/>
    <n v="0"/>
  </r>
  <r>
    <x v="0"/>
    <x v="10"/>
    <n v="0"/>
    <n v="0"/>
    <n v="0"/>
    <n v="0"/>
    <n v="0"/>
    <n v="0"/>
    <n v="0"/>
    <n v="0"/>
    <n v="0"/>
  </r>
  <r>
    <x v="0"/>
    <x v="11"/>
    <n v="0"/>
    <n v="0"/>
    <n v="0"/>
    <n v="0"/>
    <n v="1"/>
    <n v="1"/>
    <n v="1"/>
    <n v="0"/>
    <n v="0"/>
  </r>
  <r>
    <x v="0"/>
    <x v="12"/>
    <n v="0"/>
    <n v="0"/>
    <n v="0"/>
    <n v="0"/>
    <n v="0"/>
    <n v="0"/>
    <n v="0"/>
    <n v="0"/>
    <n v="0"/>
  </r>
  <r>
    <x v="0"/>
    <x v="13"/>
    <n v="0"/>
    <n v="0"/>
    <n v="0"/>
    <n v="0"/>
    <n v="0"/>
    <n v="0"/>
    <n v="0"/>
    <n v="0"/>
    <n v="0"/>
  </r>
  <r>
    <x v="1"/>
    <x v="0"/>
    <n v="0"/>
    <n v="0"/>
    <n v="0"/>
    <n v="0"/>
    <n v="0"/>
    <n v="0"/>
    <n v="0"/>
    <n v="0"/>
    <n v="0"/>
  </r>
  <r>
    <x v="1"/>
    <x v="1"/>
    <n v="0"/>
    <n v="0"/>
    <n v="0"/>
    <n v="0"/>
    <n v="0"/>
    <n v="0"/>
    <n v="0"/>
    <n v="0"/>
    <n v="0"/>
  </r>
  <r>
    <x v="1"/>
    <x v="2"/>
    <n v="3"/>
    <n v="1"/>
    <n v="2"/>
    <n v="3"/>
    <n v="2"/>
    <n v="1"/>
    <n v="1"/>
    <n v="1"/>
    <n v="3"/>
  </r>
  <r>
    <x v="1"/>
    <x v="3"/>
    <n v="0"/>
    <n v="0"/>
    <n v="0"/>
    <n v="0"/>
    <n v="0"/>
    <n v="0"/>
    <n v="0"/>
    <n v="0"/>
    <n v="0"/>
  </r>
  <r>
    <x v="1"/>
    <x v="4"/>
    <n v="5"/>
    <n v="7"/>
    <n v="5"/>
    <n v="0"/>
    <n v="0"/>
    <n v="0"/>
    <n v="0"/>
    <n v="2"/>
    <n v="2"/>
  </r>
  <r>
    <x v="1"/>
    <x v="5"/>
    <n v="0"/>
    <n v="0"/>
    <n v="0"/>
    <n v="0"/>
    <n v="0"/>
    <n v="0"/>
    <n v="0"/>
    <n v="0"/>
    <n v="0"/>
  </r>
  <r>
    <x v="1"/>
    <x v="6"/>
    <n v="3"/>
    <n v="1"/>
    <n v="0"/>
    <n v="0"/>
    <n v="0"/>
    <n v="0"/>
    <n v="0"/>
    <n v="0"/>
    <n v="1"/>
  </r>
  <r>
    <x v="1"/>
    <x v="7"/>
    <n v="0"/>
    <n v="0"/>
    <n v="0"/>
    <n v="0"/>
    <n v="0"/>
    <n v="0"/>
    <n v="0"/>
    <n v="0"/>
    <n v="0"/>
  </r>
  <r>
    <x v="1"/>
    <x v="8"/>
    <n v="1"/>
    <n v="2"/>
    <n v="1"/>
    <n v="1"/>
    <n v="0"/>
    <n v="0"/>
    <n v="0"/>
    <n v="0"/>
    <n v="0"/>
  </r>
  <r>
    <x v="1"/>
    <x v="9"/>
    <n v="1"/>
    <n v="6"/>
    <n v="0"/>
    <n v="1"/>
    <n v="1"/>
    <n v="4"/>
    <n v="4"/>
    <n v="1"/>
    <n v="1"/>
  </r>
  <r>
    <x v="1"/>
    <x v="10"/>
    <n v="0"/>
    <n v="1"/>
    <n v="1"/>
    <n v="0"/>
    <n v="0"/>
    <n v="0"/>
    <n v="0"/>
    <n v="0"/>
    <n v="0"/>
  </r>
  <r>
    <x v="1"/>
    <x v="11"/>
    <n v="0"/>
    <n v="0"/>
    <n v="0"/>
    <n v="0"/>
    <n v="0"/>
    <n v="0"/>
    <n v="0"/>
    <n v="0"/>
    <n v="1"/>
  </r>
  <r>
    <x v="1"/>
    <x v="12"/>
    <n v="0"/>
    <n v="0"/>
    <n v="0"/>
    <n v="0"/>
    <n v="0"/>
    <n v="0"/>
    <n v="0"/>
    <n v="0"/>
    <n v="0"/>
  </r>
  <r>
    <x v="1"/>
    <x v="13"/>
    <n v="0"/>
    <n v="0"/>
    <n v="0"/>
    <n v="0"/>
    <n v="0"/>
    <n v="0"/>
    <n v="0"/>
    <n v="0"/>
    <n v="0"/>
  </r>
  <r>
    <x v="2"/>
    <x v="0"/>
    <n v="0"/>
    <n v="0"/>
    <n v="0"/>
    <n v="0"/>
    <n v="0"/>
    <n v="0"/>
    <n v="0"/>
    <n v="0"/>
    <n v="0"/>
  </r>
  <r>
    <x v="2"/>
    <x v="1"/>
    <n v="0"/>
    <n v="0"/>
    <n v="0"/>
    <n v="0"/>
    <n v="0"/>
    <n v="0"/>
    <n v="0"/>
    <n v="0"/>
    <n v="0"/>
  </r>
  <r>
    <x v="2"/>
    <x v="2"/>
    <n v="0"/>
    <n v="2"/>
    <n v="2"/>
    <n v="2"/>
    <n v="3"/>
    <n v="4"/>
    <n v="5"/>
    <n v="3"/>
    <n v="3"/>
  </r>
  <r>
    <x v="2"/>
    <x v="3"/>
    <n v="0"/>
    <n v="0"/>
    <n v="0"/>
    <n v="0"/>
    <n v="0"/>
    <n v="0"/>
    <n v="0"/>
    <n v="0"/>
    <n v="0"/>
  </r>
  <r>
    <x v="2"/>
    <x v="4"/>
    <n v="1"/>
    <n v="2"/>
    <n v="2"/>
    <n v="3"/>
    <n v="2"/>
    <n v="4"/>
    <n v="5"/>
    <n v="4"/>
    <n v="0"/>
  </r>
  <r>
    <x v="2"/>
    <x v="5"/>
    <n v="0"/>
    <n v="0"/>
    <n v="0"/>
    <n v="0"/>
    <n v="0"/>
    <n v="0"/>
    <n v="0"/>
    <n v="2"/>
    <n v="0"/>
  </r>
  <r>
    <x v="2"/>
    <x v="6"/>
    <n v="0"/>
    <n v="1"/>
    <n v="4"/>
    <n v="4"/>
    <n v="2"/>
    <n v="1"/>
    <n v="1"/>
    <n v="0"/>
    <n v="0"/>
  </r>
  <r>
    <x v="2"/>
    <x v="7"/>
    <n v="0"/>
    <n v="0"/>
    <n v="0"/>
    <n v="0"/>
    <n v="0"/>
    <n v="0"/>
    <n v="0"/>
    <n v="0"/>
    <n v="0"/>
  </r>
  <r>
    <x v="2"/>
    <x v="8"/>
    <n v="1"/>
    <n v="0"/>
    <n v="0"/>
    <n v="0"/>
    <n v="0"/>
    <n v="0"/>
    <n v="1"/>
    <n v="1"/>
    <n v="1"/>
  </r>
  <r>
    <x v="2"/>
    <x v="9"/>
    <n v="0"/>
    <n v="2"/>
    <n v="1"/>
    <n v="3"/>
    <n v="6"/>
    <n v="3"/>
    <n v="2"/>
    <n v="0"/>
    <n v="0"/>
  </r>
  <r>
    <x v="2"/>
    <x v="10"/>
    <n v="0"/>
    <n v="0"/>
    <n v="0"/>
    <n v="0"/>
    <n v="0"/>
    <n v="0"/>
    <n v="0"/>
    <n v="0"/>
    <n v="0"/>
  </r>
  <r>
    <x v="2"/>
    <x v="11"/>
    <n v="0"/>
    <n v="0"/>
    <n v="0"/>
    <n v="0"/>
    <n v="0"/>
    <n v="1"/>
    <n v="1"/>
    <n v="1"/>
    <n v="0"/>
  </r>
  <r>
    <x v="2"/>
    <x v="12"/>
    <n v="0"/>
    <n v="0"/>
    <n v="1"/>
    <n v="1"/>
    <n v="1"/>
    <n v="1"/>
    <n v="2"/>
    <n v="2"/>
    <n v="0"/>
  </r>
  <r>
    <x v="2"/>
    <x v="13"/>
    <n v="0"/>
    <n v="0"/>
    <n v="0"/>
    <n v="0"/>
    <n v="0"/>
    <n v="0"/>
    <n v="0"/>
    <n v="1"/>
    <n v="1"/>
  </r>
  <r>
    <x v="3"/>
    <x v="0"/>
    <n v="0"/>
    <n v="0"/>
    <n v="0"/>
    <n v="0"/>
    <n v="0"/>
    <n v="0"/>
    <n v="0"/>
    <n v="0"/>
    <n v="0"/>
  </r>
  <r>
    <x v="3"/>
    <x v="1"/>
    <n v="0"/>
    <n v="0"/>
    <n v="0"/>
    <n v="0"/>
    <n v="0"/>
    <n v="0"/>
    <n v="0"/>
    <n v="0"/>
    <n v="0"/>
  </r>
  <r>
    <x v="3"/>
    <x v="2"/>
    <n v="1"/>
    <n v="0"/>
    <n v="0"/>
    <n v="1"/>
    <n v="1"/>
    <n v="0"/>
    <n v="0"/>
    <n v="0"/>
    <n v="0"/>
  </r>
  <r>
    <x v="3"/>
    <x v="3"/>
    <n v="0"/>
    <n v="0"/>
    <n v="0"/>
    <n v="0"/>
    <n v="0"/>
    <n v="0"/>
    <n v="0"/>
    <n v="0"/>
    <n v="0"/>
  </r>
  <r>
    <x v="3"/>
    <x v="4"/>
    <n v="1"/>
    <n v="2"/>
    <n v="2"/>
    <n v="2"/>
    <n v="1"/>
    <n v="1"/>
    <n v="0"/>
    <n v="0"/>
    <n v="0"/>
  </r>
  <r>
    <x v="3"/>
    <x v="5"/>
    <n v="0"/>
    <n v="0"/>
    <n v="0"/>
    <n v="0"/>
    <n v="0"/>
    <n v="0"/>
    <n v="0"/>
    <n v="0"/>
    <n v="0"/>
  </r>
  <r>
    <x v="3"/>
    <x v="6"/>
    <n v="0"/>
    <n v="0"/>
    <n v="0"/>
    <n v="0"/>
    <n v="0"/>
    <n v="0"/>
    <n v="0"/>
    <n v="0"/>
    <n v="0"/>
  </r>
  <r>
    <x v="3"/>
    <x v="7"/>
    <n v="0"/>
    <n v="0"/>
    <n v="0"/>
    <n v="0"/>
    <n v="0"/>
    <n v="0"/>
    <n v="0"/>
    <n v="0"/>
    <n v="0"/>
  </r>
  <r>
    <x v="3"/>
    <x v="8"/>
    <n v="0"/>
    <n v="0"/>
    <n v="0"/>
    <n v="0"/>
    <n v="0"/>
    <n v="0"/>
    <n v="0"/>
    <n v="0"/>
    <n v="0"/>
  </r>
  <r>
    <x v="3"/>
    <x v="9"/>
    <n v="0"/>
    <n v="0"/>
    <n v="0"/>
    <n v="0"/>
    <n v="0"/>
    <n v="1"/>
    <n v="1"/>
    <n v="0"/>
    <n v="0"/>
  </r>
  <r>
    <x v="3"/>
    <x v="10"/>
    <n v="0"/>
    <n v="0"/>
    <n v="0"/>
    <n v="0"/>
    <n v="0"/>
    <n v="0"/>
    <n v="0"/>
    <n v="0"/>
    <n v="0"/>
  </r>
  <r>
    <x v="3"/>
    <x v="11"/>
    <n v="0"/>
    <n v="0"/>
    <n v="0"/>
    <n v="0"/>
    <n v="0"/>
    <n v="0"/>
    <n v="0"/>
    <n v="0"/>
    <n v="0"/>
  </r>
  <r>
    <x v="3"/>
    <x v="12"/>
    <n v="0"/>
    <n v="0"/>
    <n v="0"/>
    <n v="0"/>
    <n v="0"/>
    <n v="0"/>
    <n v="0"/>
    <n v="0"/>
    <n v="0"/>
  </r>
  <r>
    <x v="3"/>
    <x v="13"/>
    <n v="0"/>
    <n v="0"/>
    <n v="0"/>
    <n v="0"/>
    <n v="0"/>
    <n v="0"/>
    <n v="0"/>
    <n v="0"/>
    <n v="0"/>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79">
  <r>
    <s v="Chapada I"/>
    <s v="JOA13-15"/>
    <d v="2024-11-14T00:00:00"/>
    <d v="2024-11-14T00:00:00"/>
    <x v="0"/>
    <x v="0"/>
    <d v="2024-11-14T00:00:00"/>
    <s v="Falha de safety chain. "/>
    <x v="0"/>
    <x v="0"/>
    <s v="Troubleshooting da falha."/>
    <m/>
    <s v="Operations - O&amp;M"/>
    <s v="Warton e Anderson"/>
    <s v="Invenergy"/>
    <n v="0"/>
    <n v="0"/>
  </r>
  <r>
    <s v="Asa Branca"/>
    <s v="AB05-13"/>
    <d v="2024-11-13T00:00:00"/>
    <d v="2024-11-15T00:00:00"/>
    <x v="0"/>
    <x v="0"/>
    <d v="2024-11-15T00:00:00"/>
    <s v="Turbina não passa no teste de baterias do sistema de pitch. "/>
    <x v="1"/>
    <x v="0"/>
    <s v="Troubleshooting da falha e suporte da engenharia. "/>
    <m/>
    <s v="Engenharia"/>
    <s v="Daniel"/>
    <s v="Invenergy"/>
    <n v="48"/>
    <n v="3.4722222222222222E-5"/>
  </r>
  <r>
    <s v="Chapada II"/>
    <s v="JOA01-12"/>
    <d v="2024-11-11T00:00:00"/>
    <d v="2024-11-16T00:00:00"/>
    <x v="0"/>
    <x v="0"/>
    <d v="2024-11-14T00:00:00"/>
    <s v="Falha de baterias na axis 1. WEPA da axis 1 está danificada. Estamos utilizando WEPAs reparadas e baterias novas. "/>
    <x v="1"/>
    <x v="1"/>
    <s v="Troca da WEPA. "/>
    <m/>
    <s v="Operations - O&amp;M"/>
    <s v="Warton e Anderson"/>
    <s v="Invenergy"/>
    <n v="120"/>
    <n v="8.6805555555555559E-5"/>
  </r>
  <r>
    <s v="Asa Branca"/>
    <s v="AB06-06"/>
    <d v="2024-11-10T00:00:00"/>
    <d v="2024-11-17T00:00:00"/>
    <x v="0"/>
    <x v="0"/>
    <d v="2024-11-14T00:00:00"/>
    <s v="Turbina não passa no teste de baterias do sistema de pitch. "/>
    <x v="1"/>
    <x v="0"/>
    <s v="Troubleshooting da falha com suporte da engenharia. "/>
    <m/>
    <s v="Engenharia"/>
    <s v="Victor e Daniel"/>
    <s v="Invenergy"/>
    <n v="168"/>
    <n v="1.2152777777777777E-4"/>
  </r>
  <r>
    <s v="Chapada II"/>
    <s v="JOA04-14"/>
    <d v="2024-11-04T00:00:00"/>
    <d v="2024-11-20T00:00:00"/>
    <x v="0"/>
    <x v="0"/>
    <d v="2024-11-19T00:00:00"/>
    <s v="Danos no gerador, curto no wye ring. "/>
    <x v="2"/>
    <x v="1"/>
    <s v="Reparo do gerador em andamento."/>
    <m/>
    <s v="Operations - O&amp;M"/>
    <s v="Warton e Anderson"/>
    <s v="Essentia"/>
    <n v="0"/>
    <n v="0"/>
  </r>
  <r>
    <s v="Chapada II"/>
    <s v="JOA03-06"/>
    <d v="2024-11-19T00:00:00"/>
    <d v="2024-11-22T00:00:00"/>
    <x v="1"/>
    <x v="0"/>
    <d v="2024-11-22T00:00:00"/>
    <s v="Quebra da barra de suporte da axis box. "/>
    <x v="3"/>
    <x v="1"/>
    <s v="Sendo realizada a ação corretiva sugerida pela Essentia. Não temos disponível a peça sugerida para a correção, iremos canibalizar outra turbina (AUG 05-13) para reparar a barra danificada com o novo coxim. SS aberta para suporte da engenharia para entendendermos a causa raiz da falha. "/>
    <m/>
    <s v="Operations - O&amp;M / Engenharia"/>
    <m/>
    <s v="Invenergy"/>
    <n v="72"/>
    <n v="5.2083333333333337E-5"/>
  </r>
  <r>
    <s v="Chapada I"/>
    <s v="JOA11-10"/>
    <d v="2024-10-01T00:00:00"/>
    <d v="2024-11-26T00:00:00"/>
    <x v="1"/>
    <x v="0"/>
    <d v="2024-11-11T00:00:00"/>
    <s v="Troca de Gearbox."/>
    <x v="4"/>
    <x v="2"/>
    <s v="Aguardando MCE."/>
    <m/>
    <s v="Operations - FSO"/>
    <s v="Essentia"/>
    <s v="Essentia"/>
    <n v="0"/>
    <n v="0"/>
  </r>
  <r>
    <s v="Chapada I"/>
    <s v="JOA11-14"/>
    <d v="2024-10-01T00:00:00"/>
    <d v="2024-11-26T00:00:00"/>
    <x v="1"/>
    <x v="0"/>
    <d v="2024-11-22T00:00:00"/>
    <s v="Troca de Gerador. "/>
    <x v="2"/>
    <x v="3"/>
    <s v="Aguardando MCE."/>
    <m/>
    <s v="Operations - FSO"/>
    <s v="Essentia"/>
    <s v="Essentia"/>
    <n v="0"/>
    <n v="0"/>
  </r>
  <r>
    <s v="Chapada III"/>
    <s v="AUG05-12"/>
    <d v="2024-11-05T00:00:00"/>
    <d v="2024-11-28T00:00:00"/>
    <x v="0"/>
    <x v="0"/>
    <d v="2024-11-29T00:00:00"/>
    <s v="Pitch controller colective fault. "/>
    <x v="5"/>
    <x v="0"/>
    <s v="Troubleshooting da falha. Motivos de força maior impactaram no atendimento da turbina. Já foi tentando várias soluções e não deram certo. Foi feita a troca do cabo de controle da axis cabinet. Está sendo feita a verificação do sistema de freios das axis hoje (21/11). SS aberta (18/11) solicitando suporte da Engenharia. Sendo realizada a formatação e upload do parâmetros na UCSA. Troca dos componentes não teriam sido necessárias se tivéssemos os privilégios master de acesso ao SCADA."/>
    <m/>
    <s v="Operations - O&amp;M / Engenharia"/>
    <s v="Warton e Anderson"/>
    <s v="Invenergy"/>
    <n v="552"/>
    <n v="1.247829861111111E-3"/>
  </r>
  <r>
    <s v="Chapada I"/>
    <s v="JOA12-17"/>
    <d v="2024-10-02T00:00:00"/>
    <d v="2024-11-29T00:00:00"/>
    <x v="0"/>
    <x v="0"/>
    <d v="2024-11-29T00:00:00"/>
    <s v="Reparo executado no wye ring do gerador, porém, apresentou falha de fuga de corrente no terra. "/>
    <x v="2"/>
    <x v="1"/>
    <s v="Trenders foram coletados e analisados. Foram realizadas novas medições, as quais não mostraram anomalias, então o gerador foi reaberto e identificado danos no wye ring. Reparo já está sendo feito (solda do ponto, limpeza entre espiras e reparo do isolamento. "/>
    <m/>
    <s v="Operations - O&amp;M  "/>
    <s v="Victor, Warton e Anderson"/>
    <s v="Essentia"/>
    <n v="0"/>
    <n v="0"/>
  </r>
  <r>
    <s v="Chapada I"/>
    <s v="JOA12-04"/>
    <d v="2024-10-01T00:00:00"/>
    <d v="2024-12-06T00:00:00"/>
    <x v="0"/>
    <x v="0"/>
    <d v="2024-11-29T00:00:00"/>
    <s v="Troca de Gerador. Aguardando MCE. "/>
    <x v="2"/>
    <x v="3"/>
    <s v="Aguardando MCE."/>
    <m/>
    <s v="Operations - FSO"/>
    <s v="Essentia"/>
    <s v="Essentia"/>
    <n v="0"/>
    <n v="0"/>
  </r>
  <r>
    <s v="Chapada II"/>
    <s v="JOA07-06"/>
    <d v="2024-10-01T00:00:00"/>
    <d v="2024-12-11T00:00:00"/>
    <x v="0"/>
    <x v="0"/>
    <d v="2024-12-06T00:00:00"/>
    <s v="Danos no gerador, curto no wye ring. "/>
    <x v="2"/>
    <x v="3"/>
    <s v="Reparo do wye ring sendo executado. Previsão de finalização 06/12. Alertas de raios impactando a execução do reparo. Reparo só iniciado com a chegada no material no almoxarifado (conjunto de barras das fases do rotor). Reparo iniciou no dia 02/12 após a finalização de outro reparo em outra turbina. "/>
    <m/>
    <s v="Operations - O&amp;M"/>
    <s v="Essentia"/>
    <s v="Essentia"/>
    <n v="0"/>
    <n v="0"/>
  </r>
  <r>
    <s v="Asa Branca"/>
    <s v="AB06-08"/>
    <d v="2024-11-11T00:00:00"/>
    <d v="2024-12-11T00:00:00"/>
    <x v="0"/>
    <x v="0"/>
    <d v="2024-12-11T00:00:00"/>
    <s v="Danos no gerador, curto no wye ring. "/>
    <x v="2"/>
    <x v="1"/>
    <s v="Executando reparo do wye ring."/>
    <m/>
    <s v="Operations - O&amp;M"/>
    <s v="Marcelo Lins"/>
    <s v="Essentia"/>
    <n v="0"/>
    <n v="0"/>
  </r>
  <r>
    <s v="Chapada I"/>
    <s v="JOA12-16"/>
    <d v="2024-11-18T00:00:00"/>
    <d v="2024-12-19T00:00:00"/>
    <x v="0"/>
    <x v="0"/>
    <d v="2024-12-20T00:00:00"/>
    <s v="Gerador com curto de corrente para o terra. Aguardando MCE. "/>
    <x v="2"/>
    <x v="2"/>
    <s v="Aguardando MCE. Identificar a causa raiz da falha (se falha de rolamento ou não). "/>
    <m/>
    <s v="Operations - FSO / Engenharia"/>
    <m/>
    <s v="Invenergy"/>
    <n v="744"/>
    <n v="4.679951690821256E-4"/>
  </r>
  <r>
    <s v="Chapada I"/>
    <s v="JOA12-11"/>
    <d v="2024-10-30T00:00:00"/>
    <d v="2024-12-20T00:00:00"/>
    <x v="0"/>
    <x v="0"/>
    <d v="2024-12-20T00:00:00"/>
    <s v="MCE concluída. Corretiva pendente"/>
    <x v="6"/>
    <x v="0"/>
    <s v="Corretiva sendo executada de calibração de pá. "/>
    <m/>
    <s v="Operations - O&amp;M"/>
    <s v="Samir e FSO/Essentia"/>
    <s v="Invenergy"/>
    <n v="1224"/>
    <n v="7.6992753623188409E-4"/>
  </r>
  <r>
    <s v="Chapada II"/>
    <s v="JOA05-05"/>
    <d v="2024-10-16T00:00:00"/>
    <d v="2024-12-26T00:00:00"/>
    <x v="0"/>
    <x v="0"/>
    <d v="2024-12-26T00:00:00"/>
    <s v="MCE concluída. Corretivas pendentes."/>
    <x v="7"/>
    <x v="1"/>
    <s v="Corretiva sendo executada hoje. Houveram danos nos IGBTs de linha e de rotor, falha na unidade hidráulica de freio,  ligação do cabo de fase estava para o terra, motores de yaw fora da posição e baixo nível de óleo na gearbox. "/>
    <m/>
    <s v="Operations - O&amp;M"/>
    <s v="Samir e FSO"/>
    <s v="Invenergy"/>
    <n v="1704"/>
    <n v="1.2326388888888888E-3"/>
  </r>
  <r>
    <s v="Chapada I"/>
    <s v="JOA11-12"/>
    <d v="2024-12-17T00:00:00"/>
    <d v="2025-01-02T00:00:00"/>
    <x v="0"/>
    <x v="0"/>
    <d v="2025-01-03T00:00:00"/>
    <s v="Dano no wye ring. "/>
    <x v="2"/>
    <x v="1"/>
    <s v="Reparo do wye ring sendo executado.  "/>
    <m/>
    <s v="Essentia"/>
    <s v="Essentia"/>
    <s v="Essentia"/>
    <n v="0"/>
    <n v="0"/>
  </r>
  <r>
    <s v="Chapada I"/>
    <s v="JOA10-04"/>
    <d v="2024-12-07T00:00:00"/>
    <d v="2025-01-08T00:00:00"/>
    <x v="1"/>
    <x v="0"/>
    <d v="2025-01-03T00:00:00"/>
    <s v="Danos no gerador, curto no wye ring e cabo de releed. "/>
    <x v="2"/>
    <x v="1"/>
    <s v="Reparo do gerador finalizado. Corretiva em execução. Surge test já realizado. Cabos sendo desinvertivos e irá retornar 03/01."/>
    <m/>
    <s v="Operations - O&amp;M"/>
    <m/>
    <s v="Essentia"/>
    <n v="0"/>
    <n v="0"/>
  </r>
  <r>
    <s v="Chapada I"/>
    <s v="JOA11-11"/>
    <d v="2024-12-26T00:00:00"/>
    <d v="2025-01-08T00:00:00"/>
    <x v="0"/>
    <x v="0"/>
    <m/>
    <s v="Falhas nas baterias de pitch devido à danos no rolamento."/>
    <x v="6"/>
    <x v="1"/>
    <s v="Emissão de disposição da engenharia. Aguardando atividade em campo. Atividade executada e trocado o freio do motor de pitch. "/>
    <m/>
    <s v="Engenharia"/>
    <m/>
    <s v="Invenergy"/>
    <n v="312"/>
    <n v="1.9625603864734299E-4"/>
  </r>
  <r>
    <s v="Chapada II"/>
    <s v="JOA04-03"/>
    <d v="2025-01-02T00:00:00"/>
    <d v="2025-01-09T00:00:00"/>
    <x v="0"/>
    <x v="0"/>
    <m/>
    <s v="2 Yaw drives danificados (Nanjing). "/>
    <x v="8"/>
    <x v="1"/>
    <s v="Reparo sendo feito. Foi danificado o 1º e o 2º estágio dos yaw drives (um dente quebrado em cada estágio)."/>
    <m/>
    <s v="Operations - O&amp;M"/>
    <m/>
    <s v="Invenergy"/>
    <n v="168"/>
    <n v="1.2152777777777777E-4"/>
  </r>
  <r>
    <s v="Chapada III"/>
    <s v="AUG05-14"/>
    <d v="2025-01-21T00:00:00"/>
    <d v="2025-01-28T00:00:00"/>
    <x v="0"/>
    <x v="0"/>
    <m/>
    <s v="Falha no conversor. "/>
    <x v="2"/>
    <x v="1"/>
    <s v="Falha no conversor. Foi trocado a WECA, porém, a turbina não startou. Time desconfiando de dano no gerador. Troubleshooting da falha pendente. Atendimento está sendo impactado pela incidência frequente de L2. "/>
    <m/>
    <s v="Operations - O&amp;M"/>
    <m/>
    <s v="Invenergy"/>
    <n v="168"/>
    <n v="3.7977430555555556E-4"/>
  </r>
  <r>
    <s v="Chapada I"/>
    <s v="JOA15-16"/>
    <d v="2025-01-07T00:00:00"/>
    <d v="2025-01-30T00:00:00"/>
    <x v="0"/>
    <x v="0"/>
    <m/>
    <s v="Dano no pitch bearing. Realizando MCE."/>
    <x v="6"/>
    <x v="2"/>
    <s v="Parada para troca do Pitch Bearing. Pós work em andamento. "/>
    <m/>
    <s v="Operations - FSO"/>
    <m/>
    <s v="Invenergy"/>
    <n v="552"/>
    <n v="3.4722222222222224E-4"/>
  </r>
  <r>
    <s v="Chapada I"/>
    <s v="JOA15-01"/>
    <d v="2024-11-22T00:00:00"/>
    <d v="2025-02-05T00:00:00"/>
    <x v="0"/>
    <x v="0"/>
    <m/>
    <s v="Danos na gearbox. Aguardando MCE."/>
    <x v="4"/>
    <x v="2"/>
    <s v="Engenharia enviou a disposição solicitando a parada da turbina e troca da gearbox. "/>
    <m/>
    <s v="Operations - FSO"/>
    <m/>
    <s v="Invenergy"/>
    <n v="1800"/>
    <n v="1.1322463768115942E-3"/>
  </r>
  <r>
    <s v="Asa Branca"/>
    <s v="AB08-05"/>
    <d v="2025-01-15T00:00:00"/>
    <d v="2025-02-12T00:00:00"/>
    <x v="0"/>
    <x v="0"/>
    <d v="2025-02-20T00:00:00"/>
    <s v="Incidência de raio na blade. "/>
    <x v="9"/>
    <x v="1"/>
    <s v="Reparo já foi concluído. Porém, time da Essentia segue trabalhando nela para voltar a operação. "/>
    <m/>
    <s v="Essentia"/>
    <m/>
    <s v="Essentia"/>
    <n v="0"/>
    <n v="0"/>
  </r>
  <r>
    <s v="Chapada I"/>
    <s v="JOA15-15"/>
    <d v="2024-12-04T00:00:00"/>
    <d v="2025-02-13T00:00:00"/>
    <x v="0"/>
    <x v="0"/>
    <m/>
    <s v="2 Yaw drives danificados. "/>
    <x v="8"/>
    <x v="1"/>
    <s v="Aguardando disponibilidade do yaw drive. Invenergy em contato com a DriveMec para alinhamento da melhor estratégia (gostaríamos de só fornecimento do porta planetas)._x000a_13/02: Previsão de retorno fim do dia de hoje. Foi instalado o 4º estágio nos dois 2 yaw drives danificados. 1 deles advindo da 16-06 e outro estava em estoque. "/>
    <m/>
    <s v="Essentia"/>
    <m/>
    <s v="Essentia"/>
    <n v="0"/>
    <n v="0"/>
  </r>
  <r>
    <s v="Chapada I"/>
    <s v="JOA16-09"/>
    <d v="2024-11-30T00:00:00"/>
    <d v="2025-02-14T00:00:00"/>
    <x v="0"/>
    <x v="0"/>
    <m/>
    <s v="Danos na gearbox. Aguardando MCE."/>
    <x v="4"/>
    <x v="2"/>
    <s v="Aguardando MCE. MCE em andamento - atividade 80% concluída."/>
    <m/>
    <s v="Operations - FSO"/>
    <m/>
    <s v="Invenergy"/>
    <n v="1824"/>
    <n v="1.1473429951690821E-3"/>
  </r>
  <r>
    <s v="Chapada I"/>
    <s v="JOA15-12"/>
    <d v="2024-10-01T00:00:00"/>
    <d v="2025-02-20T00:00:00"/>
    <x v="0"/>
    <x v="0"/>
    <m/>
    <s v="Danos na gearbox e pitch bearing. Pendente MCE."/>
    <x v="6"/>
    <x v="2"/>
    <s v="Atividade MCE concluída. Necessitará de corretiva após a finalização da troca do PB. Previsão de retorno hoje (20/02)."/>
    <m/>
    <s v="Operations - FSO"/>
    <s v="Essentia"/>
    <s v="Essentia"/>
    <n v="0"/>
    <n v="0"/>
  </r>
  <r>
    <s v="Chapada I"/>
    <s v="JOA12-12"/>
    <d v="2025-01-03T00:00:00"/>
    <d v="2025-02-20T00:00:00"/>
    <x v="0"/>
    <x v="0"/>
    <m/>
    <s v="Gearbox colapsada. Aguardando MCE. "/>
    <x v="4"/>
    <x v="2"/>
    <s v="Aguardando MCE. 90% de evolução. Pendente corretiva. "/>
    <m/>
    <s v="Operations - FSO"/>
    <s v="Invenergy"/>
    <s v="Invenergy"/>
    <n v="1152"/>
    <n v="7.246376811594203E-4"/>
  </r>
  <r>
    <s v="Chapada I"/>
    <s v="JOA12-08"/>
    <d v="2024-10-01T00:00:00"/>
    <d v="2025-02-26T00:00:00"/>
    <x v="0"/>
    <x v="0"/>
    <m/>
    <s v="Reparo de pá feito. Aguardando MCE."/>
    <x v="9"/>
    <x v="2"/>
    <s v="Aguardando MCE. Reparo de blade concluído. Troca de pitch bearing  concluída. Pós work em andamento. Será necessário passar por preventiva e por inspeções específicas para RTS pós longo tempo parada. Retornou a operação ontem 26/02. Será necessário inspeções a cada 3 dias (recomendação de engenharia)."/>
    <m/>
    <s v="Operations - FSO"/>
    <s v="Essentia"/>
    <s v="Essentia"/>
    <n v="0"/>
    <n v="0"/>
  </r>
  <r>
    <s v="Chapada I"/>
    <s v="JOA15-10"/>
    <d v="2025-02-22T00:00:00"/>
    <d v="2025-02-28T00:00:00"/>
    <x v="0"/>
    <x v="0"/>
    <m/>
    <s v="Vazamento de óleo da gearbox "/>
    <x v="4"/>
    <x v="1"/>
    <s v="Máquina parou no final de semana por vazamento de óleo de 70% da gearbox. Sendo feito o atendimento à turbina para flushing e troca para o Amsoil. "/>
    <m/>
    <s v="Operations - O&amp;M"/>
    <m/>
    <s v="Invenergy"/>
    <n v="144"/>
    <n v="9.0579710144927537E-5"/>
  </r>
  <r>
    <s v="Chapada III"/>
    <s v="AUG03-15"/>
    <d v="2025-02-26T00:00:00"/>
    <d v="2025-03-01T00:00:00"/>
    <x v="0"/>
    <x v="0"/>
    <m/>
    <s v="Vazamento de óleo da gearbox "/>
    <x v="4"/>
    <x v="1"/>
    <s v="Máquina em atendimento, parou durante a madrugada. Troubleshooting. Sendo analisado se é possível a &quot;transfusão do óleo&quot;, visto que não temos óleo Castrol em estoque. "/>
    <m/>
    <s v="Operations - O&amp;M / Engenharia"/>
    <m/>
    <s v="Invenergy"/>
    <n v="72"/>
    <n v="1.6276041666666666E-4"/>
  </r>
  <r>
    <s v="Chapada I"/>
    <s v="JOA11-07"/>
    <d v="2025-01-29T00:00:00"/>
    <d v="2025-03-05T00:00:00"/>
    <x v="0"/>
    <x v="0"/>
    <m/>
    <s v="Danos da gearbox. Aguardando MCE. "/>
    <x v="4"/>
    <x v="2"/>
    <s v="Aguardando MCE. 80% de evolução. "/>
    <m/>
    <s v="Operations - FSO"/>
    <m/>
    <s v="Essentia"/>
    <n v="0"/>
    <n v="0"/>
  </r>
  <r>
    <s v="Chapada I"/>
    <s v="JOA15-01"/>
    <d v="2025-02-26T00:00:00"/>
    <d v="2025-03-06T00:00:00"/>
    <x v="0"/>
    <x v="0"/>
    <m/>
    <s v="Colapso do acoplamento flexível"/>
    <x v="10"/>
    <x v="1"/>
    <s v="Troca do acoplamento e slip de comunicação. Engenharia irá analisar se será necessário uma investigação mais profunda. 06/03: Troca do acoplamento completo quase finalizada. Previsão de retorno 06/03."/>
    <s v="-"/>
    <s v="Operations - O&amp;M / Engenharia"/>
    <m/>
    <s v="Invenergy"/>
    <n v="192"/>
    <n v="1.2077294685990338E-4"/>
  </r>
  <r>
    <s v="Chapada II"/>
    <s v="JOA01-13"/>
    <d v="2025-02-20T00:00:00"/>
    <d v="2025-03-11T00:00:00"/>
    <x v="0"/>
    <x v="0"/>
    <m/>
    <s v="MCE programado. Pitch Bearing. Aguardando MCE"/>
    <x v="6"/>
    <x v="2"/>
    <s v="80% de evolução. "/>
    <n v="0.8"/>
    <s v="Operations - FSO"/>
    <m/>
    <s v="Essentia"/>
    <n v="0"/>
    <n v="0"/>
  </r>
  <r>
    <s v="Chapada I"/>
    <s v="JOA09-08"/>
    <d v="2024-11-16T00:00:00"/>
    <d v="2025-03-18T00:00:00"/>
    <x v="0"/>
    <x v="0"/>
    <d v="2025-04-05T00:00:00"/>
    <s v="Gearbox colapsada. Aguardando MCE. "/>
    <x v="4"/>
    <x v="2"/>
    <s v="Boroscopia no main bearing sendo realizada para verificar se temos danos adicionais. Aguardando MCE."/>
    <n v="1"/>
    <s v="Operations - FSO"/>
    <m/>
    <s v="Essentia"/>
    <n v="0"/>
    <n v="0"/>
  </r>
  <r>
    <s v="Chapada II"/>
    <s v="JOA04-01"/>
    <d v="2025-02-28T00:00:00"/>
    <d v="2025-03-18T00:00:00"/>
    <x v="0"/>
    <x v="0"/>
    <m/>
    <s v="Turbina com ramal baixo para troca do rolamento do pitch"/>
    <x v="6"/>
    <x v="2"/>
    <m/>
    <n v="0"/>
    <s v="Operations - FSO"/>
    <s v="Essentia"/>
    <n v="0"/>
    <n v="0"/>
    <n v="61.571428571428569"/>
  </r>
  <r>
    <s v="Chapada I"/>
    <s v="JOA16-02"/>
    <d v="2025-03-05T00:00:00"/>
    <d v="2025-03-21T00:00:00"/>
    <x v="0"/>
    <x v="0"/>
    <d v="2025-03-21T00:00:00"/>
    <s v="Colapso da Gearbox"/>
    <x v="4"/>
    <x v="2"/>
    <s v="Aguardando MCE. Pós-work sendo realizado."/>
    <n v="1"/>
    <s v="Operations - FSO"/>
    <m/>
    <s v="Invenergy"/>
    <n v="384"/>
    <n v="2.4154589371980676E-4"/>
  </r>
  <r>
    <s v="Chapada II"/>
    <s v="JOA04-02"/>
    <d v="2025-03-12T00:00:00"/>
    <d v="2025-03-25T00:00:00"/>
    <x v="0"/>
    <x v="0"/>
    <s v="?"/>
    <s v="Pitch bearing crack"/>
    <x v="6"/>
    <x v="2"/>
    <s v="Troca do pitch bearing sendo realizada. "/>
    <n v="1"/>
    <s v="Operations - FSO"/>
    <m/>
    <s v="Essentia"/>
    <n v="0"/>
    <n v="0"/>
  </r>
  <r>
    <s v="Chapada I"/>
    <s v="JOA16-07"/>
    <d v="2025-02-10T00:00:00"/>
    <d v="2025-03-27T00:00:00"/>
    <x v="0"/>
    <x v="0"/>
    <m/>
    <s v="Dano no HSS. "/>
    <x v="4"/>
    <x v="1"/>
    <s v="Caso sendo analisado pela engenharia, para possível desenvolvimento de reparo uptower. FlexWind inicia as atividades dia 17/03._x000a_20/03: Reparo em andamento. Houve impacto na atividade devido a incidência de raios. _x000a_28/03: Turbina entrou em operação ontem. "/>
    <n v="1"/>
    <s v="Operations - FSO"/>
    <m/>
    <s v="Invenergy"/>
    <n v="1080"/>
    <n v="6.793478260869565E-4"/>
  </r>
  <r>
    <s v="Chapada I"/>
    <s v="JOA15-07"/>
    <d v="2025-03-07T00:00:00"/>
    <d v="2025-03-31T00:00:00"/>
    <x v="0"/>
    <x v="0"/>
    <s v="?"/>
    <s v="Rompimento da Carcaça da Gearbox"/>
    <x v="4"/>
    <x v="2"/>
    <s v="Troca da gearbox sendo realizada por MCE. _x000a_28/03: Pós work sendo realizado. "/>
    <n v="1"/>
    <s v="Operations - FSO"/>
    <m/>
    <s v="Essentia"/>
    <n v="0"/>
    <n v="0"/>
  </r>
  <r>
    <s v="Chapada II"/>
    <s v="JOA04-03"/>
    <d v="2025-03-18T00:00:00"/>
    <d v="2025-04-01T00:00:00"/>
    <x v="0"/>
    <x v="0"/>
    <s v="?"/>
    <s v="Pitch bearing crack"/>
    <x v="6"/>
    <x v="2"/>
    <s v="Troca do pitch bearing sendo realizada. "/>
    <n v="1"/>
    <s v="Operations - FSO"/>
    <s v="Essentia"/>
    <s v="Essentia"/>
    <n v="0"/>
    <n v="0"/>
  </r>
  <r>
    <s v="Chapada II"/>
    <s v="JOA04-04"/>
    <d v="2025-03-22T00:00:00"/>
    <d v="2025-04-10T00:00:00"/>
    <x v="0"/>
    <x v="0"/>
    <d v="2025-04-10T00:00:00"/>
    <s v="Pitch bearing crack"/>
    <x v="6"/>
    <x v="2"/>
    <s v="Foi identificado duas trincas na mesma axis (2). Portanto, foi solicitada a parada da máquina e será realizada a troca do pitch bearing após a 04-03._x000a_04/03: Troca em andamento. _x000a_10/04: Pós work em andamento. "/>
    <n v="1"/>
    <s v="Operations - FSO"/>
    <s v="Essentia"/>
    <s v="Essentia"/>
    <n v="0"/>
    <n v="0"/>
  </r>
  <r>
    <s v="Chapada III"/>
    <s v="AUG05-13"/>
    <d v="2024-11-11T00:00:00"/>
    <d v="2025-04-11T00:00:00"/>
    <x v="0"/>
    <x v="0"/>
    <d v="2025-04-08T00:00:00"/>
    <s v="Danos na gearbox. Aguardando MCE. "/>
    <x v="4"/>
    <x v="2"/>
    <s v="Boroscopia foi realizada e disposição da engenharia foi de manter a turbina parada e priorizada para MCE. Aguardando MCE.  _x000a_03/04: Finalização do serviço e início do pós-work para o dia 04/04. _x000a_10/04: MCE finalizado em 09/04. Porém, máquina encontra-se em corretiva, falha de IGBT. Atendimento sendo impactado por L2. "/>
    <n v="1"/>
    <s v="Operations - FSO"/>
    <s v="Warton, Anderson e Gustavo"/>
    <s v="Invenergy"/>
    <n v="3624"/>
    <n v="8.1922743055555559E-3"/>
  </r>
  <r>
    <s v="Chapada I"/>
    <s v="JOA16-16"/>
    <d v="2025-02-24T00:00:00"/>
    <d v="2025-04-16T00:00:00"/>
    <x v="0"/>
    <x v="0"/>
    <s v="?"/>
    <s v="3 Yaw drives danificados."/>
    <x v="8"/>
    <x v="2"/>
    <s v="Aguardando MCE e uptower repair para extração do yaw drive. 3 yaw drives bonfiglioli e 1 nanjing._x000a_03/04: Previsão de iniciar a atividade após a finalização das trocas dos pitch bearings (JOA 04-04)._x000a_10/04: Troca em andamento. 30%. Planejamento para finalizar as trocas hoje (10/04)."/>
    <n v="1"/>
    <s v="Operations - FSO / O&amp;M"/>
    <m/>
    <s v="Invenergy"/>
    <n v="1224"/>
    <n v="7.6992753623188409E-4"/>
  </r>
  <r>
    <s v="Asa Branca"/>
    <s v="AB07-11"/>
    <d v="2024-11-05T00:00:00"/>
    <d v="2025-04-17T00:00:00"/>
    <x v="0"/>
    <x v="0"/>
    <d v="2025-04-15T00:00:00"/>
    <s v="Danos no gerador, curto no wye ring. Aguardando MCE. "/>
    <x v="2"/>
    <x v="2"/>
    <s v="Tentativa de Reparo do gerador foi realizada, porém, o reparo exigirá um esforço maior, portanto, foi acordado que terminariamos o reparo da 06-08 primeiro e depois voltaremos para a 07-11. Foi feita uma tentativa de reparo, porém, sem sucesso. Aguardando MCE. Será feito com o Liftra. Técnicos do Liftra já estão no site, seguimos aguardando a chegada dos equipamentos. _x000a_28/03: Foi realizada a montagem do light weight crane. Time está iniciando a montagem da base._x000a_03/04: Técnicos Invenergy em avaliação e certificação pelo time da Liftra. Previsão de inicar as atividades semana que vem.  _x000a_10/04: Gerador já foi trocado e o Liftra já está em processo de descida. Troca foi realizada no dia 08/04._x000a_17/04: Retornou hoje limitada em 500kW. 24h para retornar em full power."/>
    <n v="0.8"/>
    <s v="Operations - FSO"/>
    <s v="Marcelo Lins"/>
    <s v="Essentia"/>
    <n v="0"/>
    <n v="0"/>
  </r>
  <r>
    <s v="Chapada I"/>
    <s v="JOA12-17"/>
    <d v="2025-04-03T00:00:00"/>
    <d v="2025-04-22T00:00:00"/>
    <x v="0"/>
    <x v="0"/>
    <d v="2025-04-23T00:00:00"/>
    <s v="Fuga de corrente no gerador para o terra. "/>
    <x v="2"/>
    <x v="0"/>
    <s v="Turbina parou hoje (03/04) por conta de fuga de corrente para o terra, time irá atender para realizar o troubleshooting. Turbina já teve histórico de reparo do wye ring. _x000a_10/04: Sendo realizado o reparo emergencial do wye ring. É necessário um reparo no barramento do gerador, que faz necessário a remoção do wye ring. Após a mobilização da data engenharia será feito o retrofit do wye ring. _x000a_17/04: Muito impacto de L2 e diversas corretivas devido a parada do grid. "/>
    <s v="-"/>
    <s v="Operation - O&amp;M"/>
    <m/>
    <s v="Invenergy"/>
    <n v="456"/>
    <n v="2.8683574879227053E-4"/>
  </r>
  <r>
    <s v="Chapada II"/>
    <s v="JOA05-08"/>
    <d v="2025-02-20T00:00:00"/>
    <d v="2025-04-25T00:00:00"/>
    <x v="0"/>
    <x v="0"/>
    <d v="2025-04-24T00:00:00"/>
    <s v="Dano no HSS. "/>
    <x v="4"/>
    <x v="1"/>
    <s v="2 kits de HSS chegaram no dia 17/03. Aguardando o término do reparo da JOA 16-07 para iniciar o reparo na 05-08. _x000a_28/03: Flex Wind finalizou na 16-07, porém, tiveram uma outra demanda que tiveram que atender em outro parque. Estamos negociando o prazo para atendimento da 05-08. Flex Wind foi contratada devido à falta de ferramentas para executar a atividade. FSO está se preparando para conseguir executar a atividade. _x000a_03/04: Programação de início da atividade para o dia 09/04. FSO + time Chapada._x000a_10/04: Troca completa do HSS em andamento. Foi identificado que o HSIS já havia sido trocado anteriormente. Será necessário a extração de um parafuso quebrado (tampa da gearbox). _x000a_24/04: Previsão de retorno hoje. "/>
    <n v="1"/>
    <s v="Operations - FSO"/>
    <m/>
    <s v="Invenergy"/>
    <n v="1536"/>
    <n v="1.1111111111111111E-3"/>
  </r>
  <r>
    <s v="Chapada I"/>
    <s v="JOA16-10"/>
    <d v="2025-04-14T00:00:00"/>
    <d v="2025-05-01T00:00:00"/>
    <x v="0"/>
    <x v="0"/>
    <d v="2025-04-25T00:00:00"/>
    <s v="Reparo de Blade"/>
    <x v="9"/>
    <x v="4"/>
    <s v="Essentia executando reparo"/>
    <s v="-"/>
    <s v="Essentia"/>
    <m/>
    <s v="Essentia"/>
    <n v="0"/>
    <n v="0"/>
  </r>
  <r>
    <s v="Chapada II"/>
    <s v="JOA10-09"/>
    <d v="2025-04-16T00:00:00"/>
    <d v="2025-05-01T00:00:00"/>
    <x v="0"/>
    <x v="0"/>
    <d v="2025-05-01T00:00:00"/>
    <s v="Pitch bearing internal damage."/>
    <x v="6"/>
    <x v="2"/>
    <s v="Sendo executada a troca do pitch bearing._x000a_01/05: Troca sendo finalizada. "/>
    <n v="1"/>
    <s v="Operations - FSO"/>
    <m/>
    <s v="Essentia"/>
    <n v="0"/>
    <n v="0"/>
  </r>
  <r>
    <s v="Chapada II"/>
    <s v="JOA01-13"/>
    <d v="2025-04-16T00:00:00"/>
    <d v="2025-05-09T00:00:00"/>
    <x v="0"/>
    <x v="0"/>
    <d v="2025-05-09T00:00:00"/>
    <s v="Reparo de Blade"/>
    <x v="9"/>
    <x v="4"/>
    <s v="Essentia executando reparo"/>
    <s v="-"/>
    <s v="Essentia"/>
    <m/>
    <s v="Essentia"/>
    <n v="0"/>
    <n v="0"/>
  </r>
  <r>
    <s v="Chapada II"/>
    <s v="JOA16-01"/>
    <d v="2025-04-28T00:00:00"/>
    <d v="2025-05-09T00:00:00"/>
    <x v="0"/>
    <x v="0"/>
    <d v="2025-05-09T00:00:00"/>
    <s v="Reparo de Blade"/>
    <x v="9"/>
    <x v="4"/>
    <s v="Essentia executando reparo"/>
    <s v="-"/>
    <s v="Essentia"/>
    <s v="Essentia"/>
    <n v="0"/>
    <n v="0"/>
    <n v="0"/>
  </r>
  <r>
    <s v="Chapada II"/>
    <s v="JOA05-16"/>
    <d v="2025-05-06T00:00:00"/>
    <d v="2025-05-09T00:00:00"/>
    <x v="0"/>
    <x v="0"/>
    <d v="2025-05-16T00:00:00"/>
    <s v="Reparo de Blade"/>
    <x v="9"/>
    <x v="4"/>
    <s v="Essentia executando reparo"/>
    <s v="-"/>
    <s v="Essentia"/>
    <n v="0"/>
    <n v="0"/>
    <n v="0"/>
    <n v="0"/>
  </r>
  <r>
    <s v="Chapada II"/>
    <s v="JOA15-07"/>
    <d v="2025-05-05T00:00:00"/>
    <d v="2025-05-12T00:00:00"/>
    <x v="0"/>
    <x v="0"/>
    <d v="2025-05-16T00:00:00"/>
    <s v="Reparo de Blade"/>
    <x v="9"/>
    <x v="4"/>
    <s v="Essentia executando reparo"/>
    <s v="-"/>
    <s v="Essentia"/>
    <n v="0"/>
    <n v="64"/>
    <n v="0"/>
    <n v="0"/>
  </r>
  <r>
    <s v="Chapada II"/>
    <s v="JOA07-09"/>
    <d v="2025-04-07T00:00:00"/>
    <d v="2025-05-13T00:00:00"/>
    <x v="0"/>
    <x v="0"/>
    <d v="2025-05-09T00:00:00"/>
    <s v="Trinca na pista interna no rolamento planetário"/>
    <x v="4"/>
    <x v="2"/>
    <s v="Aguardando MCE. "/>
    <n v="1"/>
    <s v="Operations - FSO"/>
    <m/>
    <s v="Essentia"/>
    <n v="0"/>
    <n v="0"/>
  </r>
  <r>
    <s v="Chapada III"/>
    <s v="AUG04-16"/>
    <d v="2025-04-15T00:00:00"/>
    <d v="2025-05-13T00:00:00"/>
    <x v="0"/>
    <x v="0"/>
    <m/>
    <s v="Possível dano no gerador. "/>
    <x v="2"/>
    <x v="0"/>
    <s v="17/04: Aguardando time finalizar trabalho da JOA 12-17 para atendimento e troubleshooting. _x000a_24/04: Gerador foi aberto ontem. Foi identificado dano no wye ring. Aguardando disposição da engenharia. Reparo com a Data Engenharia. _x000a_15/05: Reparo realizado com Data engenharia e máquina em operação."/>
    <s v="-"/>
    <s v="Engenharia"/>
    <s v="Invenergy"/>
    <s v="Invenergy"/>
    <n v="672"/>
    <n v="1.5190972222222222E-3"/>
  </r>
  <r>
    <s v="Asa Branca"/>
    <s v="AB06-08"/>
    <d v="2024-12-26T00:00:00"/>
    <d v="2025-05-14T00:00:00"/>
    <x v="0"/>
    <x v="0"/>
    <d v="2025-05-16T00:00:00"/>
    <s v="Dano no rolamento do gerador e no assento do mesmo. "/>
    <x v="2"/>
    <x v="2"/>
    <s v="Aguardando definição de como seguiremos com o reparo do eixo do gerador. Previsão de início das atividades dia 27/03 - confecção do molde. Técnicos estão finalizando treinamentos._x000a_28/03: Hita já foi ao site para fazer o levantamento das medidas do eixo para a confecção dos moldes. Previsão para retorno ao site no dia 09/04._x000a_03/04: Sem novos updates. EHS avaliando documentação. Previsão para início das atividades em 09/04._x000a_10/04: Hita já fez o reparo utilizando o molde e agora estamos no passo de avaliação da qualidade do trabalho executado em conjunto com a  Engenharia Invenergy._x000a_17/04: Reparo realizado pela Hita foi recusado e foi solicitada a troca do gerador. Com o gerador em solo será verificado se há empeno do eixo. Gerador removido será enviado para reparo. _x000a_24/04: Será iniciada a montagem do Liftra amanhã"/>
    <n v="0"/>
    <s v="Operations - FSO / Engenharia"/>
    <m/>
    <s v="Essentia"/>
    <n v="0"/>
    <n v="0"/>
  </r>
  <r>
    <s v="Chapada II"/>
    <s v="JOA05-03"/>
    <d v="2025-03-24T00:00:00"/>
    <d v="2025-05-30T00:00:00"/>
    <x v="0"/>
    <x v="0"/>
    <d v="2025-06-06T00:00:00"/>
    <s v="Reparo de Blade"/>
    <x v="9"/>
    <x v="4"/>
    <s v="Essentia executando reparo"/>
    <s v="-"/>
    <s v="Essentia"/>
    <m/>
    <s v="Essentia"/>
    <n v="0"/>
    <n v="0"/>
  </r>
  <r>
    <s v="Chapada I"/>
    <s v="JOA16-06"/>
    <d v="2024-12-28T00:00:00"/>
    <d v="2025-05-31T00:00:00"/>
    <x v="0"/>
    <x v="0"/>
    <d v="2025-05-30T00:00:00"/>
    <s v="Fuga de corrente pro terra no gerador. Aguardando MCE."/>
    <x v="2"/>
    <x v="2"/>
    <s v="Gerador danificado. Exigirá troca completa. Aguardando MCE. 0% de evolução. Está pendente um 4º estágio do yaw drive bonfiglioli, visto que este foi canibalizado para aplicação na JOA 15-15."/>
    <n v="1"/>
    <s v="Operations - FSO"/>
    <m/>
    <s v="Invenergy"/>
    <n v="3696"/>
    <n v="2.673611111111111E-3"/>
  </r>
  <r>
    <s v="Asa Branca"/>
    <s v="AB06-11"/>
    <d v="2025-05-21T00:00:00"/>
    <d v="2025-06-08T00:00:00"/>
    <x v="0"/>
    <x v="0"/>
    <d v="2025-06-07T00:00:00"/>
    <s v="Reparo de blade sendo executado pelo time Invenergy. "/>
    <x v="9"/>
    <x v="2"/>
    <s v="Reparo de blade. "/>
    <m/>
    <s v="Operations - FSO"/>
    <m/>
    <s v="Invenergy"/>
    <n v="432"/>
    <m/>
  </r>
  <r>
    <s v="Chapada II"/>
    <s v="JOA01-17"/>
    <d v="2025-05-19T00:00:00"/>
    <d v="2025-06-13T00:00:00"/>
    <x v="0"/>
    <x v="0"/>
    <d v="2025-06-13T00:00:00"/>
    <s v="Reparo de Blade"/>
    <x v="9"/>
    <x v="4"/>
    <s v="Essentia executando reparo"/>
    <s v="-"/>
    <s v="Essentia"/>
    <s v="Essentia"/>
    <m/>
    <n v="0"/>
    <n v="0"/>
  </r>
  <r>
    <s v="Chapada II"/>
    <s v="JOA05-01"/>
    <d v="2025-06-02T00:00:00"/>
    <d v="2025-06-13T00:00:00"/>
    <x v="0"/>
    <x v="0"/>
    <m/>
    <s v="Troca de Gearbox."/>
    <x v="4"/>
    <x v="2"/>
    <s v="Turbina foi parada devido a um dano severo na gearbox. Já estava mapeada para troca._x000a_12/06: pós-work em andamento, previsão de startup da turbina hoje"/>
    <n v="1"/>
    <s v="Operations - FSO"/>
    <m/>
    <m/>
    <n v="0"/>
    <n v="0"/>
  </r>
  <r>
    <s v="Chapada III"/>
    <s v="AUG03-11"/>
    <d v="2025-04-09T00:00:00"/>
    <d v="2025-06-14T00:00:00"/>
    <x v="0"/>
    <x v="0"/>
    <d v="2025-06-12T00:00:00"/>
    <s v="Liberação do acoplamento flexível e dano no HSS. "/>
    <x v="4"/>
    <x v="2"/>
    <s v="Tivemos uma liberação do acoplamento flexível para fora da turbina. Investigação em andamento. _x000a_17/04: Indicada para troca de HSS._x000a_24/04: Aguardando finalização da JOA 05-08. Já possuímos HSS para essa troca. _x000a_01/05: Identificado dano no dente do HSIS. _x000a_06/06: pós work em andamento. _x000a_12/06: Reposição do slip de comunicação"/>
    <n v="1"/>
    <s v="Operation - FSO /  Engenharia "/>
    <m/>
    <s v="Invenergy"/>
    <n v="1584"/>
    <n v="3.5807291666666665E-3"/>
  </r>
  <r>
    <s v="Chapada II"/>
    <s v="JOA01-15"/>
    <d v="2025-06-13T00:00:00"/>
    <d v="2025-07-01T00:00:00"/>
    <x v="0"/>
    <x v="0"/>
    <d v="2025-07-14T00:00:00"/>
    <s v="Reparo de blade"/>
    <x v="9"/>
    <x v="4"/>
    <s v="Identificado dano severo e parada para reparo."/>
    <n v="1"/>
    <s v="Essentia"/>
    <m/>
    <s v="Essentia"/>
    <n v="0"/>
    <n v="0"/>
  </r>
  <r>
    <s v="Chapada I"/>
    <s v="JOA15-14"/>
    <d v="2025-06-13T00:00:00"/>
    <d v="2025-07-02T00:00:00"/>
    <x v="0"/>
    <x v="0"/>
    <d v="2025-07-14T00:00:00"/>
    <s v="Reparo de blade"/>
    <x v="9"/>
    <x v="4"/>
    <s v="Identificado dano severo e parada para reparo."/>
    <n v="1"/>
    <s v="Essentia"/>
    <m/>
    <s v="Essentia"/>
    <n v="0"/>
    <n v="0"/>
  </r>
  <r>
    <s v="Chapada III"/>
    <s v="AUG04-12"/>
    <d v="2025-06-13T00:00:00"/>
    <d v="2025-07-04T00:00:00"/>
    <x v="0"/>
    <x v="0"/>
    <s v="-"/>
    <s v="Reparo de blade"/>
    <x v="9"/>
    <x v="4"/>
    <s v="Identificado dano severo e parada para reparo."/>
    <n v="1"/>
    <s v="Essentia"/>
    <m/>
    <s v="Essentia"/>
    <n v="0"/>
    <n v="0"/>
  </r>
  <r>
    <s v="Asa Branca"/>
    <s v="AB06-19"/>
    <d v="2025-06-27T00:00:00"/>
    <d v="2025-07-08T00:00:00"/>
    <x v="0"/>
    <x v="0"/>
    <s v="-"/>
    <s v="Reparo de blade"/>
    <x v="9"/>
    <x v="4"/>
    <s v="Identificado dano severo e parada para reparo."/>
    <n v="0"/>
    <s v="Essentia / Invenergy"/>
    <m/>
    <s v="Essentia"/>
    <n v="0"/>
    <m/>
  </r>
  <r>
    <s v="Chapada II"/>
    <s v="JOA04-08"/>
    <d v="2025-02-05T00:00:00"/>
    <d v="2025-07-09T00:00:00"/>
    <x v="0"/>
    <x v="0"/>
    <d v="2025-07-01T00:00:00"/>
    <s v="Dano no gerador. Wye ring. "/>
    <x v="2"/>
    <x v="2"/>
    <s v="Troubleshooting está sendo executado. Houve impacto de L2 ontem, por isso, a atividade se alongou. _x000a_13/02: Caso sendo analisado pela engenharia. _x000a_20/02: Reparo uptower_x000a_27/02: Aguardando a Data engenharia_x000a_20/03: Data engenharia mencionou que a previsão é iniciar em 24/04._x000a_28/03: Vamos pressionar a data engenharia para ter uma data mais próxima e sanar as pendências. _x000a_03/04: Aguardando Data engenharia (haverá reunião hoje entre Invenergy e Data Engenharia para tratar a questão de data de execução)._x000a_10/04: Data informou que iniciará o reparo na primeira semana de maio 07/05._x000a_09/05: Data formalizou de que o reparo do wye ring não será possível. Máquina direcionada para MCE._x000a_23/05: Será feita uma inspeção com a Ecovis, com o gerador downtower._x000a_29/05: 0% de evolução._x000a_06/06: Será feita a troca da gerador e do Main Bearing. Não será mais realizada a tentativa com a Ecovis. Será necessária a utilização do crane que está snedo usado na frente de troca de gearbox, para conseguir realizar a troca do main bearing. _x000a_26/06: Não será feita a troca do Main Bearing. Equipe realizando troca do gerador._x000a_03/07: Impacto de vento alto nos últimos dias. Previsão é de ser finalizada no fim de semana. "/>
    <n v="1"/>
    <s v="Operations - FSO"/>
    <m/>
    <s v="Invenergy"/>
    <n v="3696"/>
    <n v="2.673611111111111E-3"/>
  </r>
  <r>
    <s v="Chapada I"/>
    <s v="JOA12-11"/>
    <d v="2025-06-13T00:00:00"/>
    <d v="2025-07-10T00:00:00"/>
    <x v="0"/>
    <x v="0"/>
    <s v="-"/>
    <s v="Reparo de blade"/>
    <x v="9"/>
    <x v="4"/>
    <s v="Identificado dano severo e parada para reparo."/>
    <n v="0"/>
    <s v="Essentia"/>
    <m/>
    <s v="Essentia"/>
    <n v="0"/>
    <n v="0"/>
  </r>
  <r>
    <s v="Chapada I"/>
    <s v="JOA15-11"/>
    <d v="2025-06-13T00:00:00"/>
    <d v="2025-07-10T00:00:00"/>
    <x v="0"/>
    <x v="0"/>
    <d v="2025-07-21T00:00:00"/>
    <s v="Reparo de blade"/>
    <x v="9"/>
    <x v="4"/>
    <s v="Identificado dano severo e parada para reparo."/>
    <n v="0"/>
    <s v="Essentia"/>
    <m/>
    <s v="Essentia"/>
    <n v="0"/>
    <n v="0"/>
  </r>
  <r>
    <s v="Chapada II"/>
    <s v="AUG04-13"/>
    <d v="2025-05-12T00:00:00"/>
    <d v="2025-07-11T00:00:00"/>
    <x v="0"/>
    <x v="0"/>
    <d v="2025-07-11T00:00:00"/>
    <s v="Danos no Wye ring. Aguardando mobilização Ecovis"/>
    <x v="2"/>
    <x v="1"/>
    <s v="12/05 - Máquina parada para abertura do gerador_x000a_15/05 - Data Engenharia realizando inspeção e testes no rotor._x000a_22/05 - Data formalizou de que o reparo do wye ring não será possível. Máquina direcionada para MCE._x000a_23/05: Será feita uma nova tentativa com a Ecovis._x000a_03/07: Aguardando finalização do reparo na AUG04-14. Previsão de início em 04/07._x000a_10/07: Reparo foi finalizado, sendo feita a montagem do gerador. _x000a_"/>
    <n v="1"/>
    <s v="Operations - FSO"/>
    <n v="64"/>
    <m/>
    <n v="0"/>
    <n v="0"/>
  </r>
  <r>
    <s v="Chapada II"/>
    <s v="JOA12-05"/>
    <d v="2025-06-13T00:00:00"/>
    <d v="2025-07-15T00:00:00"/>
    <x v="0"/>
    <x v="0"/>
    <s v="-"/>
    <s v="Reparo de blade"/>
    <x v="9"/>
    <x v="4"/>
    <s v="Identificado dano severo e parada para reparo."/>
    <n v="1"/>
    <s v="Essentia"/>
    <m/>
    <s v="Essentia"/>
    <n v="0"/>
    <n v="0"/>
  </r>
  <r>
    <s v="Chapada II"/>
    <s v="JOA04-13"/>
    <d v="2024-10-01T00:00:00"/>
    <d v="2025-07-17T00:00:00"/>
    <x v="1"/>
    <x v="0"/>
    <d v="2025-07-11T00:00:00"/>
    <s v="Danos na gearbox. Aguardando MCE."/>
    <x v="4"/>
    <x v="2"/>
    <s v="Aguardando MCE. Será feita após finalização das atividades na AUG05-13._x000a_10/04: MCE em andamento. _x000a_17/04: 40% de evolução. Conexão entre o eixo da gearbox e o main shaft travado. Engrenagens travadas também. Será perfurada o eixo da gearbox, para facilitar a remoção. Previsão de conclusão na próxima semana. _x000a_24/04: Foi iniciado o processo de furação ontem. Após finalização do MCE no AUG05-13 iremos poder finalizar na JOA04-13._x000a_01/05: 40% de evolução. _x000a_15/05: Equipe de field service retornou para atividade nesta máquina. Abertura de novos furos;_x000a_22/05: Foram feitas diversas tentativas de destravamento, porém, sem sucesso. Com isso foi acordado com a Essentia de que seria feita a desmobilização do guindaste e continuaremos as tentativas de destravamento. Atividade será feita com o Liftra._x000a_29/05: S/ updates._x000a_06/06: Só aquecimento não será possível para remover. Será necessário realizar o corte da gearbox._x000a_18/06: Troca já realizada com o Liftra. Realizando a descida do guindaste. _x000a_26/06: Pós work e certificação liftra._x000a_03/07: Pós work em andamento e certificação Liftra._x000a_10/07: Pós work foi iniciado de fato hoje, houveram problemas com o acoplamento. Previsão de retorno para amanhã (11/07)."/>
    <n v="1"/>
    <s v="Operations - FSO"/>
    <s v="Essentia"/>
    <s v="Essentia"/>
    <n v="0"/>
    <n v="0"/>
  </r>
  <r>
    <s v="Chapada II"/>
    <s v="JOA04-14"/>
    <d v="2025-02-06T00:00:00"/>
    <d v="2025-07-18T00:00:00"/>
    <x v="0"/>
    <x v="0"/>
    <d v="2025-07-11T00:00:00"/>
    <s v="Dano no gerador. Wye ring. "/>
    <x v="2"/>
    <x v="2"/>
    <s v="Aguardando MCE. _x000a_17/07: Finalizada a troca do gerador, porém, segue parada para corretiva. "/>
    <n v="1"/>
    <s v="Operations - FSO"/>
    <s v="Invenergy"/>
    <s v="Invenergy"/>
    <n v="3888"/>
    <n v="2.8124999999999999E-3"/>
  </r>
  <r>
    <s v="Chapada I"/>
    <s v="JOA15-01"/>
    <d v="2025-03-21T00:00:00"/>
    <d v="2025-07-23T00:00:00"/>
    <x v="0"/>
    <x v="0"/>
    <d v="2025-07-21T00:00:00"/>
    <s v="Dano no gerador.  "/>
    <x v="2"/>
    <x v="2"/>
    <s v="Resina se desprendeu do rotor e danificou o estator. Time já realizou o surge test e está analisando agora o parâmetro que foi analisado, de acordo com instruções da Engenharia US._x000a_03/04: Surge test reprovado. Será necessário a troca do gerador. _x000a_03/07: Atualizar._x000a_17/07: Pós work em andamento. Troca feita e finalizada em 16/07."/>
    <n v="1"/>
    <s v="Operations - FSO"/>
    <m/>
    <s v="Invenergy"/>
    <n v="2976"/>
    <n v="1.8719806763285024E-3"/>
  </r>
  <r>
    <s v="Chapada II"/>
    <s v="JOA07-15"/>
    <d v="2025-04-07T00:00:00"/>
    <d v="2025-07-24T00:00:00"/>
    <x v="0"/>
    <x v="0"/>
    <d v="2025-07-24T00:00:00"/>
    <s v="Duas trincas no pitch bearing da axis 1"/>
    <x v="6"/>
    <x v="2"/>
    <s v="Aguardando MCE._x000a_03/07: Máquina será priorizada após a JOA 04-08._x000a_10/07: Inicio da troca em 08/07._x000a_17/07: Troca em andamento. Atraso devido à questões de ventos. _x000a_24/07: FSO terminou o reparo e foi energizada hoje. Previsão retornoar hoje no fim do dia. "/>
    <n v="1"/>
    <s v="Operations - FSO"/>
    <m/>
    <s v="Essentia"/>
    <n v="0"/>
    <n v="0"/>
  </r>
  <r>
    <s v="Asa Branca"/>
    <s v="AB05-10"/>
    <d v="2025-05-14T00:00:00"/>
    <d v="2025-07-25T00:00:00"/>
    <x v="0"/>
    <x v="0"/>
    <d v="2025-07-25T00:00:00"/>
    <s v="Deslocamento excessivo do drivetrain e danos no main bearing"/>
    <x v="11"/>
    <x v="2"/>
    <s v="Aguardando MCE. _x000a_29/05: Já foi enviada a disposição para a Essentia. Essentia está buscando aprovação da troca junto a diretoria._x000a_06/06: Essentia possui um main bearing em Chapada que necessitará ser transferido para Asa. _x000a_12/06: Previsão de mobilização na semana do dia 23 (FW26)._x000a_26/06: Realizado pré-work. Nova previsão de 03/07 de mob guindaste._x000a_03/07: Guindaste atrasou e iniciará a mob dia 04/07 e inicio de operação dia 07/07._x000a_10/07: Aguardando condições climáticas para início das atividades. Foi feita a isntalação da corda guia de apenas uma pá. _x000a_17/07: Já foi feita a descida do rotor e trocado o main bearing. Falta subir drivetrain e rotor. Aguardando condições climáticas._x000a_24/07: Subida do ramal será feita amanhã. Previsão de retorno amanhã."/>
    <n v="1"/>
    <s v="Operations - FSO"/>
    <m/>
    <s v="Essentia"/>
    <n v="0"/>
    <m/>
  </r>
  <r>
    <s v="Chapada II"/>
    <s v="JOA11-03"/>
    <d v="2025-07-09T00:00:00"/>
    <d v="2025-07-30T00:00:00"/>
    <x v="0"/>
    <x v="0"/>
    <s v="29/07/2025"/>
    <s v="Identificado dano no gerador. Wye Ring"/>
    <x v="2"/>
    <x v="1"/>
    <s v="17/07: Com a visita da Ecovis para garantia da 12/17, será solicitado que seja feito a tentativa de reparo dessa máquina também. _x000a_24/07: Reparo sendo feito. Previsão de retorno 29/07."/>
    <n v="1"/>
    <s v="Operations - FSO"/>
    <m/>
    <s v="Invenergy"/>
    <n v="504"/>
    <m/>
  </r>
  <r>
    <s v="Chapada II"/>
    <s v="JOA12-13"/>
    <d v="2025-07-01T00:00:00"/>
    <d v="2025-08-03T00:00:00"/>
    <x v="0"/>
    <x v="0"/>
    <s v="-"/>
    <s v="Gearbox colapsada. Aguardando MCE. "/>
    <x v="4"/>
    <x v="2"/>
    <s v="Gearbox colapsada. Aguardando MCE. _x000a_03/07: sem cronograma de execução_x000a_17/07: Liftra já mobilizado para a turbina. Haverá um atraso devido à evento com Liftra. Prazo inicial era de 30/07._x000a_24/07: Troca sendo feita. Gearbox travada no main shaft. _x000a_31/07: Será feita a subido do ramal hoje. Previsão de retorno 04/08."/>
    <n v="1"/>
    <s v="Operations - FSO"/>
    <m/>
    <s v="Invenergy"/>
    <n v="792"/>
    <n v="0"/>
  </r>
  <r>
    <s v="Chapada II"/>
    <s v="AUG04-14"/>
    <d v="2025-03-10T00:00:00"/>
    <d v="2025-08-07T00:00:00"/>
    <x v="0"/>
    <x v="0"/>
    <s v="?"/>
    <s v="Falha no Wye Ring e trinca no planetário Gearbox"/>
    <x v="12"/>
    <x v="2"/>
    <s v="Turbina indicada para realização do reparo do Wye Ring pela Data Engenharia. (aproveitamento da mobilização e reparo das turbinas JOA04-08 e AUG04-14)._x000a_09/05: Data formalizou de que o reparo do wye ring não será possível. Máquina direcionada para MCE._x000a_Em nova boroscopia, foi identificado que havia uma trinca em um dos rolamentos do planetário._x000a_23/05: Será feita uma nova tentativa de reparo com a Ecovis uptower._x000a_12/06: Previsão de mobilização para a FW26._x000a_26/06: Equipe avançou o pré work devido a máquina estar fora de operação._x000a_03/07: Ecovis realizando o reparo. _x000a_10/07: Pendente fazer o alinhamento do gerador para poder o teste e validar do gerador. Turbina permanecerá em DT devido a gearbox. _x000a_17/07: Finalização dos últimos passos para startar a turbina e testar a turbina (validar o reparo do gerador - rodará por ~2 horas e depois ficará em DT por conta da gbx)._x000a_24/07: DT gbx._x000a_31/07: Evolução de 15%_x000a_07/08: Troca sendo finalizada."/>
    <n v="1"/>
    <s v="Operations - FSO"/>
    <s v="Invenergy"/>
    <s v="Invenergy"/>
    <n v="3600"/>
    <n v="2.6041666666666665E-3"/>
  </r>
  <r>
    <s v="Chapada II"/>
    <s v="AUG05-14"/>
    <d v="2025-06-30T00:00:00"/>
    <d v="2025-08-13T00:00:00"/>
    <x v="0"/>
    <x v="0"/>
    <s v="-"/>
    <s v="Solicitação pela engenharia de manter a turbina fora de operação devido a trinca/quebra de dente da engrenagem do estágio planetário. Aguardando MCE. "/>
    <x v="4"/>
    <x v="2"/>
    <s v="Aguardando MCE. _x000a_03/07: sem cronograma de execução_x000a_31/07: Será executada após a JOA04-02._x000a_07/08: Guindaste foi mobilizado para a WTG hoje e está em processo de montagem. Previsão de iniciar o pré-work hoje. "/>
    <n v="1"/>
    <s v="Operations - FSO"/>
    <m/>
    <s v="Invenergy"/>
    <n v="1056"/>
    <n v="0"/>
  </r>
  <r>
    <s v="Chapada II"/>
    <s v="JOA01-06"/>
    <d v="2025-07-20T00:00:00"/>
    <d v="2025-08-15T00:00:00"/>
    <x v="0"/>
    <x v="0"/>
    <s v="?"/>
    <s v="Danos no pinhão do yaw drive."/>
    <x v="8"/>
    <x v="2"/>
    <s v="31/07: Serão trocados dos yaw drives, pois não foi encontrado um set novo._x000a_07/08: Aguardando finalização da AUG05-14. _x000a_14/08: Troca dos yaw drives finalizada ontem. Pendente renergização e material para corretiva. "/>
    <n v="1"/>
    <s v="Operations - FSO"/>
    <m/>
    <s v="Invenergy"/>
    <n v="624"/>
    <m/>
  </r>
  <r>
    <s v="Chapada II"/>
    <s v="JOA01-05"/>
    <d v="2025-07-28T00:00:00"/>
    <d v="2025-08-21T00:00:00"/>
    <x v="0"/>
    <x v="0"/>
    <d v="2025-08-22T00:00:00"/>
    <s v="Foi solicitada uma boroscopia e identificado trinca no planetário. "/>
    <x v="4"/>
    <x v="2"/>
    <s v="31/07: Aguardando MCE._x000a_14/08: Plano de rigging sendo elaborado. Uma vez finalizado será iniciado o processo de montagem do guindaste._x000a_21/08: Será feita a subida do ramal hoje e após energização. Previsão de retorno 22/08. "/>
    <n v="0.95"/>
    <s v="Operations - FSO"/>
    <m/>
    <s v="Invenergy"/>
    <n v="576"/>
    <m/>
  </r>
  <r>
    <s v="Chapada II"/>
    <s v="JOA10-05"/>
    <d v="2025-06-10T00:00:00"/>
    <d v="2025-08-25T00:00:00"/>
    <x v="0"/>
    <x v="0"/>
    <m/>
    <s v="Turbina parada para troca do Main Shaft"/>
    <x v="11"/>
    <x v="2"/>
    <s v="12/06: Baixa do ramal para troca do Main shaft._x000a_18/06: Sendo feita a subida do rotor. _x000a_26/06: pós work_x000a_03/07: Identificado danos na rosca do bedplate, na conexão do pillow block com  bedplate. Tentando identificar fornecedores para confecção de rosca postiça. _x000a_10/07: Aguardando visita da Tech End para inspeção da rosca danificada e avaliação de reparo da rosca com rosca postiça._x000a_17/07: Tech End realizou a visita em 15/07 para avaliação do reparo a ser feito. Previsão de enviarem o procedimento e fabricarem o suporte necessário em 1 semana. _x000a_24/07: Suporte sendo fabricado. Previsão de mobilização para instalação na próxima semana._x000a_31/07: Previsão de mobilização para Araripina em 01/08._x000a_07/08: Chegaram no dia 05/08. Iniciaram o trabalho no dia 06/08, porém, identificaram que não possuem ferramentas necessárias. Estão em standby a procura da ferraementa em Petrolina. _x000a_14/08: Alinhado com a Tech End de realizar um reparo paleativo da rosca utilizando helicoil M36. Sem previsão de retorno ainda. _x000a_21/08: Sendo realizada a instalação dos helicoils M36 para retorno a operação temporária, antes da finalização do reparo com helicoil M39._x000a_28/08: Em operação limitada pelo vento. Aguardando pelo reparo com helicoil M39. "/>
    <n v="0.95"/>
    <s v="Operations - FSO"/>
    <m/>
    <m/>
    <n v="0"/>
    <n v="0"/>
  </r>
  <r>
    <s v="Chapada II"/>
    <s v="JOA04-02"/>
    <d v="2025-06-14T00:00:00"/>
    <d v="2025-08-25T00:00:00"/>
    <x v="0"/>
    <x v="0"/>
    <d v="2025-08-25T00:00:00"/>
    <s v="Gearbox colapsada. Aguardando MCE. "/>
    <x v="4"/>
    <x v="2"/>
    <s v="Gearbox colapsada. Aguardando MCE. _x000a_03/07: sem cronograma de execução_x000a_17/07: Liftra já mobilizado para a turbina. Haverá um atraso devido à evento com Liftra. Prazo inicial era de 30/07._x000a_24/07: Liftra está enviando um novo equipamento (emprestado) para continuidade da operação. Chegará no dia 29/07em Chapada._x000a_31/07: Equipamento do Liftra chegou, porém, em processo de autorização do EHS.  _x000a_07/08: Atividade em andamento com o time Liftra. Previsão de retorno 15/08._x000a_14/08: Realizada a troca da gearbox. Iniciado o processo do guindaste hoje. Previsão de retorno 25/08._x000a_21/08: Finalizada desmontagem do guindaste. Sendo realizado o pós work. "/>
    <n v="1"/>
    <s v="Operations - FSO"/>
    <m/>
    <s v="Invenergy"/>
    <n v="1728"/>
    <n v="0"/>
  </r>
  <r>
    <s v="Chapada II"/>
    <s v="JOA01-15"/>
    <d v="2025-07-16T00:00:00"/>
    <d v="2025-08-28T00:00:00"/>
    <x v="0"/>
    <x v="0"/>
    <m/>
    <s v="Identificado dano no gerador e posteriormente no HSS. Wye Ring / HSS"/>
    <x v="12"/>
    <x v="1"/>
    <s v="24/07: Aguardando finalização na 11-03 para Ecovis seguir com inspeção e possível reparo._x000a_31/07: Reparo foi finalizado hoje, porém, foram encontrados danos no HSS que impedem a operação da turbina. Aguardando análise da boroscopia para verificação de demais danos.  _x000a_05/08: Identificado que ha somente danos no dente do HSS e sem danos secundários. Será realizado a troca do HSS. Testes do gerador serão feitos somente após a troca do HSS._x000a_07/08: Previsão de início das atividades na próxima semana. _x000a_14/08: Previsão de início das atividades na próxima semana. Houve um atraso devido a atraso de entrega de material. _x000a_21/08: Iniciada as atividades hoje._x000a_28/08: RTS.  "/>
    <n v="1"/>
    <s v="Operations - FSO"/>
    <m/>
    <s v="Invenergy"/>
    <n v="1032"/>
    <m/>
  </r>
  <r>
    <s v="Chapada II"/>
    <s v="JOA03-16"/>
    <d v="2025-08-16T00:00:00"/>
    <d v="2025-08-28T00:00:00"/>
    <x v="0"/>
    <x v="0"/>
    <m/>
    <s v="Falha da barra da axis box."/>
    <x v="5"/>
    <x v="1"/>
    <s v="28/08: Retornando hoje a operação."/>
    <m/>
    <s v="Operations  - O&amp;M"/>
    <m/>
    <s v="Invenergy"/>
    <n v="288"/>
    <m/>
  </r>
  <r>
    <s v="Chapada II"/>
    <s v="JOA03-07"/>
    <d v="2025-08-26T00:00:00"/>
    <d v="2025-08-31T00:00:00"/>
    <x v="0"/>
    <x v="0"/>
    <m/>
    <s v="Falha da barra da axis box."/>
    <x v="5"/>
    <x v="1"/>
    <s v="28/08: Aguardando a chegada da barra para troca. "/>
    <m/>
    <s v="Operations  - O&amp;M"/>
    <m/>
    <s v="Invenergy"/>
    <n v="120"/>
    <m/>
  </r>
  <r>
    <s v="Chapada II"/>
    <s v="JOA01-12"/>
    <d v="2025-08-19T00:00:00"/>
    <d v="2025-09-09T00:00:00"/>
    <x v="0"/>
    <x v="0"/>
    <d v="2025-09-10T00:00:00"/>
    <s v="Falha no gerador. Wye Ring"/>
    <x v="2"/>
    <x v="1"/>
    <s v="21/08: Aguardando mobilização da Ecovis para realizar reparo._x000a_28/08: Aguardando chega da Ecovis, prevista para 01/09._x000a_04/09: Ecovis já está atuando na turbina. Previsão de retorno 10/09. "/>
    <n v="1"/>
    <s v="Operations  - O&amp;M"/>
    <m/>
    <s v="Invenergy"/>
    <n v="504"/>
    <m/>
  </r>
  <r>
    <s v="Chapada II"/>
    <s v="JOA05-01"/>
    <d v="2025-09-08T00:00:00"/>
    <d v="2025-09-15T00:00:00"/>
    <x v="0"/>
    <x v="0"/>
    <m/>
    <s v="2 Yaw Drives danificados. "/>
    <x v="8"/>
    <x v="1"/>
    <s v="11/09: Yaw Drives sendo reparados. "/>
    <m/>
    <s v="Operations  - O&amp;M"/>
    <m/>
    <s v="Invenergy"/>
    <n v="168"/>
    <m/>
  </r>
  <r>
    <s v="Chapada II"/>
    <s v="AUG04-09"/>
    <d v="2025-08-29T00:00:00"/>
    <d v="2025-09-18T00:00:00"/>
    <x v="0"/>
    <x v="0"/>
    <d v="2025-09-18T00:00:00"/>
    <s v="Falha no gerador. Wye Ring"/>
    <x v="2"/>
    <x v="1"/>
    <s v="04/09: Aguardando a ida da Ecovis para análise de viabilidade de reparo._x000a_11/09: Ecovis realizando o reparo._x000a_18/09: Equipe finalizando o fechamento do gerador.  "/>
    <m/>
    <s v="Operations  - O&amp;M"/>
    <m/>
    <s v="Invenergy"/>
    <n v="480"/>
    <m/>
  </r>
  <r>
    <s v="Chapada I"/>
    <s v="JOA10-06"/>
    <d v="2025-08-04T00:00:00"/>
    <d v="2025-09-22T00:00:00"/>
    <x v="0"/>
    <x v="0"/>
    <d v="2025-09-19T00:00:00"/>
    <s v="Foi solicitada uma boroscopia e identificado trinca no planetário. Será necessária a troca da barra da axis box."/>
    <x v="4"/>
    <x v="2"/>
    <s v="05/08: Aguardando MCE._x000a_14/08: Será realizada após a finalização a atividade na JOA01-05._x000a_28/08: Em processo de montagem do Liftra._x000a_04/09: Liftra posicionado, aguardando janela de vento para subida do guindaste principal.  _x000a_11/09: Liftra já montado. Gearbox já foi trocada. Houve atraso devido a condições de vento e mobilização do guindaste auxiliar. "/>
    <n v="1"/>
    <s v="Operations - FSO"/>
    <m/>
    <s v="Invenergy"/>
    <n v="1176"/>
    <m/>
  </r>
  <r>
    <s v="Chapada I"/>
    <s v="JOA16-13"/>
    <d v="2025-08-29T00:00:00"/>
    <d v="2025-09-24T00:00:00"/>
    <x v="0"/>
    <x v="0"/>
    <m/>
    <s v="Falha no gerador. Wye Ring"/>
    <x v="2"/>
    <x v="1"/>
    <s v="11/09: Aguardando ida da Ecovis._x000a_18/09: Ecovis iniciará o reparo hoje. "/>
    <m/>
    <s v="Operations  - O&amp;M"/>
    <m/>
    <s v="Invenergy"/>
    <n v="624"/>
    <m/>
  </r>
  <r>
    <s v="Chapada I"/>
    <s v="JOA12-12"/>
    <d v="2025-09-30T00:00:00"/>
    <d v="2025-10-07T00:00:00"/>
    <x v="0"/>
    <x v="0"/>
    <m/>
    <s v="Falha do sistema de freio. Sendo investigado"/>
    <x v="13"/>
    <x v="0"/>
    <s v="02/10: Sendo avaliado se existe algum tipo de dano interno na gearbox, que pode ter causado a falha. "/>
    <m/>
    <s v="Operations  - O&amp;M"/>
    <m/>
    <s v="Invenergy"/>
    <n v="168"/>
    <m/>
  </r>
  <r>
    <s v="Chapada I"/>
    <s v="JOA16-10"/>
    <d v="2025-10-07T00:00:00"/>
    <d v="2025-10-16T00:00:00"/>
    <x v="0"/>
    <x v="0"/>
    <m/>
    <s v="Danos no gerador. Wye ring."/>
    <x v="2"/>
    <x v="1"/>
    <s v="09/10: Aguardando disposição para reparo com Ecovis. _x000a_16/10: Ecovis finalizou o reparo dia 14/10. "/>
    <m/>
    <s v="Operations  - O&amp;M"/>
    <m/>
    <s v="Invenergy"/>
    <n v="216"/>
    <m/>
  </r>
  <r>
    <s v="Chapada II"/>
    <s v="JOA 01-08"/>
    <d v="2025-10-14T00:00:00"/>
    <d v="2025-10-17T00:00:00"/>
    <x v="1"/>
    <x v="0"/>
    <m/>
    <s v="Rolamento do HSS rotacionando na sede"/>
    <x v="4"/>
    <x v="1"/>
    <s v="16/10: Time realizando o reparo adicionando shims. _x000a_23/10: Reparo finalizado"/>
    <m/>
    <s v="Operations  - O&amp;M"/>
    <m/>
    <s v="Invenergy"/>
    <n v="72"/>
    <m/>
  </r>
  <r>
    <s v="Chapada I"/>
    <s v="JOA09-15"/>
    <d v="2025-09-10T00:00:00"/>
    <d v="2025-10-20T00:00:00"/>
    <x v="0"/>
    <x v="0"/>
    <m/>
    <s v="Dano no main bearing. "/>
    <x v="11"/>
    <x v="2"/>
    <s v="11/09: Aguardando MCE. Será a próxima da sequência FW40._x000a_25/09: Pré work finalizado, previsão de início 06/10._x000a_09/10: Guindaste ficará operacional amanhã 10/10._x000a_16/10: Troca em andamento "/>
    <n v="0.7"/>
    <s v="Operations - FSO"/>
    <m/>
    <s v="Invenergy"/>
    <n v="960"/>
    <m/>
  </r>
  <r>
    <s v="Chapada II"/>
    <s v="JOA01-01"/>
    <d v="2025-10-19T00:00:00"/>
    <d v="2025-10-23T00:00:00"/>
    <x v="0"/>
    <x v="0"/>
    <m/>
    <s v="Troubleshooting de comunicação com placas"/>
    <x v="0"/>
    <x v="0"/>
    <s v="23/10: Time finalizando troubleshooting de placas"/>
    <m/>
    <s v="Operations  - O&amp;M"/>
    <m/>
    <s v="Invenergy"/>
    <n v="96"/>
    <m/>
  </r>
  <r>
    <s v="Chapada I"/>
    <s v="JOA15-10"/>
    <d v="2025-09-03T00:00:00"/>
    <d v="2025-10-29T00:00:00"/>
    <x v="0"/>
    <x v="0"/>
    <d v="2025-10-29T00:00:00"/>
    <s v="Danos no pitch bearing. "/>
    <x v="6"/>
    <x v="2"/>
    <s v="11/09: Seguindo com a compra do set do pitch bearing para troca. Leadtime de 5 dias (GE). Aprovação da Essentia foi realizada hoje 11/09._x000a_18/09: Aguardando finalização da JOA10-06 para mobilização. _x000a_25/09: Trabalho iniciado, subindo o material e montando o Liftra. _x000a_02/10: Guindaste auxiliar sendo montado._x000a_09/10: Previsão de descida da primeira pá hoje._x000a_23/10:  Troca em andamento. "/>
    <n v="1"/>
    <s v="Operations - FSO"/>
    <m/>
    <s v="Invenergy"/>
    <n v="1344"/>
    <m/>
  </r>
  <r>
    <s v="Chapada I"/>
    <s v="JOA15-06"/>
    <d v="2025-09-24T00:00:00"/>
    <d v="2025-10-31T00:00:00"/>
    <x v="0"/>
    <x v="0"/>
    <d v="2025-10-31T00:00:00"/>
    <s v="Possível dano no gerador. "/>
    <x v="2"/>
    <x v="1"/>
    <s v="25/09: Inspeção no gerador será feita a amanhã. _x000a_02/10: Aguardando reparo com Ecovis. WTG impedida de atendimento devido a talha. _x000a_23/10: Aguardando tratativa da JOA15-12._x000a_30/10: Time realizando o fechamento do gerador após o reparo realizado pela Ecovis. "/>
    <m/>
    <s v="Operations  - O&amp;M"/>
    <m/>
    <s v="Invenergy"/>
    <n v="888"/>
    <m/>
  </r>
  <r>
    <s v="Chapada II"/>
    <s v="JOA01-08"/>
    <d v="2025-10-23T00:00:00"/>
    <d v="2025-11-13T00:00:00"/>
    <x v="0"/>
    <x v="0"/>
    <m/>
    <s v="Reparo de blade."/>
    <x v="9"/>
    <x v="1"/>
    <s v="30/10: Sendo realizado reparo de pá. "/>
    <m/>
    <s v="Operations - FSO"/>
    <m/>
    <s v="Essentia"/>
    <n v="0"/>
    <m/>
  </r>
  <r>
    <s v="Chapada II"/>
    <s v="AUG04-03"/>
    <d v="2025-10-27T00:00:00"/>
    <d v="2025-11-13T00:00:00"/>
    <x v="0"/>
    <x v="0"/>
    <d v="2025-11-07T00:00:00"/>
    <s v="Troca do Main Bearing"/>
    <x v="11"/>
    <x v="2"/>
    <s v="30/10: Sendo realizada a troca do main bearing_x000a_06/11: Finalizando a troca. Previsão de retorno 07/11/2025."/>
    <n v="1"/>
    <s v="Operations - FSO"/>
    <m/>
    <s v="Essentia"/>
    <n v="0"/>
    <m/>
  </r>
  <r>
    <s v="Chapada II"/>
    <s v="JOA05-07"/>
    <d v="2025-10-27T00:00:00"/>
    <d v="2025-11-13T00:00:00"/>
    <x v="0"/>
    <x v="0"/>
    <m/>
    <s v="Reparo de blade."/>
    <x v="9"/>
    <x v="1"/>
    <s v="30/10: Sendo realizado reparo de pá. "/>
    <m/>
    <s v="Operations - FSO"/>
    <m/>
    <s v="Essentia"/>
    <n v="0"/>
    <m/>
  </r>
  <r>
    <s v="Chapada III"/>
    <s v="AUG05-12"/>
    <d v="2025-09-30T00:00:00"/>
    <d v="2025-11-21T00:00:00"/>
    <x v="0"/>
    <x v="0"/>
    <m/>
    <s v="Rompimento da Carcaça da Gearbox"/>
    <x v="4"/>
    <x v="2"/>
    <s v="02/10: Rompimento da carcaça da gearbox. Aguardando MCE_x000a_06/11: Inicio da mobilização para a turbina. _x000a_13/11: Troca em andamento._x000a_21/11: Troca finalizada. Sendo realizada corretiva pós MCE. "/>
    <n v="1"/>
    <s v="Operations - FSO"/>
    <m/>
    <s v="Invenergy"/>
    <n v="1248"/>
    <m/>
  </r>
  <r>
    <s v="Chapada I"/>
    <s v="JOA12-06"/>
    <d v="2025-09-23T00:00:00"/>
    <d v="2025-11-23T00:00:00"/>
    <x v="0"/>
    <x v="0"/>
    <d v="2025-11-21T00:00:00"/>
    <s v="Falha na gearbox."/>
    <x v="4"/>
    <x v="2"/>
    <s v="25/09: Disposição enviada pela engenharia. Diversos danos na gearbox. _x000a_23/10: Aguardando MCE._x000a_30/10: Iniciada a mobilização do Liftra para início das atividades. _x000a_06/11: Sendo realizada a subida do guindaste principal. _x000a_13/11: Processo de desmontagem da base do guindaste. Troca concluída_x000a_21/11: Pós-work em andamento. Previsão de finalização para hoje. "/>
    <n v="1"/>
    <s v="Operations - FSO"/>
    <m/>
    <s v="Invenergy"/>
    <n v="1464"/>
    <m/>
  </r>
  <r>
    <s v="Chapada I"/>
    <s v="JOA16-07"/>
    <d v="2025-08-09T00:00:00"/>
    <d v="2025-12-03T00:00:00"/>
    <x v="0"/>
    <x v="0"/>
    <d v="2025-11-27T00:00:00"/>
    <s v="Falha no HSS. "/>
    <x v="4"/>
    <x v="1"/>
    <s v="14/08: Aguardando disposição de engenharia para definição se será feito reparo uptower ou troca da gearbox. _x000a_21/08: Aguardando a troca do HSS._x000a_28/08: S/ atualização e s/ previsão de entrega do material (4 unidades do HSS) para execução da atividade._x000a_11/09: Foi informado um leadtime de 2 kits - 30 dias para entrega dos HSSs._x000a_09/10: Previsão de entrega dos kits no dia 21/10. _x000a_23/10: Aguardando chegada dos kits. Nova previsão de chegada para 04/11._x000a_06/11: Não foi entregue ainda os novos kits. 2 Kits chegarão 11/11 e outros 2 no dia 25/11._x000a_13/11:  Inicio da atividade no dia 17/11._x000a_21/11: Troca em andamento. _x000a_27/11: Finalizando a troca do HSS hoje. Previsão de retorno para hoje. "/>
    <n v="1"/>
    <s v="Operations - FSO"/>
    <m/>
    <m/>
    <n v="0"/>
    <m/>
  </r>
  <r>
    <s v="Chapada I"/>
    <s v="JOA09-12"/>
    <d v="2025-09-01T00:00:00"/>
    <d v="2025-12-03T00:00:00"/>
    <x v="0"/>
    <x v="0"/>
    <m/>
    <s v="Falha no gerador."/>
    <x v="2"/>
    <x v="2"/>
    <s v="11/09: Aguardando ida da Ecovis_x000a_25/09: Ecovis realizando o reparo. Previsão de retorno no dia 01/10._x000a_02/10: Time Invenergy fechando o gerador. Previsão de retorno 03/10. Houve uma falha após retornar a turbina (falhas diferenças de fase e fuga pra terra). Troubleshooting sendo feito._x000a_09/10: Máquina retornou a operar por 30 min e falho novamente. Ecovis está realizando o reparo da isolação hoje. Previsão de retorno 10/10._x000a_16/10: Máquina retornou a operar e falhou novamente. Ecovis está realizando o reparo do wye ring novamente. Previsão de retorno 21/10._x000a_23/10: Ecovis finalizou o reparo ontem e o time Invenergy está fazendo o fechamento do gerador. _x000a_30/10: Identificado que não será possível realizar o reparo. Turbina em DT, aguardando a troca. _x000a_04/12: Positivo concluiu o reparo do gerador. "/>
    <m/>
    <s v="Operations - FSO"/>
    <m/>
    <s v="Invenergy"/>
    <n v="2232"/>
    <m/>
  </r>
  <r>
    <s v="Chapada I"/>
    <s v="JOA15-08"/>
    <d v="2025-10-27T00:00:00"/>
    <d v="2025-12-04T00:00:00"/>
    <x v="0"/>
    <x v="0"/>
    <d v="2025-12-04T00:00:00"/>
    <s v="Desconfiguração de todas as engrenagens do estágio planetário."/>
    <x v="4"/>
    <x v="2"/>
    <s v="Aguardando MCE_x000a_27/11: Pós work em andamento. Previsão de conclusão 28/11._x000a_04/12: Máquina retornou, porém, foi constatado uma falha no sistema de ALC que está sendo corrigida. "/>
    <n v="1"/>
    <m/>
    <m/>
    <s v="Essentia"/>
    <n v="0"/>
    <n v="0"/>
  </r>
  <r>
    <s v="Chapada I"/>
    <s v="JOA16-14"/>
    <d v="2025-11-24T00:00:00"/>
    <d v="2025-12-04T00:00:00"/>
    <x v="0"/>
    <x v="0"/>
    <d v="2025-12-05T00:00:00"/>
    <s v="Falha no gerador. "/>
    <x v="2"/>
    <x v="2"/>
    <s v="Aguardando MCE_x000a_04/12: Troca foi finalizada ontem. Sendo feito o pós work. "/>
    <n v="0.9"/>
    <m/>
    <m/>
    <s v="Essentia"/>
    <n v="0"/>
    <n v="0"/>
  </r>
  <r>
    <s v="Chapada II"/>
    <s v="JOA07-13"/>
    <d v="2025-11-24T00:00:00"/>
    <d v="2025-12-04T00:00:00"/>
    <x v="0"/>
    <x v="0"/>
    <d v="2025-12-05T00:00:00"/>
    <s v="Reparo de blade."/>
    <x v="9"/>
    <x v="1"/>
    <s v="04/12: Reparo de blade sendo executado."/>
    <m/>
    <m/>
    <m/>
    <m/>
    <m/>
    <m/>
  </r>
  <r>
    <s v="Chapada I"/>
    <s v="JOA15-12"/>
    <d v="2025-09-08T00:00:00"/>
    <d v="2025-12-05T00:00:00"/>
    <x v="0"/>
    <x v="0"/>
    <d v="2025-12-06T00:00:00"/>
    <s v="Falha no gerador."/>
    <x v="2"/>
    <x v="1"/>
    <s v="11/09: Aguardando ida da Ecovis._x000a_02/10: Ecovis iniciou os reparos dia 30/09._x000a_09/10: Turbina retornou e operou por pouco tempo, vindo a falhar novamente durante a madrugada de hoje. Time Invenergy subiu hoje para reabrir o gerador para preparar para Ecovis. _x000a_16/10: Ecovis reparou, porém, a máquina voltou a falhar, porém, durante testes não foram encontradas falhas no reparo. Estão fazendo a troca do slipring agora para buscar sanar a falha. _x000a_23/10: Gerador foi reaberto para Ecovis fazer uma nova inspeção no reparo, porém, não foram encontrados danos. Seguiremos com o fechamento do gerador para continuação do troubleshooting. _x000a_30/10: Time de campo realizando o troubleshooting de falha no gerador._x000a_06/11: Time finalizando os testes (juntamente com a Ecovis) e será colocada em operação hoje.  _x000a_13/11: Máquina em DT (visivelmente não é possível ver o dano). Troubleshooting sendo realizado juntamente com o time do EUA. _x000a_27/11: Time realizando abertura do gerador para inspeção da Positivo. _x000a_04/12: Positivo realizando o reparo, previsão de retorno amanhã."/>
    <m/>
    <s v="Operations  - O&amp;M"/>
    <m/>
    <s v="Invenergy"/>
    <n v="2112"/>
    <m/>
  </r>
  <r>
    <s v="Chapada I"/>
    <s v="JOA09-02"/>
    <d v="2025-12-01T00:00:00"/>
    <d v="2025-12-08T00:00:00"/>
    <x v="0"/>
    <x v="0"/>
    <m/>
    <s v="Troca do HSS"/>
    <x v="4"/>
    <x v="1"/>
    <s v="04/12: Troca do HSS em andamento."/>
    <n v="0.45"/>
    <m/>
    <m/>
    <m/>
    <m/>
    <m/>
  </r>
  <r>
    <s v="Chapada I"/>
    <s v="JOA10-04"/>
    <d v="2025-10-22T00:00:00"/>
    <d v="2025-12-10T00:00:00"/>
    <x v="0"/>
    <x v="0"/>
    <m/>
    <s v="Falha do gerador."/>
    <x v="2"/>
    <x v="1"/>
    <s v="23/10: Time realizando o troubleshooting. _x000a_30/10: Identificado danos nos cabos do gerador. Ecovis fez a inspeção e decretou DT._x000a_13/11: Máquina em DT._x000a_04/12: Positivo realizaou o reparo e equipe O&amp;M está fechando o gerador. "/>
    <m/>
    <s v="Operations  - O&amp;M"/>
    <m/>
    <s v="Invenergy"/>
    <n v="1176"/>
    <m/>
  </r>
  <r>
    <s v="Chapada I"/>
    <s v="JOA12-07"/>
    <d v="2025-11-27T00:00:00"/>
    <d v="2025-12-10T00:00:00"/>
    <x v="0"/>
    <x v="0"/>
    <d v="2025-12-19T00:00:00"/>
    <s v="Reparo de blade."/>
    <x v="9"/>
    <x v="1"/>
    <s v="04/12: Reparo de blade sendo executado."/>
    <m/>
    <m/>
    <m/>
    <m/>
    <m/>
    <m/>
  </r>
  <r>
    <s v="Chapada I"/>
    <s v="JOA12-17"/>
    <d v="2025-06-08T00:00:00"/>
    <d v="2025-12-12T00:00:00"/>
    <x v="0"/>
    <x v="0"/>
    <d v="2025-12-12T00:00:00"/>
    <s v="Dano no barramento do gerador (posterior ao Wye Ring). "/>
    <x v="2"/>
    <x v="1"/>
    <s v="Programado para execução com a Ecovis_x000a_10/07: Ecovis realizando o reparo._x000a_17/07: Reparo feito, porém, a máquina voltou a falhar. Foi solicitado garantia à Ecovis. Ecovis em mobilização para o parque, com previsão de chegada no parque dia 17/07._x000a_24/07: Após avaliação da Ecovis foi constatado que não é possível um novo reparo. Turbina em DT para MCE._x000a_21/11: Chegou um gerador para essa máquina._x000a_27/11: Positivo fez um reparo no gerador, porém, os cabos ficaram curtos e não encaixaram durante o fechamento do gerador. Com isso, foi solicitado o retorno da Positivo a máquina para correção. Equipe em turbina hoje. Segundo equipe de campo não foi feito nada diferente do que a Ecovis fazia. _x000a_04/12: Sendo finalizada montagem da turbina, retorno a operação poderá ser hoje ainda._x000a_11/12: Reparo realizado pela Positivo finalizado, pendente apenas corretiva.  "/>
    <m/>
    <s v="Operations - FSO"/>
    <m/>
    <m/>
    <n v="0"/>
    <n v="0"/>
  </r>
  <r>
    <s v="Chapada I"/>
    <s v="JOA16-14"/>
    <d v="2025-12-10T00:00:00"/>
    <d v="2025-12-15T00:00:00"/>
    <x v="0"/>
    <x v="0"/>
    <m/>
    <s v="Reparo de blade."/>
    <x v="9"/>
    <x v="1"/>
    <s v="11/12: Reparo de blade sendo executado._x000a_18/12: Reparo de blade finalizado. "/>
    <m/>
    <m/>
    <m/>
    <m/>
    <n v="0"/>
    <m/>
  </r>
  <r>
    <s v="Chapada II"/>
    <s v="JOA01-06"/>
    <d v="2025-12-15T00:00:00"/>
    <d v="2025-12-17T00:00:00"/>
    <x v="0"/>
    <x v="0"/>
    <d v="2025-12-19T00:00:00"/>
    <s v="Reparo de blade."/>
    <x v="9"/>
    <x v="1"/>
    <s v="18/12: Reparo de blade sendo executado. "/>
    <m/>
    <m/>
    <m/>
    <s v="Essentia"/>
    <n v="0"/>
    <m/>
  </r>
  <r>
    <s v="Chapada I"/>
    <s v="JOA12-10"/>
    <d v="2025-12-15T00:00:00"/>
    <d v="2025-12-17T00:00:00"/>
    <x v="0"/>
    <x v="0"/>
    <d v="2025-12-19T00:00:00"/>
    <s v="Reparo de blade."/>
    <x v="9"/>
    <x v="1"/>
    <s v="18/12: Reparo de blade sendo executado. "/>
    <m/>
    <m/>
    <m/>
    <s v="Essentia"/>
    <n v="0"/>
    <m/>
  </r>
  <r>
    <s v="Chapada I"/>
    <s v="JOA10-13"/>
    <d v="2025-10-02T00:00:00"/>
    <d v="2025-12-18T00:00:00"/>
    <x v="0"/>
    <x v="0"/>
    <d v="2025-12-19T00:00:00"/>
    <s v="Rompimento da Carcaça da Gearbox"/>
    <x v="4"/>
    <x v="2"/>
    <s v="Aguardando MCE_x000a_13/11: Aguardando finalização na 12-06._x000a_27/11: Troca em andamento. Inicio dia 24/11._x000a_04/12: Troca finalizada, pós work sendo feito e desmontagem do guindaste principal. _x000a_11/12: Pós work do MCE sendo realizado. _x000a_18/12: Troubleshooting corretivo (comunicação do hub) sendo executado pelo time de O&amp;M. Incidência de L2 hoje. "/>
    <n v="1"/>
    <m/>
    <m/>
    <s v="Essentia"/>
    <n v="0"/>
    <n v="0"/>
  </r>
  <r>
    <s v="Chapada I"/>
    <s v="JOA09-01"/>
    <d v="2025-11-10T00:00:00"/>
    <d v="2025-12-18T00:00:00"/>
    <x v="0"/>
    <x v="0"/>
    <d v="2025-12-19T00:00:00"/>
    <s v="Falha da gearbox"/>
    <x v="4"/>
    <x v="2"/>
    <s v="Aguardando MCE_x000a_04/12: Início da mobilização hoje. _x000a_11/12: Pós work em andamento. _x000a_18/12: Troubleshooting corretivo sendo executado (sensor da pastilha de freio). Incidência de L2 hoje. "/>
    <n v="1"/>
    <m/>
    <m/>
    <s v="Essentia"/>
    <n v="0"/>
    <n v="0"/>
  </r>
  <r>
    <s v="Chapada II"/>
    <s v="JOA05-04"/>
    <d v="2025-12-15T00:00:00"/>
    <d v="2025-12-22T00:00:00"/>
    <x v="0"/>
    <x v="0"/>
    <d v="2025-12-24T00:00:00"/>
    <s v="Troca do HSS"/>
    <x v="14"/>
    <x v="1"/>
    <s v="18/12: Troca de HSS sendo executado. "/>
    <n v="1"/>
    <m/>
    <m/>
    <s v="Essentia"/>
    <n v="0"/>
    <m/>
  </r>
  <r>
    <s v="Chapada II"/>
    <s v="JOA03-16"/>
    <d v="2025-12-17T00:00:00"/>
    <d v="2025-12-23T00:00:00"/>
    <x v="0"/>
    <x v="0"/>
    <m/>
    <s v="Yaw Drive"/>
    <x v="8"/>
    <x v="1"/>
    <s v="18/12: Sendo realizada a troca do yaw drive (apenas 1). Sendo trocado com o Liftra. "/>
    <m/>
    <m/>
    <m/>
    <m/>
    <m/>
    <m/>
  </r>
  <r>
    <s v="Chapada II"/>
    <s v="JOA01-15"/>
    <d v="2025-08-29T00:00:00"/>
    <d v="2026-01-01T00:00:00"/>
    <x v="0"/>
    <x v="0"/>
    <m/>
    <s v="Falha no gerador. Wye Ring"/>
    <x v="15"/>
    <x v="1"/>
    <s v="04/09: Aguardando a ida da Ecovis para análise de viabilidade de reparo. _x000a_11/09: Ecovis concluiu que não havia a possibilidade de reparo. Máquina segue em DT para MCE. _x000a_18/09: Yaw drives foram canibalizados para retorno da JOA05-01.  Será feita tentativa de reparo uptower dos YDs._x000a_02/10: Previsão de chegada do gerador para 21/11/25. Previsão de retonor em dez/25._x000a_21/11: Chegou apenas um gerador, porém, será direcionado para a JOA12-17._x000a_04/12: Reparo foi feito pela positivo. Porém, aguardando reposição do yaw drive. _x000a_11/12: Yaw drives sendo removidos hoje, reposição será feita amanhã. Outras peças pendentes ainda. Aguardando entrega das peças faltantes. _x000a_18/12: Yaw drives foram removidos e remontados. Outras peças (fusível de linha, banco de capacitor, cabo do motor de pitch, encoder do motor de pitch e etc) sendo repostas (removendo da turbina JOA16-09)."/>
    <m/>
    <s v="Operations - FSO"/>
    <m/>
    <m/>
    <n v="0"/>
    <m/>
  </r>
  <r>
    <s v="Chapada I"/>
    <s v="JOA12-15"/>
    <d v="2026-01-07T00:00:00"/>
    <d v="2026-01-17T00:00:00"/>
    <x v="0"/>
    <x v="0"/>
    <d v="2026-01-19T00:00:00"/>
    <s v="Falha no gerador. Wye Ring"/>
    <x v="2"/>
    <x v="1"/>
    <s v="08/01: Máquina parou hoje. Aguardando disposição e mobilização da Positivo._x000a_15/01: Reparo foi finalizado ontem. Time Invenergy em máquina hoje realizando o fechamento do gerador. "/>
    <m/>
    <m/>
    <m/>
    <s v="Essentia"/>
    <m/>
    <m/>
  </r>
  <r>
    <s v="Chapada II"/>
    <s v="AUG04-01"/>
    <d v="2026-01-09T00:00:00"/>
    <d v="2026-01-18T00:00:00"/>
    <x v="0"/>
    <x v="0"/>
    <d v="2026-01-17T00:00:00"/>
    <s v="Reparo externo de blade. "/>
    <x v="9"/>
    <x v="1"/>
    <s v="15/01: Durante atividade corretiva houve a queda de uma bateria para dentro da pá. Devido a isso foi necessário a abertura de uma janela na pá para remoção da bateria. Portanto, foi necessário reparo externo de blade. Prazo para finalização 17/01."/>
    <m/>
    <m/>
    <m/>
    <s v="Invenergy"/>
    <m/>
    <m/>
  </r>
  <r>
    <s v="Chapada I"/>
    <s v="JOA09-13"/>
    <d v="2026-01-07T00:00:00"/>
    <d v="2026-01-27T00:00:00"/>
    <x v="0"/>
    <x v="0"/>
    <d v="2026-01-23T00:00:00"/>
    <s v="Main Bearing"/>
    <x v="11"/>
    <x v="2"/>
    <s v="08/01: Parada programada para troca do main bearing. _x000a_15/01: Troca em 35% de evolução. _x000a_22/01: Troca finalizada. Sendo executada corretiva pelo time O&amp;M. _x000a_29/01: Corretiva finalizada turbina em operação dia 27/01."/>
    <n v="1"/>
    <m/>
    <m/>
    <s v="Essentia"/>
    <m/>
    <m/>
  </r>
  <r>
    <s v="Chapada I"/>
    <s v="JOA09-14"/>
    <d v="2026-01-17T00:00:00"/>
    <d v="2026-01-27T00:00:00"/>
    <x v="0"/>
    <x v="0"/>
    <d v="2026-01-29T00:00:00"/>
    <s v="Main Bearing"/>
    <x v="11"/>
    <x v="2"/>
    <s v="22/01: Troca em andamento. _x000a_29/01: Troca finalizada a turbina em operação dia 27/01."/>
    <n v="1"/>
    <m/>
    <m/>
    <m/>
    <m/>
    <m/>
  </r>
  <r>
    <s v="Chapada I"/>
    <s v="JOA16-09"/>
    <d v="2025-12-13T00:00:00"/>
    <d v="2026-01-28T00:00:00"/>
    <x v="0"/>
    <x v="0"/>
    <d v="2026-01-30T00:00:00"/>
    <s v="Falha no gerador. Wye Ring"/>
    <x v="2"/>
    <x v="1"/>
    <s v="18/12: Aguardando realização de reparo uptower. _x000a_08/01: Aguardando mobilização da Positivo para execução do reparo. Previsão de chegada no parque no dia 12/01/2026._x000a_15/01: Positivo iniciou o reparo hoje._x000a_22/01: Iniciado hoje o fechamento do gerador. Em adição, aguardando a chegada de parts (fusíveis, cabos e outros itens)._x000a_29/01: Turbina operou dia 28/01/2026."/>
    <m/>
    <m/>
    <m/>
    <s v="Essentia"/>
    <n v="0"/>
    <m/>
  </r>
  <r>
    <s v="Chapada I"/>
    <s v="JOA15-10"/>
    <d v="2026-01-19T00:00:00"/>
    <d v="2026-01-28T00:00:00"/>
    <x v="0"/>
    <x v="0"/>
    <m/>
    <s v="Substituição HSS"/>
    <x v="14"/>
    <x v="1"/>
    <s v="22/01: Troca em andamento. _x000a_29/01: Troca em andamento. Previsão para hoje."/>
    <n v="1"/>
    <m/>
    <m/>
    <m/>
    <m/>
    <m/>
  </r>
  <r>
    <s v="Chapada I"/>
    <s v="JOA11-01"/>
    <d v="2026-01-19T00:00:00"/>
    <d v="2026-01-29T00:00:00"/>
    <x v="0"/>
    <x v="0"/>
    <d v="2026-02-02T00:00:00"/>
    <s v="Reparo de blade"/>
    <x v="9"/>
    <x v="1"/>
    <s v="22/01: Reparo em andamento. Houve atraso devido a questionamentos de EHS por parte da Essentia na documentação dos técnicos da MegaWind + L2._x000a_29/01: Reparo em andamento."/>
    <m/>
    <m/>
    <m/>
    <m/>
    <m/>
    <m/>
  </r>
  <r>
    <s v="Chapada II"/>
    <s v="JOA05-16"/>
    <d v="2025-12-29T00:00:00"/>
    <d v="2026-02-06T00:00:00"/>
    <x v="0"/>
    <x v="0"/>
    <d v="2026-02-06T00:00:00"/>
    <s v="Falha no gerador. Wye Ring"/>
    <x v="2"/>
    <x v="1"/>
    <s v="08/01: Aguardando mobilização da Positivo. _x000a_22/01: Positivo iniciando o reparo hoje. _x000a_29/01: Finalizado reparo do wye ring. Inicio do fechamento do gerador dia 30/01._x000a_05/02: Retornou hoje, porém, houve uma falha na WECA que não pode ser atendida ainda devido a L2. "/>
    <m/>
    <m/>
    <m/>
    <s v="Essentia"/>
    <m/>
    <m/>
  </r>
  <r>
    <s v="Chapada II"/>
    <s v="JOA01-11"/>
    <d v="2026-01-06T00:00:00"/>
    <d v="2026-02-11T00:00:00"/>
    <x v="0"/>
    <x v="0"/>
    <d v="2026-02-06T00:00:00"/>
    <s v="Reparo de blade"/>
    <x v="9"/>
    <x v="1"/>
    <s v="08/01: Reparo sendo executado pela Invenergy. _x000a_15/01: Reparo em andamento. _x000a_22/01: Reparo em andamento. Houve atraso devido a questionamentos de EHS por parte da Essentia na documentação dos técnicos da MegaWind + L2._x000a_29/01: Reparo em andamento. _x000a_05/02: Reparo em andamento, houve atraso devido a incidÊncia de L2."/>
    <m/>
    <m/>
    <m/>
    <s v="Invenergy"/>
    <m/>
    <m/>
  </r>
  <r>
    <s v="Chapada II"/>
    <s v="AUG04-14"/>
    <d v="2026-01-24T00:00:00"/>
    <d v="2026-02-12T00:00:00"/>
    <x v="0"/>
    <x v="0"/>
    <d v="2026-02-12T00:00:00"/>
    <s v="Troca do pitch bearing"/>
    <x v="6"/>
    <x v="2"/>
    <s v="29/01: Troca em andamento._x000a_05/02: Aguardando retorno do grid para retorno a operação. Aguardando Essentia religar. "/>
    <n v="1"/>
    <m/>
    <m/>
    <m/>
    <m/>
    <m/>
  </r>
  <r>
    <s v="Asa Branca"/>
    <s v="AB04-11"/>
    <d v="2026-02-10T00:00:00"/>
    <d v="2026-02-12T00:00:00"/>
    <x v="0"/>
    <x v="0"/>
    <m/>
    <s v="Substituição do rolamento traseiro do gerador"/>
    <x v="2"/>
    <x v="1"/>
    <s v="12/02: Troca do rolamento traseiro do rolamento B do gerador em andamento."/>
    <m/>
    <m/>
    <m/>
    <m/>
    <m/>
    <m/>
  </r>
  <r>
    <s v="Chapada I"/>
    <s v="JOA11-11"/>
    <d v="2026-01-26T00:00:00"/>
    <d v="2026-02-13T00:00:00"/>
    <x v="0"/>
    <x v="0"/>
    <d v="2026-02-13T00:00:00"/>
    <s v="Falha no gerador. Wye Ring"/>
    <x v="2"/>
    <x v="1"/>
    <s v="12/02: Reparo do wye ring executado pela positivo. Aguardando fechamento e comissionamento do gerador."/>
    <m/>
    <m/>
    <m/>
    <m/>
    <m/>
    <m/>
  </r>
  <r>
    <s v="Chapada II"/>
    <s v="JOA01-06"/>
    <d v="2026-02-02T00:00:00"/>
    <d v="2026-02-13T00:00:00"/>
    <x v="0"/>
    <x v="0"/>
    <d v="2026-02-13T00:00:00"/>
    <s v="Reparo de blade"/>
    <x v="9"/>
    <x v="1"/>
    <s v="05/02: Reparo em andamento. Previsão de retorno no dia 06/02, porém, o time retornará na segunda para realizar outro reparo._x000a_12/02: Reparo em andamento. Previsão de retorno no dia 13/02. "/>
    <m/>
    <m/>
    <m/>
    <m/>
    <m/>
    <m/>
  </r>
  <r>
    <s v="Asa Branca"/>
    <s v="AB08-15"/>
    <d v="2026-02-11T00:00:00"/>
    <d v="2026-02-13T00:00:00"/>
    <x v="0"/>
    <x v="0"/>
    <m/>
    <s v="Reparo de blade"/>
    <x v="9"/>
    <x v="1"/>
    <s v="12/02: Reparo de blade em andamento. "/>
    <m/>
    <m/>
    <m/>
    <m/>
    <m/>
    <m/>
  </r>
  <r>
    <s v="Chapada I"/>
    <s v="JOA15-06"/>
    <d v="2026-01-21T00:00:00"/>
    <d v="2026-02-20T00:00:00"/>
    <x v="0"/>
    <x v="0"/>
    <d v="2026-02-20T00:00:00"/>
    <s v="Falha no gerador. Wye Ring"/>
    <x v="2"/>
    <x v="1"/>
    <s v="29/01: Turbina fora de operação aguardando inspeção da Positivo._x000a_05/02: Positivo iria iniciar as atividades hoje, porém, houve impacto devido a L2._x000a_12/02: Positivo finalizou o reparo na segunda 09/02. Porém, aguardando chegada do kit 3x1 (talha manual) para içamento das ferramentas para remontagem do gerador. Previsão de início de montagem amanhã._x000a_19/02: Sendo realizado o fechamento do gerador. Previsão de retorno inicial seria hoje 19/02, porém, houve impacto de L2. _x000a_26/02: Finalizada a montagem do gerador e turbina em operação."/>
    <n v="0"/>
    <m/>
    <m/>
    <m/>
    <m/>
    <m/>
  </r>
  <r>
    <s v="Chapada II"/>
    <s v="AUG04-17"/>
    <d v="2025-11-17T00:00:00"/>
    <d v="2026-02-25T00:00:00"/>
    <x v="0"/>
    <x v="0"/>
    <d v="2026-02-20T00:00:00"/>
    <s v="Falha no gerador."/>
    <x v="15"/>
    <x v="2"/>
    <s v="Aguardando MCE_x000a_04/12: Previsão de inicio da troca 15/12. Condenada pela positivo também. _x000a_11/12: Set de yaw drives já chegaram. Porém, aguardando a chegada do gerador. _x000a_08/01: Aguardando a chegada do gerador. Chegada do gerador prevista para o dia 15/02._x000a_22/01: Chegada em 26/01. Avaliando-se para qual turbina será direcionada. _x000a_29/01: gerador em site aguardando mobilização do guindaste._x000a_05/02: Troca em andamento._x000a_12/02: Em processo de montagem das peças faltantes. Previsão de retorno 12/02._x000a_19/02: Turbina em corretiva. Sendo realizado o troubleshooting de comunicação no hub. Previsão inicial seria hoje 19/02, porém, houve impacto de L2. _x000a_26/02: Finalizada a troca dos componentes"/>
    <n v="0.93"/>
    <m/>
    <m/>
    <s v="Essentia"/>
    <n v="0"/>
    <n v="0"/>
  </r>
  <r>
    <s v="Chapada II"/>
    <s v="AUG03-05"/>
    <d v="2026-02-02T00:00:00"/>
    <d v="2026-02-28T00:00:00"/>
    <x v="0"/>
    <x v="0"/>
    <d v="2026-02-28T00:00:00"/>
    <s v="Parada para troca da Gearbox (turbina previamente em operação)"/>
    <x v="4"/>
    <x v="2"/>
    <s v="05/02: Turbina fora de operação para a troca do grande componente._x000a_12/02: Sendo realizada a montagem do Liftra. Houve um atraso devido à problemas de vazamento no Liftra. Aguardando a chegada de óleo para ser utilizado no guindaste. Óleo chegou e já conseguimos subir o guindaste._x000a_19/02: Atividade em andamento. Hoje deve ocorrer o içamento da gearbox nova e da capota.  _x000a_26/02: Capota fechada, gearbox sendo preenchida com óleo. Liftra sendo desmontado. Houve atraso devido a alto impacto de L2. Pós work em andamento. "/>
    <n v="1"/>
    <m/>
    <m/>
    <m/>
    <m/>
    <m/>
  </r>
  <r>
    <s v="Chapada II"/>
    <s v="AUG04-02"/>
    <d v="2026-02-10T00:00:00"/>
    <d v="2026-03-04T00:00:00"/>
    <x v="0"/>
    <x v="0"/>
    <d v="2026-02-02T00:00:00"/>
    <s v="Troca de rolamento de pitch (turbina previamente em operação)"/>
    <x v="6"/>
    <x v="2"/>
    <s v="12/02: Troca de pitch bearing em andamento. _x000a_19/02: Troca em andamento. _x000a_26/02: Descida da terceira blade realizada ontem. Houve atraso devido ao alto impacto de L2. "/>
    <n v="1"/>
    <m/>
    <m/>
    <m/>
    <m/>
    <m/>
  </r>
  <r>
    <s v="Chapada II"/>
    <s v="JOA05-06"/>
    <d v="2026-02-18T00:00:00"/>
    <d v="2026-03-06T00:00:00"/>
    <x v="0"/>
    <x v="0"/>
    <d v="2026-03-06T00:00:00"/>
    <s v="Reparo de blade"/>
    <x v="9"/>
    <x v="1"/>
    <s v="_x000a_19/02: Reparo de blade em andamento._x000a_26/02: Reparo em andamento. Houve atraso devido ao alto impacto de L2. _x000a_06/03: Reparo em andamento. Previsão de retorno hoje."/>
    <m/>
    <m/>
    <m/>
    <m/>
    <m/>
    <m/>
  </r>
  <r>
    <s v="Chapada II"/>
    <s v="JOA05-13"/>
    <d v="2026-02-12T00:00:00"/>
    <d v="2026-03-07T00:00:00"/>
    <x v="0"/>
    <x v="0"/>
    <d v="2026-03-06T00:00:00"/>
    <s v="Reparo de blade"/>
    <x v="9"/>
    <x v="1"/>
    <s v="12/02: Reparo de blade em andamento. _x000a_19/02: Reparo em andamento_x000a_26/02: Reparo em andamento. Houve atraso devido ao alto impacto de L2. _x000a_06/03: Finalizado o reparo de blade hoje. Corretiva em execução corretiva. "/>
    <m/>
    <m/>
    <m/>
    <m/>
    <m/>
    <m/>
  </r>
  <r>
    <s v="Chapada II"/>
    <s v="JOA05-02"/>
    <d v="2026-02-27T00:00:00"/>
    <d v="2026-03-12T00:00:00"/>
    <x v="0"/>
    <x v="0"/>
    <m/>
    <s v="Troca de pitch bearing. "/>
    <x v="6"/>
    <x v="2"/>
    <s v="06/03: Troca de pitch bearing em andamento. _x000a_12/03: Previsão de retorno amanhã. Será executado pós work para operação. Houve impacto devido a L2. "/>
    <n v="1"/>
    <m/>
    <m/>
    <m/>
    <m/>
    <m/>
  </r>
  <r>
    <s v="Chapada II"/>
    <s v="JOA01-17"/>
    <d v="2026-03-09T00:00:00"/>
    <d v="2026-03-14T00:00:00"/>
    <x v="0"/>
    <x v="0"/>
    <m/>
    <s v="Reparo de blade"/>
    <x v="9"/>
    <x v="1"/>
    <s v="12/03: Reparo de blade sendo executado. Previsão de retorno amanhã. "/>
    <m/>
    <m/>
    <m/>
    <m/>
    <m/>
    <m/>
  </r>
  <r>
    <s v="Chapada II"/>
    <s v="JOA05-03"/>
    <d v="2026-03-07T00:00:00"/>
    <d v="2026-03-19T00:00:00"/>
    <x v="0"/>
    <x v="0"/>
    <d v="2026-03-19T00:00:00"/>
    <s v="Troca de pitch bearing. "/>
    <x v="6"/>
    <x v="2"/>
    <s v="12/03: Troca do pitch bearing em andamento._x000a_19/03: Turbina já energizada. Previsão de retorno hoje. "/>
    <n v="1"/>
    <m/>
    <m/>
    <m/>
    <m/>
    <m/>
  </r>
  <r>
    <s v="Asa Branca"/>
    <s v="AB04-04"/>
    <d v="2026-03-16T00:00:00"/>
    <d v="2026-03-20T00:00:00"/>
    <x v="0"/>
    <x v="0"/>
    <m/>
    <s v="Reparo de blade."/>
    <x v="9"/>
    <x v="1"/>
    <s v="19/03: Reparo de blade em andamento."/>
    <m/>
    <m/>
    <m/>
    <m/>
    <m/>
    <m/>
  </r>
  <r>
    <s v="Chapada I"/>
    <s v="JOA12-16"/>
    <d v="2026-03-02T00:00:00"/>
    <d v="2026-03-23T00:00:00"/>
    <x v="0"/>
    <x v="0"/>
    <d v="2026-03-19T00:00:00"/>
    <s v="Troca de gearbox com Liftra. "/>
    <x v="4"/>
    <x v="2"/>
    <s v="06/03: Sendo realizada a troca da gearbox com o Liftra._x000a_12/03: Sendo realizada a descida do LT1200. _x000a_19/03: Finalizando o pós-work. "/>
    <n v="1"/>
    <m/>
    <m/>
    <m/>
    <m/>
    <m/>
  </r>
  <r>
    <s v="Chapada II"/>
    <s v="JOA01-14"/>
    <d v="2026-03-16T00:00:00"/>
    <d v="2026-03-23T00:00:00"/>
    <x v="0"/>
    <x v="0"/>
    <m/>
    <s v="Yaw drive."/>
    <x v="8"/>
    <x v="2"/>
    <s v="19/03: Turbina parada devido a quebra do yaw drive. "/>
    <m/>
    <m/>
    <m/>
    <m/>
    <m/>
    <m/>
  </r>
  <r>
    <s v="Asa Branca"/>
    <s v="AB06-03"/>
    <d v="2026-02-13T00:00:00"/>
    <d v="2026-03-25T00:00:00"/>
    <x v="0"/>
    <x v="0"/>
    <d v="2026-03-26T00:00:00"/>
    <s v="Danos no main bearing."/>
    <x v="11"/>
    <x v="2"/>
    <s v="19/02: Foram identificadas quebras das bordas do rolamento e danos avançados na pista externa, com isso foi recomendada a parada da máquina para troca. Aguardando MCE. Início previsto para 16/03._x000a_19/03: Substituição em andamento. _x000a_"/>
    <n v="1"/>
    <m/>
    <m/>
    <m/>
    <m/>
    <m/>
  </r>
  <r>
    <s v="Chapada II"/>
    <s v="JOA01-01"/>
    <d v="2026-03-06T00:00:00"/>
    <d v="2026-03-26T00:00:00"/>
    <x v="0"/>
    <x v="0"/>
    <d v="2026-03-20T00:00:00"/>
    <s v="Reparo de blade."/>
    <x v="9"/>
    <x v="1"/>
    <s v="06/03: Reparo de blade iniciado hoje. _x000a_12/03: Previsão de rotorno amanhã. _x000a_19/03: Previsão de finalização 20/03._x000a_26/03: Reparo em andamento. Houve impacto na operação devido a L2."/>
    <m/>
    <m/>
    <m/>
    <m/>
    <m/>
    <m/>
  </r>
  <r>
    <s v="Chapada I"/>
    <s v="JOA16-07"/>
    <d v="2026-03-16T00:00:00"/>
    <d v="2026-03-26T00:00:00"/>
    <x v="0"/>
    <x v="0"/>
    <d v="2026-03-20T00:00:00"/>
    <s v="Reparo de blade."/>
    <x v="9"/>
    <x v="1"/>
    <s v="19/03: Reparo de blade em andamento. Previsão de retorno 20/03."/>
    <m/>
    <m/>
    <m/>
    <m/>
    <m/>
    <m/>
  </r>
  <r>
    <s v="Asa Branca"/>
    <s v="AB07-14"/>
    <d v="2026-03-24T00:00:00"/>
    <d v="2026-03-27T00:00:00"/>
    <x v="0"/>
    <x v="0"/>
    <m/>
    <s v="Reparo de blade."/>
    <x v="9"/>
    <x v="1"/>
    <s v="26/03: Reparo de blade em andamento."/>
    <m/>
    <m/>
    <m/>
    <m/>
    <m/>
    <m/>
  </r>
  <r>
    <s v="Asa Branca"/>
    <s v="AB05-12"/>
    <d v="2026-03-25T00:00:00"/>
    <d v="2026-03-28T00:00:00"/>
    <x v="0"/>
    <x v="0"/>
    <m/>
    <s v="Reparo de blade."/>
    <x v="9"/>
    <x v="1"/>
    <s v="26/03: Reparo de blade em andamento."/>
    <m/>
    <m/>
    <m/>
    <m/>
    <m/>
    <m/>
  </r>
  <r>
    <s v="Chapada I"/>
    <s v="JOA 09-09"/>
    <d v="2026-03-24T00:00:00"/>
    <d v="2026-04-02T00:00:00"/>
    <x v="0"/>
    <x v="0"/>
    <m/>
    <s v="Troca de gearbox (Liftra)"/>
    <x v="4"/>
    <x v="2"/>
    <s v="26/03: Troca em andamento. "/>
    <n v="1"/>
    <m/>
    <m/>
    <m/>
    <m/>
    <m/>
  </r>
  <r>
    <s v="Chapada II"/>
    <s v="JOA 01-12"/>
    <d v="2026-01-14T00:00:00"/>
    <d v="2026-04-03T00:00:00"/>
    <x v="0"/>
    <x v="0"/>
    <d v="2026-04-03T00:00:00"/>
    <s v="Falha no gerador. Wye Ring"/>
    <x v="2"/>
    <x v="2"/>
    <s v="15/01: Aguardando reparo da Positivo._x000a_22/01: Positivo avaliou os danos e constatou que não há possibilidade de reparo. Aguardando MCE. _x000a_29/01: Aguardando MCE._x000a_26/02: Inicio das atividades previsto para 12/03._x000a_06/03: S/ atualizações_x000a_12/03: S/ atualizações. Início planejado para 18/03. Gerador já está disponível em site. _x000a_19/03: MCE está em andamento. _x000a_26/03: MCE finalizado. Porém, o novo gerador veio sem a isolação dos cabos do slipring. Engenharia avaliando juntamente do time de campo. _x000a_02/04: Segue parada devido a troubleshooting de baterias. Temos tido impacto de L2."/>
    <n v="0.97"/>
    <m/>
    <m/>
    <m/>
    <m/>
    <m/>
  </r>
  <r>
    <s v="Asa Branca"/>
    <s v="AB06-13"/>
    <d v="2026-03-24T00:00:00"/>
    <d v="2026-04-07T00:00:00"/>
    <x v="0"/>
    <x v="0"/>
    <m/>
    <s v="Troca gearbox e main bearing"/>
    <x v="16"/>
    <x v="2"/>
    <s v="26/03: Troca da gearbox em andamento. Mobilização e montagem do guindaste em andamento. TROCA CONJUNTA DE GEARBOX E MAIN BEARING_x000a_04/02: Substituição da gearbox realizada. Próximo passo desmontagem do guindaste.  "/>
    <n v="1"/>
    <m/>
    <m/>
    <m/>
    <m/>
    <m/>
  </r>
  <r>
    <s v="Asa Branca"/>
    <s v="AB07-11"/>
    <d v="2026-03-30T00:00:00"/>
    <d v="2026-04-07T00:00:00"/>
    <x v="0"/>
    <x v="0"/>
    <m/>
    <s v="Reparo de blade."/>
    <x v="9"/>
    <x v="1"/>
    <s v="02/04: Reparo de blade em andamento."/>
    <m/>
    <m/>
    <m/>
    <m/>
    <m/>
    <m/>
  </r>
  <r>
    <s v="Chapada II"/>
    <s v="JOA01-14"/>
    <d v="2026-04-06T00:00:00"/>
    <d v="2026-04-09T00:00:00"/>
    <x v="0"/>
    <x v="0"/>
    <d v="2026-04-10T00:00:00"/>
    <s v="Troca Yaw Drive"/>
    <x v="8"/>
    <x v="2"/>
    <s v="09/04: Troca do yaw drive com Liftra em andamento. "/>
    <n v="1"/>
    <m/>
    <m/>
    <m/>
    <m/>
    <m/>
  </r>
  <r>
    <s v="Chapada I"/>
    <s v="JOA 15-02"/>
    <d v="2026-03-23T00:00:00"/>
    <d v="2026-04-10T00:00:00"/>
    <x v="0"/>
    <x v="0"/>
    <m/>
    <s v="Reparo de blade"/>
    <x v="9"/>
    <x v="1"/>
    <s v="02/04: Reparo de blade finalizado. Troubleshooting em andamento. _x000a_09/04: Reparo de blade em andamento. _x000a_"/>
    <m/>
    <m/>
    <m/>
    <m/>
    <m/>
    <m/>
  </r>
  <r>
    <s v="Chapada II"/>
    <s v="JOA01-12"/>
    <d v="2026-04-03T00:00:00"/>
    <d v="2026-04-10T00:00:00"/>
    <x v="0"/>
    <x v="0"/>
    <d v="2026-04-10T00:00:00"/>
    <s v="Troubleshooting Q1"/>
    <x v="0"/>
    <x v="5"/>
    <s v="09/04: Após retorno de MCE (gerador) a máquina operou por algumas horas mas veio a parar devido a falha do Q1. Time está em máquina hoje instalando o Q1 ABB. _x000a_16/04: Q1 instalado. "/>
    <m/>
    <m/>
    <m/>
    <m/>
    <m/>
    <m/>
  </r>
  <r>
    <s v="Chapada II"/>
    <s v="JOA03-07"/>
    <d v="2026-03-27T00:00:00"/>
    <d v="2026-04-13T00:00:00"/>
    <x v="0"/>
    <x v="0"/>
    <d v="2026-04-17T00:00:00"/>
    <s v="Falha no gerador. Cabos de relead"/>
    <x v="2"/>
    <x v="1"/>
    <s v="02/04: Essentia está alinhando com a Positivo para execução do reparo na próxima semana. _x000a_09/04: Time Positivo iniciou os trabalhos ontem para validar a possibilidade de reparo. "/>
    <m/>
    <m/>
    <m/>
    <m/>
    <m/>
    <m/>
  </r>
  <r>
    <s v="Asa Branca"/>
    <s v="AB07-14"/>
    <d v="2026-04-02T00:00:00"/>
    <d v="2026-04-13T00:00:00"/>
    <x v="0"/>
    <x v="0"/>
    <m/>
    <s v="Reparo de blade."/>
    <x v="9"/>
    <x v="1"/>
    <s v="09/04: Reparo de blade em andamento. "/>
    <m/>
    <m/>
    <m/>
    <m/>
    <m/>
    <m/>
  </r>
  <r>
    <s v="Chapada I"/>
    <s v="JOA16-09"/>
    <d v="2026-03-27T00:00:00"/>
    <d v="2026-04-15T00:00:00"/>
    <x v="0"/>
    <x v="0"/>
    <m/>
    <s v="Falha no gerador."/>
    <x v="2"/>
    <x v="1"/>
    <s v="02/04: Aparente falha no jumper de uma bobina. Positivo deverá retornar a essa máquina em carater de garantia. _x000a_09/04: Aguardando finalização da positivo na JOA03-07._x000a_16/04: Positivo finalizou serviço no dia 14/04/26."/>
    <m/>
    <m/>
    <m/>
    <m/>
    <m/>
    <m/>
  </r>
  <r>
    <s v="Chapada II"/>
    <s v="AUG04-02"/>
    <d v="2026-04-06T00:00:00"/>
    <d v="2026-04-15T00:00:00"/>
    <x v="0"/>
    <x v="0"/>
    <m/>
    <s v="Reparo de blade"/>
    <x v="9"/>
    <x v="1"/>
    <s v="09/04: Reparo de blade em andamento. "/>
    <m/>
    <m/>
    <m/>
    <m/>
    <m/>
    <m/>
  </r>
  <r>
    <s v="Chapada I"/>
    <s v="JOA15-03"/>
    <d v="2025-06-13T00:00:00"/>
    <s v="18/07/2025"/>
    <x v="0"/>
    <x v="0"/>
    <d v="2025-07-18T00:00:00"/>
    <s v="Reparo de blade"/>
    <x v="9"/>
    <x v="1"/>
    <s v="Identificado dano severo e parada para reparo."/>
    <n v="1"/>
    <s v="Essentia"/>
    <m/>
    <s v="Essentia"/>
    <n v="0"/>
    <n v="0"/>
  </r>
  <r>
    <s v="Chapada I"/>
    <s v="JOA09-14"/>
    <d v="2025-02-03T00:00:00"/>
    <s v="Pendente"/>
    <x v="0"/>
    <x v="0"/>
    <m/>
    <s v="Reparo de Blade. "/>
    <x v="9"/>
    <x v="1"/>
    <s v="Reparo sendo realizado."/>
    <m/>
    <s v="Essentia"/>
    <m/>
    <s v="Essentia"/>
    <n v="0"/>
    <n v="0"/>
  </r>
  <r>
    <s v="Chapada II"/>
    <s v="JOA05-11"/>
    <d v="2026-03-25T00:00:00"/>
    <d v="2026-04-17T00:00:00"/>
    <x v="0"/>
    <x v="0"/>
    <d v="2026-04-17T00:00:00"/>
    <s v="Troca de Main bearing. "/>
    <x v="11"/>
    <x v="2"/>
    <s v="26/03: Troca em andamento._x000a_04/02: Temos tido alguns problemas de encaixe do spider no rotor para realizar a sua remoção._x000a_09/04: Substituição do rolamento em andamento.  _x000a_16/04: Pós work em andamento. "/>
    <n v="0.89"/>
    <m/>
    <m/>
    <m/>
    <m/>
    <m/>
  </r>
  <r>
    <s v="Chapada I"/>
    <s v="JOA16-05"/>
    <d v="2025-02-03T00:00:00"/>
    <s v="Pendente"/>
    <x v="0"/>
    <x v="0"/>
    <m/>
    <s v="Reparo de Blade. "/>
    <x v="9"/>
    <x v="1"/>
    <s v="Reparo sendo realizado."/>
    <m/>
    <s v="Essentia"/>
    <m/>
    <s v="Essentia"/>
    <n v="0"/>
    <n v="0"/>
  </r>
  <r>
    <s v="Chapada II"/>
    <s v="JOA05-01"/>
    <d v="2025-02-03T00:00:00"/>
    <s v="Pendente"/>
    <x v="0"/>
    <x v="0"/>
    <m/>
    <s v="Reparo de Blade. "/>
    <x v="9"/>
    <x v="1"/>
    <s v="Reparo sendo realizado."/>
    <m/>
    <s v="Essentia"/>
    <m/>
    <s v="Essentia"/>
    <n v="0"/>
    <n v="0"/>
  </r>
  <r>
    <s v="Chapada I"/>
    <s v="JOA09-09"/>
    <d v="2025-02-04T00:00:00"/>
    <s v="Pendente"/>
    <x v="0"/>
    <x v="0"/>
    <m/>
    <s v="Reparo de Blade. Dano CAT5."/>
    <x v="9"/>
    <x v="1"/>
    <s v="Reparo sendo realizado."/>
    <m/>
    <s v="Essentia"/>
    <m/>
    <s v="Essentia"/>
    <n v="0"/>
    <n v="0"/>
  </r>
  <r>
    <s v="Chapada I"/>
    <s v="JOA12-13"/>
    <d v="2025-02-17T00:00:00"/>
    <s v="Pendente"/>
    <x v="0"/>
    <x v="0"/>
    <m/>
    <s v="Reparo de Blade."/>
    <x v="9"/>
    <x v="1"/>
    <m/>
    <m/>
    <s v="Essentia"/>
    <m/>
    <s v="Essentia"/>
    <n v="0"/>
    <n v="0"/>
  </r>
  <r>
    <s v="Chapada II"/>
    <s v="JOA05-15"/>
    <d v="2025-02-19T00:00:00"/>
    <s v="Pendente"/>
    <x v="0"/>
    <x v="0"/>
    <m/>
    <s v="Reparo de Blade."/>
    <x v="9"/>
    <x v="1"/>
    <m/>
    <m/>
    <s v="Essentia"/>
    <s v="Essentia"/>
    <s v="Essentia"/>
    <n v="0"/>
    <n v="0"/>
  </r>
  <r>
    <s v="Chapada I"/>
    <s v="JOA15-04"/>
    <d v="2025-02-03T00:00:00"/>
    <s v="Verificar ICC"/>
    <x v="0"/>
    <x v="0"/>
    <m/>
    <s v="Reparo de Blade."/>
    <x v="9"/>
    <x v="1"/>
    <s v="Reparo sendo realizado."/>
    <m/>
    <s v="Essentia"/>
    <m/>
    <s v="Essentia"/>
    <n v="0"/>
    <n v="0"/>
  </r>
  <r>
    <s v="Chapada I"/>
    <s v="JOA15-16"/>
    <m/>
    <m/>
    <x v="0"/>
    <x v="1"/>
    <m/>
    <s v="Danos na pista externa do pitch bearing. EQUIPAMENTO SUBSTITUÍDO"/>
    <x v="6"/>
    <x v="1"/>
    <s v="Aguardando finalização das inspeções para disposição da engenharia. "/>
    <m/>
    <s v="Operations - O&amp;M / Engenharia"/>
    <m/>
    <s v="Invenergy"/>
    <n v="0"/>
    <n v="0"/>
  </r>
  <r>
    <s v="Asa Branca"/>
    <s v="AB05-03"/>
    <d v="2026-04-07T00:00:00"/>
    <d v="2026-04-24T00:00:00"/>
    <x v="0"/>
    <x v="0"/>
    <m/>
    <s v="Troca de Main bearing + Gearbox"/>
    <x v="17"/>
    <x v="2"/>
    <s v="09/04: Troca em andamento. "/>
    <n v="1"/>
    <m/>
    <m/>
    <m/>
    <m/>
    <m/>
  </r>
  <r>
    <s v="Chapada I"/>
    <s v="JOA10-16"/>
    <d v="2026-04-10T00:00:00"/>
    <d v="2026-04-23T00:00:00"/>
    <x v="0"/>
    <x v="0"/>
    <d v="2026-04-23T00:00:00"/>
    <s v="Troca de gearbox."/>
    <x v="4"/>
    <x v="2"/>
    <s v="16/04: Troca da gearbox em andamento. "/>
    <n v="1"/>
    <m/>
    <m/>
    <m/>
    <m/>
    <m/>
  </r>
  <r>
    <s v="Chapada I"/>
    <s v="JOA15-16"/>
    <d v="2026-04-13T00:00:00"/>
    <d v="2026-04-17T00:00:00"/>
    <x v="0"/>
    <x v="0"/>
    <m/>
    <s v="Reparo de blade"/>
    <x v="9"/>
    <x v="1"/>
    <s v="16/04: Reparo de blade em andamento. "/>
    <m/>
    <m/>
    <m/>
    <m/>
    <m/>
    <m/>
  </r>
  <r>
    <s v="Chapada II"/>
    <s v="JOA04-08"/>
    <d v="2026-04-16T00:00:00"/>
    <m/>
    <x v="2"/>
    <x v="2"/>
    <d v="2026-04-30T00:00:00"/>
    <s v="Troca de Main bearing. "/>
    <x v="11"/>
    <x v="2"/>
    <s v="16/04: Troca de main bearing em andamento. _x000a_30/04: Startup da turbina em andamento."/>
    <n v="0.96"/>
    <m/>
    <m/>
    <m/>
    <m/>
    <m/>
  </r>
  <r>
    <s v="Asa Branca"/>
    <s v="ASB04-08"/>
    <d v="2026-04-17T00:00:00"/>
    <m/>
    <x v="2"/>
    <x v="3"/>
    <d v="2026-05-06T00:00:00"/>
    <s v="Troca de Main bearing. Reutilizado AB05-03"/>
    <x v="11"/>
    <x v="2"/>
    <s v="16/04: Troca de main bearing em andamento. "/>
    <n v="0.6"/>
    <m/>
    <m/>
    <m/>
    <m/>
    <m/>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x v="0"/>
    <s v="EBR04-15"/>
    <d v="2026-06-30T00:00:00"/>
    <d v="2026-07-17T00:00:00"/>
    <x v="0"/>
    <x v="0"/>
    <m/>
    <s v="Troca Pitch Bearing"/>
    <x v="0"/>
    <x v="0"/>
    <s v="16/07: Máquina parada para troca de pitch bearing. Responsabilidade Auren. "/>
    <m/>
    <s v="Auren"/>
    <m/>
    <m/>
    <m/>
    <m/>
    <m/>
  </r>
  <r>
    <x v="0"/>
    <s v="EBR07-12"/>
    <d v="2026-06-16T00:00:00"/>
    <m/>
    <x v="1"/>
    <x v="1"/>
    <m/>
    <s v="Reparo de Blade"/>
    <x v="1"/>
    <x v="1"/>
    <s v="16/07: Máquina parada para reparo de blades. Responsabilidade Auren._x000a_23/07: Reparo em andamento. _x000a_30/07: Sem previsão de retorno ainda._x000a_10/09: Auren finalizando o reparo. "/>
    <m/>
    <s v="Auren"/>
    <m/>
    <m/>
    <m/>
    <m/>
    <m/>
  </r>
  <r>
    <x v="1"/>
    <s v="PIL-18"/>
    <d v="2026-07-10T00:00:00"/>
    <d v="2026-09-14T00:00:00"/>
    <x v="0"/>
    <x v="0"/>
    <m/>
    <s v="Falha de Main Bearing"/>
    <x v="2"/>
    <x v="0"/>
    <s v="16/07: Falha de Main Bearing. Aguardando troca do componente. Em avaliação possibilidade de troca com FSO Invenergy. _x000a_23/07: Invenergy contratada para troca. Previsão de guindaste operacional dia 17/08._x000a_13/08: Guindaste só estará operacional a partir do dia 25/08 (info Auren). _x000a_20/08: Mobilização do guindaste em andamento._x000a_27/08: Montagem de guindaste em andamento._x000a_10/09: Troca em andamento. "/>
    <m/>
    <s v="Auren"/>
    <m/>
    <m/>
    <m/>
    <m/>
    <m/>
  </r>
  <r>
    <x v="0"/>
    <s v="EBR06-08"/>
    <d v="2026-07-24T00:00:00"/>
    <m/>
    <x v="1"/>
    <x v="2"/>
    <m/>
    <s v="Falha no Pitch Bearing"/>
    <x v="0"/>
    <x v="0"/>
    <s v="30/07: Falha no pitch bearing devido a danos internos. Previsão de retorno no início de set/26._x000a_13/08: Auren se planejando para realização da troca._x000a_10/09: Troca será feita com o time de Field Services. "/>
    <m/>
    <s v="Auren"/>
    <m/>
    <m/>
    <m/>
    <m/>
    <m/>
  </r>
  <r>
    <x v="1"/>
    <s v="DOU-10"/>
    <d v="2026-08-01T00:00:00"/>
    <d v="2026-09-14T00:00:00"/>
    <x v="0"/>
    <x v="0"/>
    <m/>
    <s v="Falha de Gerador"/>
    <x v="3"/>
    <x v="0"/>
    <s v="06/08: Disposição de troca da engenharia Invenergy. _x000a_13/08: Auren executou seus próprios testes em campo e também concluiu para a troca do gerador. _x000a_10/09: Aguardando a Auren realizar a troca. "/>
    <m/>
    <s v="Auren"/>
    <m/>
    <m/>
    <m/>
    <m/>
    <m/>
  </r>
  <r>
    <x v="0"/>
    <s v="EBR02-13"/>
    <d v="2026-07-15T00:00:00"/>
    <d v="2026-07-17T00:00:00"/>
    <x v="0"/>
    <x v="0"/>
    <m/>
    <s v="Troca de rolamento de HSS"/>
    <x v="4"/>
    <x v="1"/>
    <s v="16/07: Troca de rolamento HSS em andamento - time Invenergy. "/>
    <m/>
    <s v="Invenergy"/>
    <m/>
    <m/>
    <m/>
    <m/>
    <m/>
  </r>
  <r>
    <x v="1"/>
    <s v="PEL-03"/>
    <d v="2026-07-13T00:00:00"/>
    <d v="2026-07-24T00:00:00"/>
    <x v="0"/>
    <x v="0"/>
    <m/>
    <s v="Troca de Gearbox"/>
    <x v="4"/>
    <x v="0"/>
    <s v="16/07: Troca de gearbox em andamento. "/>
    <n v="1"/>
    <s v="Auren"/>
    <m/>
    <m/>
    <m/>
    <m/>
    <m/>
  </r>
  <r>
    <x v="0"/>
    <s v="EBR04-14"/>
    <d v="2026-07-21T00:00:00"/>
    <d v="2026-08-01T00:00:00"/>
    <x v="0"/>
    <x v="0"/>
    <d v="2026-07-31T00:00:00"/>
    <s v="Troca de rolamento de HSS"/>
    <x v="4"/>
    <x v="1"/>
    <s v="16/07: Troca de rolamento HSS em andamento - time Invenergy. _x000a_30/07: Previsão de retorno dia 31/07._x000a_06/08: Finalizado"/>
    <m/>
    <s v="Invenergy"/>
    <m/>
    <m/>
    <m/>
    <m/>
    <m/>
  </r>
  <r>
    <x v="1"/>
    <s v="PEL-01"/>
    <d v="2026-07-14T00:00:00"/>
    <d v="2026-08-03T00:00:00"/>
    <x v="0"/>
    <x v="0"/>
    <d v="2026-08-01T00:00:00"/>
    <s v="Falha da fixação do bus bar "/>
    <x v="5"/>
    <x v="2"/>
    <s v="23/07: Máquina apresenta falha de Yaw Runaway, porém, não é possível atender devido a um dano na fixação do bus bar, o que impede asubida de forma segura à máquina. Tech End fará a correção. Início das atividades ocorrerá em 24/07._x000a_30/07: Tech End realizando os reparos ainda._x000a_06/08: Máquina rodando com 03 YDs "/>
    <m/>
    <s v="Invenergy"/>
    <m/>
    <m/>
    <m/>
    <m/>
    <m/>
  </r>
  <r>
    <x v="1"/>
    <s v="PEL-06"/>
    <d v="2026-08-03T00:00:00"/>
    <d v="2026-08-06T00:00:00"/>
    <x v="0"/>
    <x v="0"/>
    <m/>
    <s v="Troca do HSS"/>
    <x v="4"/>
    <x v="1"/>
    <s v="06/08: Auren realizando troca do HSS."/>
    <m/>
    <s v="Auren"/>
    <m/>
    <m/>
    <m/>
    <m/>
    <m/>
  </r>
  <r>
    <x v="1"/>
    <s v="AMT-02"/>
    <d v="2026-06-13T00:00:00"/>
    <d v="2026-08-13T00:00:00"/>
    <x v="0"/>
    <x v="0"/>
    <d v="2026-08-13T00:00:00"/>
    <s v="Falha de Gerador"/>
    <x v="3"/>
    <x v="1"/>
    <s v="16/07: Aguardando mobilização da Positivo. Realizando treinamento de brigada de incêndio._x000a_23/07: Previsão de mobilização da Positivo para semana que vem (28/07). _x000a_30/07: Positivo iniciará o serviço amanhã._x000a_06/08: Positivo trocando cabos do relead._x000a_10/08:Troca dos cabos do relead e reparo do wye ring finalizado no dia 10/08._x000a_11/08: Realizada a isolação dos cabos do slipring e retirada de ferramental e conclusão da cura da resina. WTG em operação. Houve recorrência de falha na sequência._x000a_12/08: Identificado cabo da AEBI em curto, substituído cabo e placa. WTG em operação e houve nova falha. Em troubleshooting em máquina identificou IGBTs estourados._x000a_13/08: Time em turbina para finalizar troubleshooting. Aguardando finalização para retorno a operação. "/>
    <m/>
    <s v="Invenergy"/>
    <m/>
    <m/>
    <m/>
    <m/>
    <m/>
  </r>
  <r>
    <x v="0"/>
    <s v="EBR04-09"/>
    <d v="2026-08-07T00:00:00"/>
    <d v="2026-08-20T00:00:00"/>
    <x v="0"/>
    <x v="0"/>
    <m/>
    <s v="Falha no Gerador. "/>
    <x v="3"/>
    <x v="1"/>
    <s v="13/08: Identificado falhas nos cabos do relead. Aguardando mobilização da Positivo. Previsão de mobilização para essa semana. "/>
    <m/>
    <s v="Invenergy"/>
    <m/>
    <m/>
    <m/>
    <m/>
    <m/>
  </r>
  <r>
    <x v="1"/>
    <s v="PEL-03"/>
    <d v="2026-08-10T00:00:00"/>
    <d v="2026-09-07T00:00:00"/>
    <x v="0"/>
    <x v="0"/>
    <m/>
    <s v="Falha no gerador"/>
    <x v="3"/>
    <x v="2"/>
    <s v="12/08: Realizados testes e identificado danos no wye ring (12/08)._x000a_13/08: SS813. Aguardando finalização da abertura do gerador para confirmação do modo de falha. _x000a_20/08: Aguardando mobilização da positivo (prevista para terça - 25/08)._x000a_27/08: Positivo realizou a inspeção e recomendou a troca. Aguardando devolutiva da Auren. "/>
    <m/>
    <s v="Invenergy"/>
    <m/>
    <m/>
    <m/>
    <m/>
    <m/>
  </r>
  <r>
    <x v="1"/>
    <s v="CAE-10"/>
    <d v="2026-08-11T00:00:00"/>
    <d v="2026-08-27T00:00:00"/>
    <x v="0"/>
    <x v="0"/>
    <d v="2026-08-27T00:00:00"/>
    <s v="Falha do pitch drive"/>
    <x v="6"/>
    <x v="1"/>
    <s v="20/08: Previsão de chegada do hub crane no parque e início da atividade no dia 23/08._x000a_27/08: Troca sendo realizada. "/>
    <m/>
    <s v="Invenergy"/>
    <m/>
    <m/>
    <m/>
    <m/>
    <m/>
  </r>
  <r>
    <x v="1"/>
    <s v="BOR-04"/>
    <d v="2026-08-18T00:00:00"/>
    <d v="2026-08-20T00:00:00"/>
    <x v="0"/>
    <x v="0"/>
    <d v="2026-08-21T00:00:00"/>
    <s v="Troca do rolamento HSS"/>
    <x v="4"/>
    <x v="1"/>
    <s v="20/08: Auren executando troca do rolamento do HSS. "/>
    <m/>
    <s v="Auren"/>
    <m/>
    <m/>
    <m/>
    <m/>
    <m/>
  </r>
  <r>
    <x v="0"/>
    <s v="EBR01-02"/>
    <d v="2026-08-24T00:00:00"/>
    <d v="2026-08-27T00:00:00"/>
    <x v="0"/>
    <x v="0"/>
    <d v="2026-08-27T00:00:00"/>
    <s v="Troca do rolamento HSS"/>
    <x v="4"/>
    <x v="1"/>
    <s v="27/08: Invenergy executando troca do rolamento do HSS. "/>
    <m/>
    <s v="Invenergy"/>
    <m/>
    <m/>
    <m/>
    <m/>
    <m/>
  </r>
  <r>
    <x v="1"/>
    <s v="MAR-12"/>
    <d v="2026-08-26T00:00:00"/>
    <d v="2026-09-16T00:00:00"/>
    <x v="0"/>
    <x v="0"/>
    <m/>
    <s v="Falha do Wye Ring"/>
    <x v="3"/>
    <x v="1"/>
    <s v="10/09: Aguardando mobilização da Positivo. "/>
    <m/>
    <s v="Invenergy"/>
    <m/>
    <m/>
    <m/>
    <m/>
    <m/>
  </r>
  <r>
    <x v="0"/>
    <s v="EBR06-02"/>
    <d v="2026-08-28T00:00:00"/>
    <d v="2026-09-11T00:00:00"/>
    <x v="0"/>
    <x v="0"/>
    <m/>
    <s v="Falha da gearbox"/>
    <x v="4"/>
    <x v="0"/>
    <s v="10/09: Auren solicitou a parada da máquina devido a falha do planetário. _x000a_17/09: Troca finalizada. "/>
    <m/>
    <s v="Auren"/>
    <m/>
    <m/>
    <m/>
    <m/>
    <m/>
  </r>
  <r>
    <x v="0"/>
    <s v="EBR05-13"/>
    <d v="2026-09-03T00:00:00"/>
    <m/>
    <x v="1"/>
    <x v="3"/>
    <m/>
    <s v="Colapso da gearbox"/>
    <x v="4"/>
    <x v="0"/>
    <s v="10/09: Houve o colapso da gearbox._x000a_17/09: Auren mobilizando para troca. "/>
    <m/>
    <s v="Auren"/>
    <m/>
    <m/>
    <m/>
    <m/>
    <m/>
  </r>
  <r>
    <x v="1"/>
    <s v="AMT-02"/>
    <d v="2026-09-04T00:00:00"/>
    <d v="2026-09-13T00:00:00"/>
    <x v="0"/>
    <x v="0"/>
    <m/>
    <s v="Falha de Gerador"/>
    <x v="3"/>
    <x v="1"/>
    <s v="10/09: Positivo executando o reparo no barramento. "/>
    <m/>
    <s v="Invenergy"/>
    <m/>
    <m/>
    <m/>
    <m/>
    <m/>
  </r>
</pivotCacheRecords>
</file>

<file path=xl/pivotCache/pivotCacheRecords6.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8">
  <r>
    <s v="2024W39"/>
    <x v="0"/>
    <x v="0"/>
    <d v="2024-09-23T00:00:00"/>
    <d v="2024-09-29T00:00:00"/>
    <n v="0"/>
    <n v="8"/>
    <n v="8"/>
    <n v="0"/>
    <n v="8"/>
    <n v="8"/>
    <n v="8"/>
    <n v="1"/>
    <s v="Registro de turbinas com mais de 7 dias paradas"/>
  </r>
  <r>
    <s v="2024W40"/>
    <x v="0"/>
    <x v="1"/>
    <d v="2024-09-30T00:00:00"/>
    <d v="2024-10-06T00:00:00"/>
    <n v="0"/>
    <n v="8"/>
    <n v="8"/>
    <n v="8"/>
    <n v="8"/>
    <n v="8"/>
    <n v="8"/>
    <n v="2"/>
    <m/>
  </r>
  <r>
    <s v="2024W41"/>
    <x v="0"/>
    <x v="2"/>
    <d v="2024-10-07T00:00:00"/>
    <d v="2024-10-13T00:00:00"/>
    <n v="0"/>
    <n v="9"/>
    <n v="9"/>
    <n v="8"/>
    <n v="9"/>
    <n v="8.3333333333333339"/>
    <n v="8.3333333333333339"/>
    <n v="3"/>
    <m/>
  </r>
  <r>
    <s v="2024W42"/>
    <x v="0"/>
    <x v="3"/>
    <d v="2024-10-14T00:00:00"/>
    <d v="2024-10-20T00:00:00"/>
    <n v="0"/>
    <n v="9"/>
    <n v="9"/>
    <n v="9"/>
    <n v="9"/>
    <n v="8.5"/>
    <n v="8.5"/>
    <n v="4"/>
    <m/>
  </r>
  <r>
    <s v="2024W43"/>
    <x v="0"/>
    <x v="4"/>
    <d v="2024-10-21T00:00:00"/>
    <d v="2024-10-27T00:00:00"/>
    <n v="0"/>
    <n v="10"/>
    <n v="10"/>
    <n v="9"/>
    <n v="10"/>
    <n v="8.8000000000000007"/>
    <n v="8.8000000000000007"/>
    <n v="5"/>
    <m/>
  </r>
  <r>
    <s v="2024W44"/>
    <x v="0"/>
    <x v="5"/>
    <d v="2024-10-28T00:00:00"/>
    <d v="2024-11-03T00:00:00"/>
    <n v="1"/>
    <n v="12"/>
    <n v="13"/>
    <n v="10"/>
    <n v="13"/>
    <n v="9.5"/>
    <n v="9.5"/>
    <n v="6"/>
    <m/>
  </r>
  <r>
    <s v="2024W45"/>
    <x v="0"/>
    <x v="6"/>
    <d v="2024-11-04T00:00:00"/>
    <d v="2024-11-10T00:00:00"/>
    <n v="3"/>
    <n v="15"/>
    <n v="18"/>
    <n v="14"/>
    <n v="18"/>
    <n v="10.714285714285714"/>
    <n v="10.714285714285714"/>
    <n v="7"/>
    <m/>
  </r>
  <r>
    <s v="2024W46"/>
    <x v="0"/>
    <x v="7"/>
    <d v="2024-11-11T00:00:00"/>
    <d v="2024-11-17T00:00:00"/>
    <n v="3"/>
    <n v="15"/>
    <n v="18"/>
    <n v="20"/>
    <n v="18"/>
    <n v="11.625"/>
    <n v="11.625"/>
    <n v="8"/>
    <m/>
  </r>
  <r>
    <s v="2024W47"/>
    <x v="0"/>
    <x v="8"/>
    <d v="2024-11-18T00:00:00"/>
    <d v="2024-11-24T00:00:00"/>
    <n v="2"/>
    <n v="13"/>
    <n v="15"/>
    <n v="23"/>
    <n v="15"/>
    <n v="12"/>
    <n v="12"/>
    <n v="9"/>
    <m/>
  </r>
  <r>
    <s v="2024W48"/>
    <x v="0"/>
    <x v="9"/>
    <d v="2024-11-25T00:00:00"/>
    <d v="2024-12-01T00:00:00"/>
    <n v="2"/>
    <n v="14"/>
    <n v="16"/>
    <n v="24"/>
    <n v="16"/>
    <n v="12.4"/>
    <n v="12.4"/>
    <n v="10"/>
    <m/>
  </r>
  <r>
    <s v="2024W49"/>
    <x v="0"/>
    <x v="10"/>
    <d v="2024-12-02T00:00:00"/>
    <d v="2024-12-08T00:00:00"/>
    <n v="1"/>
    <n v="13"/>
    <n v="14"/>
    <n v="26"/>
    <n v="14"/>
    <n v="12.545454545454545"/>
    <n v="12.545454545454545"/>
    <n v="11"/>
    <m/>
  </r>
  <r>
    <s v="2024W50"/>
    <x v="0"/>
    <x v="11"/>
    <d v="2024-12-09T00:00:00"/>
    <d v="2024-12-15T00:00:00"/>
    <n v="1"/>
    <n v="13"/>
    <n v="14"/>
    <n v="26"/>
    <n v="14"/>
    <n v="12.666666666666666"/>
    <n v="12.666666666666666"/>
    <n v="12"/>
    <m/>
  </r>
  <r>
    <s v="2024W51"/>
    <x v="0"/>
    <x v="12"/>
    <d v="2024-12-16T00:00:00"/>
    <d v="2024-12-22T00:00:00"/>
    <n v="1"/>
    <n v="12"/>
    <n v="13"/>
    <n v="27"/>
    <n v="13"/>
    <n v="12.692307692307692"/>
    <n v="12.692307692307692"/>
    <n v="13"/>
    <m/>
  </r>
  <r>
    <s v="2024W52"/>
    <x v="0"/>
    <x v="13"/>
    <d v="2024-12-23T00:00:00"/>
    <d v="2024-12-29T00:00:00"/>
    <n v="1"/>
    <n v="11"/>
    <n v="12"/>
    <n v="30"/>
    <n v="12"/>
    <n v="12.642857142857142"/>
    <n v="12.642857142857142"/>
    <n v="14"/>
    <m/>
  </r>
  <r>
    <s v="2025W01"/>
    <x v="1"/>
    <x v="14"/>
    <d v="2024-12-30T00:00:00"/>
    <d v="2025-01-05T00:00:00"/>
    <n v="2"/>
    <n v="10"/>
    <n v="12"/>
    <n v="32"/>
    <n v="12"/>
    <n v="12.6"/>
    <n v="12"/>
    <n v="15"/>
    <m/>
  </r>
  <r>
    <s v="2025W02"/>
    <x v="1"/>
    <x v="15"/>
    <d v="2025-01-06T00:00:00"/>
    <d v="2025-01-12T00:00:00"/>
    <n v="2"/>
    <n v="9"/>
    <n v="11"/>
    <n v="33"/>
    <n v="11"/>
    <n v="12.5"/>
    <n v="11.5"/>
    <n v="16"/>
    <m/>
  </r>
  <r>
    <s v="2025W03"/>
    <x v="1"/>
    <x v="16"/>
    <d v="2025-01-13T00:00:00"/>
    <d v="2025-01-19T00:00:00"/>
    <n v="2"/>
    <n v="11"/>
    <n v="13"/>
    <n v="34"/>
    <n v="13"/>
    <n v="12.529411764705882"/>
    <n v="12"/>
    <n v="17"/>
    <m/>
  </r>
  <r>
    <s v="2025W04"/>
    <x v="1"/>
    <x v="17"/>
    <d v="2025-01-20T00:00:00"/>
    <d v="2025-01-26T00:00:00"/>
    <n v="3"/>
    <n v="12"/>
    <n v="15"/>
    <n v="35"/>
    <n v="15"/>
    <n v="12.666666666666666"/>
    <n v="12.75"/>
    <n v="18"/>
    <m/>
  </r>
  <r>
    <s v="2025W05"/>
    <x v="1"/>
    <x v="18"/>
    <d v="2025-01-27T00:00:00"/>
    <d v="2025-02-02T00:00:00"/>
    <n v="3"/>
    <n v="12"/>
    <n v="15"/>
    <n v="36"/>
    <n v="15"/>
    <n v="12.789473684210526"/>
    <n v="13.2"/>
    <n v="19"/>
    <m/>
  </r>
  <r>
    <s v="2025W06"/>
    <x v="1"/>
    <x v="19"/>
    <d v="2025-02-03T00:00:00"/>
    <d v="2025-02-09T00:00:00"/>
    <n v="3"/>
    <n v="10"/>
    <n v="13"/>
    <n v="43"/>
    <n v="13"/>
    <n v="12.8"/>
    <n v="13.166666666666666"/>
    <n v="20"/>
    <m/>
  </r>
  <r>
    <s v="2025W07"/>
    <x v="1"/>
    <x v="20"/>
    <d v="2025-02-10T00:00:00"/>
    <d v="2025-02-16T00:00:00"/>
    <n v="3"/>
    <n v="15"/>
    <n v="18"/>
    <n v="44"/>
    <n v="18"/>
    <n v="13.047619047619047"/>
    <n v="13.857142857142858"/>
    <n v="21"/>
    <m/>
  </r>
  <r>
    <s v="2025W08"/>
    <x v="1"/>
    <x v="21"/>
    <d v="2025-02-17T00:00:00"/>
    <d v="2025-02-23T00:00:00"/>
    <n v="2"/>
    <n v="13"/>
    <n v="15"/>
    <n v="49"/>
    <n v="15"/>
    <n v="13.136363636363637"/>
    <n v="14"/>
    <n v="22"/>
    <m/>
  </r>
  <r>
    <s v="2025W09"/>
    <x v="1"/>
    <x v="22"/>
    <d v="2025-02-24T00:00:00"/>
    <d v="2025-03-02T00:00:00"/>
    <n v="2"/>
    <n v="12"/>
    <n v="14"/>
    <n v="53"/>
    <n v="14"/>
    <n v="13.173913043478262"/>
    <n v="14"/>
    <n v="23"/>
    <m/>
  </r>
  <r>
    <s v="2025W10"/>
    <x v="1"/>
    <x v="23"/>
    <d v="2025-03-03T00:00:00"/>
    <d v="2025-03-09T00:00:00"/>
    <n v="2"/>
    <n v="11"/>
    <n v="13"/>
    <n v="55"/>
    <n v="13"/>
    <n v="13.166666666666666"/>
    <n v="13.9"/>
    <n v="24"/>
    <m/>
  </r>
  <r>
    <s v="2025W11"/>
    <x v="1"/>
    <x v="24"/>
    <d v="2025-03-10T00:00:00"/>
    <d v="2025-03-16T00:00:00"/>
    <n v="2"/>
    <n v="10"/>
    <n v="12"/>
    <n v="57"/>
    <n v="12"/>
    <n v="13.12"/>
    <n v="13.727272727272727"/>
    <n v="25"/>
    <m/>
  </r>
  <r>
    <s v="2025W12"/>
    <x v="1"/>
    <x v="25"/>
    <d v="2025-03-17T00:00:00"/>
    <d v="2025-03-23T00:00:00"/>
    <n v="2"/>
    <n v="12"/>
    <n v="14"/>
    <n v="60"/>
    <n v="14"/>
    <n v="13.153846153846153"/>
    <n v="13.75"/>
    <n v="26"/>
    <m/>
  </r>
  <r>
    <s v="2025W13"/>
    <x v="1"/>
    <x v="26"/>
    <d v="2025-03-24T00:00:00"/>
    <d v="2025-03-30T00:00:00"/>
    <n v="2"/>
    <n v="11"/>
    <n v="13"/>
    <n v="61"/>
    <n v="13"/>
    <n v="13.148148148148149"/>
    <n v="13.692307692307692"/>
    <n v="27"/>
    <m/>
  </r>
  <r>
    <s v="2025W14"/>
    <x v="1"/>
    <x v="27"/>
    <d v="2025-03-31T00:00:00"/>
    <d v="2025-04-06T00:00:00"/>
    <n v="2"/>
    <n v="10"/>
    <n v="12"/>
    <n v="62"/>
    <n v="12"/>
    <n v="13.107142857142858"/>
    <n v="13.571428571428571"/>
    <n v="28"/>
    <m/>
  </r>
  <r>
    <s v="2025W15"/>
    <x v="1"/>
    <x v="28"/>
    <d v="2025-04-07T00:00:00"/>
    <d v="2025-04-13T00:00:00"/>
    <n v="2"/>
    <n v="11"/>
    <n v="13"/>
    <n v="65"/>
    <n v="13"/>
    <n v="13.103448275862069"/>
    <n v="13.533333333333333"/>
    <n v="29"/>
    <m/>
  </r>
  <r>
    <s v="2025W16"/>
    <x v="1"/>
    <x v="29"/>
    <d v="2025-04-14T00:00:00"/>
    <d v="2025-04-20T00:00:00"/>
    <n v="2"/>
    <n v="12"/>
    <n v="14"/>
    <n v="69"/>
    <n v="14"/>
    <n v="13.133333333333333"/>
    <n v="13.5625"/>
    <n v="30"/>
    <m/>
  </r>
  <r>
    <s v="2025W17"/>
    <x v="1"/>
    <x v="30"/>
    <d v="2025-04-21T00:00:00"/>
    <d v="2025-04-27T00:00:00"/>
    <n v="1"/>
    <n v="15"/>
    <n v="16"/>
    <n v="69"/>
    <n v="16"/>
    <n v="13.225806451612904"/>
    <n v="13.705882352941176"/>
    <n v="31"/>
    <m/>
  </r>
  <r>
    <s v="2025W18"/>
    <x v="1"/>
    <x v="31"/>
    <d v="2025-04-28T00:00:00"/>
    <d v="2025-05-04T00:00:00"/>
    <n v="1"/>
    <n v="13"/>
    <n v="14"/>
    <n v="70"/>
    <n v="14"/>
    <n v="13.25"/>
    <n v="13.722222222222221"/>
    <n v="32"/>
    <m/>
  </r>
  <r>
    <s v="2025W19"/>
    <x v="1"/>
    <x v="32"/>
    <d v="2025-05-05T00:00:00"/>
    <d v="2025-05-11T00:00:00"/>
    <n v="1"/>
    <n v="13"/>
    <n v="14"/>
    <n v="72"/>
    <n v="14"/>
    <n v="13.030303030303031"/>
    <n v="13.736842105263158"/>
    <n v="33"/>
    <m/>
  </r>
  <r>
    <s v="2025W20"/>
    <x v="1"/>
    <x v="33"/>
    <d v="2025-05-12T00:00:00"/>
    <d v="2025-05-18T00:00:00"/>
    <n v="0"/>
    <n v="9"/>
    <n v="9"/>
    <n v="74"/>
    <n v="9"/>
    <n v="13.147058823529411"/>
    <n v="13.5"/>
    <n v="34"/>
    <m/>
  </r>
  <r>
    <s v="2025W21"/>
    <x v="1"/>
    <x v="34"/>
    <d v="2025-05-19T00:00:00"/>
    <d v="2025-05-25T00:00:00"/>
    <n v="1"/>
    <n v="10"/>
    <n v="11"/>
    <n v="76"/>
    <n v="11"/>
    <n v="13.085714285714285"/>
    <n v="13.380952380952381"/>
    <n v="35"/>
    <m/>
  </r>
  <r>
    <s v="2025W22"/>
    <x v="1"/>
    <x v="35"/>
    <d v="2025-05-26T00:00:00"/>
    <d v="2025-06-01T00:00:00"/>
    <n v="1"/>
    <n v="11"/>
    <n v="12"/>
    <n v="76"/>
    <n v="12"/>
    <n v="13.055555555555555"/>
    <n v="13.318181818181818"/>
    <n v="36"/>
    <m/>
  </r>
  <r>
    <s v="2025W23"/>
    <x v="1"/>
    <x v="36"/>
    <d v="2025-06-02T00:00:00"/>
    <d v="2025-06-08T00:00:00"/>
    <n v="2"/>
    <n v="9"/>
    <n v="11"/>
    <n v="78"/>
    <n v="11"/>
    <n v="13"/>
    <n v="13.217391304347826"/>
    <n v="37"/>
    <m/>
  </r>
  <r>
    <s v="2025W24"/>
    <x v="1"/>
    <x v="37"/>
    <d v="2025-06-09T00:00:00"/>
    <d v="2025-06-15T00:00:00"/>
    <n v="1"/>
    <n v="10"/>
    <n v="11"/>
    <n v="87"/>
    <n v="11"/>
    <n v="12.947368421052632"/>
    <n v="13.125"/>
    <n v="38"/>
    <m/>
  </r>
  <r>
    <s v="2025W25"/>
    <x v="1"/>
    <x v="38"/>
    <d v="2025-06-16T00:00:00"/>
    <d v="2025-06-22T00:00:00"/>
    <n v="1"/>
    <n v="16"/>
    <n v="17"/>
    <n v="87"/>
    <n v="17"/>
    <n v="13.051282051282051"/>
    <n v="13.28"/>
    <n v="39"/>
    <m/>
  </r>
  <r>
    <s v="2025W26"/>
    <x v="1"/>
    <x v="39"/>
    <d v="2025-06-23T00:00:00"/>
    <d v="2025-06-29T00:00:00"/>
    <n v="1"/>
    <n v="17"/>
    <n v="18"/>
    <n v="88"/>
    <n v="18"/>
    <n v="13.175000000000001"/>
    <n v="13.461538461538462"/>
    <n v="40"/>
    <m/>
  </r>
  <r>
    <s v="2025W27"/>
    <x v="1"/>
    <x v="40"/>
    <d v="2025-06-30T00:00:00"/>
    <d v="2025-07-06T00:00:00"/>
    <n v="1"/>
    <n v="17"/>
    <n v="18"/>
    <n v="90"/>
    <n v="18"/>
    <n v="13.292682926829269"/>
    <n v="13.62962962962963"/>
    <n v="41"/>
    <m/>
  </r>
  <r>
    <s v="2025W28"/>
    <x v="1"/>
    <x v="41"/>
    <d v="2025-07-07T00:00:00"/>
    <d v="2025-07-13T00:00:00"/>
    <n v="1"/>
    <n v="15"/>
    <n v="16"/>
    <n v="91"/>
    <n v="16"/>
    <n v="13.357142857142858"/>
    <n v="13.714285714285714"/>
    <n v="42"/>
    <m/>
  </r>
  <r>
    <s v="2025W29"/>
    <x v="1"/>
    <x v="42"/>
    <d v="2025-07-14T00:00:00"/>
    <d v="2025-07-20T00:00:00"/>
    <n v="1"/>
    <n v="11"/>
    <n v="12"/>
    <n v="93"/>
    <n v="12"/>
    <n v="13.325581395348838"/>
    <n v="13.655172413793103"/>
    <n v="43"/>
    <m/>
  </r>
  <r>
    <s v="2025W30"/>
    <x v="1"/>
    <x v="43"/>
    <d v="2025-07-21T00:00:00"/>
    <d v="2025-07-27T00:00:00"/>
    <n v="1"/>
    <n v="9"/>
    <n v="10"/>
    <n v="93"/>
    <n v="10"/>
    <n v="13.25"/>
    <n v="13.533333333333333"/>
    <n v="44"/>
    <m/>
  </r>
  <r>
    <s v="2025W31"/>
    <x v="1"/>
    <x v="44"/>
    <d v="2025-07-28T00:00:00"/>
    <d v="2025-08-03T00:00:00"/>
    <n v="0"/>
    <n v="7"/>
    <n v="7"/>
    <n v="94"/>
    <n v="7"/>
    <n v="13.111111111111111"/>
    <n v="13.32258064516129"/>
    <n v="45"/>
    <m/>
  </r>
  <r>
    <s v="2025W32"/>
    <x v="1"/>
    <x v="45"/>
    <d v="2025-08-04T00:00:00"/>
    <d v="2025-08-10T00:00:00"/>
    <n v="0"/>
    <n v="8"/>
    <n v="8"/>
    <n v="96"/>
    <n v="8"/>
    <n v="13"/>
    <n v="13.15625"/>
    <n v="46"/>
    <m/>
  </r>
  <r>
    <s v="2025W33"/>
    <x v="1"/>
    <x v="46"/>
    <d v="2025-08-11T00:00:00"/>
    <d v="2025-08-17T00:00:00"/>
    <n v="0"/>
    <n v="7"/>
    <n v="7"/>
    <n v="97"/>
    <n v="7"/>
    <n v="12.872340425531915"/>
    <n v="12.969696969696969"/>
    <n v="47"/>
    <m/>
  </r>
  <r>
    <s v="2025W34"/>
    <x v="1"/>
    <x v="47"/>
    <d v="2025-08-18T00:00:00"/>
    <d v="2025-08-24T00:00:00"/>
    <n v="0"/>
    <n v="6"/>
    <n v="6"/>
    <n v="98"/>
    <n v="6"/>
    <n v="12.729166666666666"/>
    <n v="12.764705882352942"/>
    <n v="48"/>
    <m/>
  </r>
  <r>
    <s v="2025W35"/>
    <x v="1"/>
    <x v="48"/>
    <d v="2025-08-25T00:00:00"/>
    <d v="2025-08-31T00:00:00"/>
    <n v="0"/>
    <n v="4"/>
    <n v="4"/>
    <n v="102"/>
    <n v="4"/>
    <n v="12.551020408163266"/>
    <n v="12.514285714285714"/>
    <n v="49"/>
    <m/>
  </r>
  <r>
    <s v="2025W36"/>
    <x v="1"/>
    <x v="49"/>
    <d v="2025-09-01T00:00:00"/>
    <d v="2025-09-07T00:00:00"/>
    <n v="0"/>
    <n v="4"/>
    <n v="4"/>
    <n v="104"/>
    <n v="4"/>
    <n v="12.38"/>
    <n v="12.277777777777779"/>
    <n v="50"/>
    <m/>
  </r>
  <r>
    <s v="2025W37"/>
    <x v="1"/>
    <x v="50"/>
    <d v="2025-09-08T00:00:00"/>
    <d v="2025-09-14T00:00:00"/>
    <n v="0"/>
    <n v="9"/>
    <n v="9"/>
    <n v="107"/>
    <n v="9"/>
    <n v="12.313725490196079"/>
    <n v="12.189189189189189"/>
    <n v="51"/>
    <m/>
  </r>
  <r>
    <s v="2025W38"/>
    <x v="1"/>
    <x v="51"/>
    <d v="2025-09-15T00:00:00"/>
    <d v="2025-09-21T00:00:00"/>
    <n v="0"/>
    <n v="9"/>
    <n v="9"/>
    <n v="107"/>
    <n v="9"/>
    <n v="12.25"/>
    <n v="12.105263157894736"/>
    <n v="52"/>
    <m/>
  </r>
  <r>
    <s v="2025W39"/>
    <x v="1"/>
    <x v="0"/>
    <d v="2025-09-22T00:00:00"/>
    <d v="2025-09-28T00:00:00"/>
    <n v="0"/>
    <n v="7"/>
    <n v="7"/>
    <n v="109"/>
    <n v="7"/>
    <n v="12.150943396226415"/>
    <n v="11.974358974358974"/>
    <n v="53"/>
    <m/>
  </r>
  <r>
    <s v="2025W40"/>
    <x v="1"/>
    <x v="1"/>
    <d v="2025-09-29T00:00:00"/>
    <d v="2025-10-05T00:00:00"/>
    <n v="0"/>
    <n v="9"/>
    <n v="9"/>
    <n v="112"/>
    <n v="9"/>
    <n v="12.092592592592593"/>
    <n v="11.9"/>
    <n v="54"/>
    <m/>
  </r>
  <r>
    <s v="2025W41"/>
    <x v="1"/>
    <x v="2"/>
    <d v="2025-10-06T00:00:00"/>
    <d v="2025-10-12T00:00:00"/>
    <n v="0"/>
    <n v="10"/>
    <n v="10"/>
    <n v="113"/>
    <n v="10"/>
    <n v="12.054545454545455"/>
    <n v="11.853658536585366"/>
    <n v="55"/>
    <m/>
  </r>
  <r>
    <s v="2025W42"/>
    <x v="1"/>
    <x v="3"/>
    <d v="2025-10-13T00:00:00"/>
    <d v="2025-10-19T00:00:00"/>
    <n v="0"/>
    <n v="10"/>
    <n v="10"/>
    <n v="115"/>
    <n v="10"/>
    <n v="12.017857142857142"/>
    <n v="11.80952380952381"/>
    <n v="56"/>
    <m/>
  </r>
  <r>
    <s v="2025W43"/>
    <x v="1"/>
    <x v="4"/>
    <d v="2025-10-20T00:00:00"/>
    <d v="2025-10-26T00:00:00"/>
    <n v="0"/>
    <n v="9"/>
    <n v="9"/>
    <n v="117"/>
    <n v="9"/>
    <n v="11.964912280701755"/>
    <n v="11.744186046511627"/>
    <n v="57"/>
    <m/>
  </r>
  <r>
    <s v="2025W44"/>
    <x v="1"/>
    <x v="5"/>
    <d v="2025-10-27T00:00:00"/>
    <d v="2025-11-02T00:00:00"/>
    <n v="0"/>
    <n v="10"/>
    <n v="10"/>
    <n v="120"/>
    <n v="10"/>
    <n v="11.931034482758621"/>
    <n v="11.704545454545455"/>
    <n v="58"/>
    <m/>
  </r>
  <r>
    <s v="2025W45"/>
    <x v="1"/>
    <x v="6"/>
    <d v="2025-11-03T00:00:00"/>
    <d v="2025-11-09T00:00:00"/>
    <n v="0"/>
    <n v="13"/>
    <n v="13"/>
    <n v="120"/>
    <n v="13"/>
    <n v="11.949152542372881"/>
    <n v="11.733333333333333"/>
    <n v="59"/>
    <m/>
  </r>
  <r>
    <s v="2025W46"/>
    <x v="1"/>
    <x v="7"/>
    <d v="2025-11-10T00:00:00"/>
    <d v="2025-11-16T00:00:00"/>
    <n v="0"/>
    <n v="10"/>
    <n v="10"/>
    <n v="121"/>
    <n v="10"/>
    <n v="11.916666666666666"/>
    <n v="11.695652173913043"/>
    <n v="60"/>
    <m/>
  </r>
  <r>
    <s v="2025W47"/>
    <x v="1"/>
    <x v="8"/>
    <d v="2025-11-17T00:00:00"/>
    <d v="2025-11-23T00:00:00"/>
    <n v="0"/>
    <n v="11"/>
    <n v="11"/>
    <n v="122"/>
    <n v="11"/>
    <n v="11.901639344262295"/>
    <n v="11.901639344262295"/>
    <n v="61"/>
    <m/>
  </r>
  <r>
    <s v="2025W48"/>
    <x v="1"/>
    <x v="9"/>
    <d v="2025-11-24T00:00:00"/>
    <d v="2025-11-30T00:00:00"/>
    <n v="0"/>
    <n v="10"/>
    <n v="10"/>
    <n v="125"/>
    <n v="10"/>
    <n v="11.870967741935484"/>
    <n v="11.870967741935484"/>
    <n v="62"/>
    <m/>
  </r>
  <r>
    <s v="2025W49"/>
    <x v="1"/>
    <x v="10"/>
    <d v="2025-12-01T00:00:00"/>
    <d v="2025-12-07T00:00:00"/>
    <n v="0"/>
    <n v="11"/>
    <n v="11"/>
    <n v="126"/>
    <n v="11"/>
    <n v="11.857142857142858"/>
    <n v="11.857142857142858"/>
    <n v="63"/>
    <m/>
  </r>
  <r>
    <s v="2025W50"/>
    <x v="1"/>
    <x v="11"/>
    <d v="2025-12-08T00:00:00"/>
    <d v="2025-12-14T00:00:00"/>
    <n v="0"/>
    <n v="5"/>
    <n v="5"/>
    <n v="128"/>
    <n v="5"/>
    <n v="11.75"/>
    <n v="11.75"/>
    <n v="64"/>
    <m/>
  </r>
  <r>
    <s v="2025W51"/>
    <x v="1"/>
    <x v="12"/>
    <d v="2025-12-15T00:00:00"/>
    <d v="2025-12-21T00:00:00"/>
    <n v="0"/>
    <n v="3"/>
    <n v="3"/>
    <n v="132"/>
    <n v="3"/>
    <n v="11.615384615384615"/>
    <n v="11.615384615384615"/>
    <n v="65"/>
    <m/>
  </r>
  <r>
    <s v="2025W52"/>
    <x v="1"/>
    <x v="13"/>
    <d v="2025-12-22T00:00:00"/>
    <d v="2025-12-28T00:00:00"/>
    <n v="0"/>
    <n v="3"/>
    <n v="3"/>
    <n v="132"/>
    <n v="3"/>
    <n v="11.484848484848484"/>
    <n v="11.484848484848484"/>
    <n v="66"/>
    <m/>
  </r>
  <r>
    <s v="2026W01"/>
    <x v="2"/>
    <x v="14"/>
    <d v="2025-12-29T00:00:00"/>
    <d v="2026-01-04T00:00:00"/>
    <n v="0"/>
    <n v="2"/>
    <n v="2"/>
    <n v="133"/>
    <n v="2"/>
    <n v="11.343283582089553"/>
    <n v="11.343283582089553"/>
    <n v="67"/>
    <n v="5.2825044072039447"/>
  </r>
  <r>
    <s v="2026W02"/>
    <x v="2"/>
    <x v="15"/>
    <d v="2026-01-05T00:00:00"/>
    <d v="2026-01-11T00:00:00"/>
    <n v="0"/>
    <n v="3"/>
    <n v="3"/>
    <n v="137"/>
    <n v="3"/>
    <n v="11.220588235294118"/>
    <n v="11.220588235294118"/>
    <n v="68"/>
    <n v="7.8545619502948423"/>
  </r>
  <r>
    <s v="2026W03"/>
    <x v="2"/>
    <x v="16"/>
    <d v="2026-01-12T00:00:00"/>
    <d v="2026-01-18T00:00:00"/>
    <n v="0"/>
    <n v="6"/>
    <n v="6"/>
    <n v="139"/>
    <n v="6"/>
    <n v="11.144927536231885"/>
    <n v="11.144927536231885"/>
    <n v="69"/>
    <n v="6.4265047224013525"/>
  </r>
  <r>
    <s v="2026W04"/>
    <x v="2"/>
    <x v="17"/>
    <d v="2026-01-19T00:00:00"/>
    <d v="2026-01-25T00:00:00"/>
    <n v="0"/>
    <n v="6"/>
    <n v="6"/>
    <n v="143"/>
    <n v="6"/>
    <n v="11.071428571428571"/>
    <n v="11.071428571428571"/>
    <n v="70"/>
    <n v="7.5240545000192318"/>
  </r>
  <r>
    <s v="2026W05"/>
    <x v="2"/>
    <x v="18"/>
    <d v="2026-01-26T00:00:00"/>
    <d v="2026-02-01T00:00:00"/>
    <n v="0"/>
    <n v="7"/>
    <n v="7"/>
    <n v="144"/>
    <n v="7"/>
    <n v="11.014084507042254"/>
    <n v="11.014084507042254"/>
    <n v="71"/>
    <n v="5.3917224277240852"/>
  </r>
  <r>
    <s v="2026W06"/>
    <x v="2"/>
    <x v="19"/>
    <d v="2026-02-02T00:00:00"/>
    <d v="2026-02-08T00:00:00"/>
    <n v="0"/>
    <n v="6"/>
    <n v="6"/>
    <n v="146"/>
    <n v="6"/>
    <n v="10.944444444444445"/>
    <n v="10.944444444444445"/>
    <n v="72"/>
    <n v="5.2199736624626523"/>
  </r>
  <r>
    <s v="2026W07"/>
    <x v="2"/>
    <x v="20"/>
    <d v="2026-02-09T00:00:00"/>
    <d v="2026-02-15T00:00:00"/>
    <n v="0"/>
    <n v="5"/>
    <n v="5"/>
    <n v="151"/>
    <n v="5"/>
    <n v="10.863013698630137"/>
    <n v="10.863013698630137"/>
    <n v="73"/>
    <n v="5.6649540465575523"/>
  </r>
  <r>
    <s v="2026W08"/>
    <x v="2"/>
    <x v="21"/>
    <d v="2026-02-16T00:00:00"/>
    <d v="2026-02-22T00:00:00"/>
    <n v="0"/>
    <n v="6"/>
    <n v="6"/>
    <n v="152"/>
    <n v="6"/>
    <n v="10.797297297297296"/>
    <n v="10.797297297297296"/>
    <n v="74"/>
    <n v="4.5589934110465906"/>
  </r>
  <r>
    <s v="2026W09"/>
    <x v="2"/>
    <x v="22"/>
    <d v="2026-02-23T00:00:00"/>
    <d v="2026-03-01T00:00:00"/>
    <n v="1"/>
    <n v="5"/>
    <n v="6"/>
    <n v="153"/>
    <n v="6"/>
    <n v="10.733333333333333"/>
    <n v="10.733333333333333"/>
    <n v="75"/>
    <n v="3.587361304908252"/>
  </r>
  <r>
    <s v="2026W10"/>
    <x v="2"/>
    <x v="23"/>
    <d v="2026-03-02T00:00:00"/>
    <d v="2026-03-08T00:00:00"/>
    <n v="1"/>
    <n v="4"/>
    <n v="5"/>
    <n v="156"/>
    <n v="5"/>
    <n v="10.657894736842104"/>
    <n v="10.657894736842104"/>
    <n v="76"/>
    <n v="5.7521567995458867"/>
  </r>
  <r>
    <s v="2026W11"/>
    <x v="2"/>
    <x v="24"/>
    <d v="2026-03-09T00:00:00"/>
    <d v="2026-03-15T00:00:00"/>
    <n v="1"/>
    <n v="3"/>
    <n v="4"/>
    <n v="157"/>
    <n v="4"/>
    <n v="10.571428571428571"/>
    <n v="10.571428571428571"/>
    <n v="77"/>
    <n v="4.4620223863694921"/>
  </r>
  <r>
    <s v="2026W12"/>
    <x v="2"/>
    <x v="25"/>
    <d v="2026-03-16T00:00:00"/>
    <d v="2026-03-22T00:00:00"/>
    <n v="1"/>
    <n v="4"/>
    <n v="5"/>
    <n v="157"/>
    <n v="5"/>
    <n v="10.5"/>
    <n v="10.5"/>
    <n v="78"/>
    <n v="5.0061049085009781"/>
  </r>
  <r>
    <s v="2026W13"/>
    <x v="2"/>
    <x v="26"/>
    <d v="2026-03-23T00:00:00"/>
    <d v="2026-03-29T00:00:00"/>
    <n v="0"/>
    <n v="2"/>
    <n v="2"/>
    <n v="157"/>
    <n v="2"/>
    <n v="10.39240506329114"/>
    <n v="10.39240506329114"/>
    <n v="79"/>
    <n v="6.7081895092434571"/>
  </r>
  <r>
    <s v="2026W14"/>
    <x v="2"/>
    <x v="27"/>
    <d v="2026-03-30T00:00:00"/>
    <d v="2026-04-05T00:00:00"/>
    <n v="1"/>
    <n v="3"/>
    <n v="4"/>
    <n v="157"/>
    <n v="4"/>
    <n v="10.3125"/>
    <n v="10.3125"/>
    <n v="80"/>
    <n v="5.8839823330388441"/>
  </r>
  <r>
    <s v="2026W15"/>
    <x v="2"/>
    <x v="28"/>
    <d v="2026-04-06T00:00:00"/>
    <d v="2026-04-12T00:00:00"/>
    <n v="1"/>
    <n v="4"/>
    <n v="5"/>
    <n v="157"/>
    <n v="5"/>
    <n v="10.246913580246913"/>
    <n v="10.246913580246913"/>
    <n v="81"/>
    <n v="6.2487648976410499"/>
  </r>
  <r>
    <s v="2026W16"/>
    <x v="2"/>
    <x v="29"/>
    <d v="2026-04-13T00:00:00"/>
    <d v="2026-04-19T00:00:00"/>
    <n v="1"/>
    <n v="1"/>
    <n v="2"/>
    <n v="157"/>
    <n v="2"/>
    <n v="10.146341463414634"/>
    <n v="10.146341463414634"/>
    <n v="82"/>
    <n v="5.9848448465050339"/>
  </r>
  <r>
    <s v="2026W17"/>
    <x v="2"/>
    <x v="30"/>
    <d v="2026-04-20T00:00:00"/>
    <d v="2026-04-26T00:00:00"/>
    <n v="1"/>
    <n v="2"/>
    <n v="3"/>
    <n v="157"/>
    <n v="3"/>
    <n v="10.060240963855422"/>
    <n v="10.060240963855422"/>
    <n v="83"/>
    <n v="5.0295196779325293"/>
  </r>
  <r>
    <s v="2026W18"/>
    <x v="2"/>
    <x v="31"/>
    <d v="2026-04-27T00:00:00"/>
    <d v="2026-05-03T00:00:00"/>
    <n v="1"/>
    <n v="3"/>
    <n v="4"/>
    <n v="157"/>
    <n v="4"/>
    <n v="9.9880952380952372"/>
    <n v="9.9880952380952372"/>
    <n v="84"/>
    <n v="6.9038014089554949"/>
  </r>
  <r>
    <s v="2026W19"/>
    <x v="2"/>
    <x v="32"/>
    <d v="2026-05-04T00:00:00"/>
    <d v="2026-05-10T00:00:00"/>
    <n v="1"/>
    <n v="3"/>
    <n v="4"/>
    <n v="157"/>
    <n v="4"/>
    <n v="9.9176470588235297"/>
    <n v="9.9176470588235297"/>
    <n v="85"/>
    <n v="8.0853273394418661"/>
  </r>
  <r>
    <s v="2026W20"/>
    <x v="2"/>
    <x v="33"/>
    <d v="2026-05-11T00:00:00"/>
    <d v="2026-05-17T00:00:00"/>
    <n v="0"/>
    <n v="3"/>
    <n v="3"/>
    <n v="157"/>
    <n v="3"/>
    <n v="9.8372093023255811"/>
    <n v="9.8372093023255811"/>
    <n v="86"/>
    <n v="7.6951477489097098"/>
  </r>
  <r>
    <s v="2026W21"/>
    <x v="2"/>
    <x v="34"/>
    <d v="2026-05-18T00:00:00"/>
    <d v="2026-05-24T00:00:00"/>
    <n v="1"/>
    <n v="5"/>
    <n v="6"/>
    <n v="157"/>
    <n v="6"/>
    <n v="9.7931034482758612"/>
    <n v="9.7931034482758612"/>
    <n v="87"/>
    <n v="8.930614729949232"/>
  </r>
  <r>
    <s v="2026W22"/>
    <x v="2"/>
    <x v="35"/>
    <d v="2026-05-25T00:00:00"/>
    <d v="2026-05-31T00:00:00"/>
    <n v="0"/>
    <n v="2"/>
    <n v="2"/>
    <n v="157"/>
    <n v="2"/>
    <n v="9.704545454545455"/>
    <n v="9.704545454545455"/>
    <n v="88"/>
    <n v="8.939679388653337"/>
  </r>
  <r>
    <s v="2026W23"/>
    <x v="2"/>
    <x v="36"/>
    <d v="2026-06-01T00:00:00"/>
    <d v="2026-06-07T00:00:00"/>
    <n v="0"/>
    <n v="4"/>
    <n v="4"/>
    <n v="157"/>
    <n v="4"/>
    <n v="9.6404494382022463"/>
    <n v="9.6404494382022463"/>
    <n v="89"/>
    <n v="8.8999430373348645"/>
  </r>
  <r>
    <s v="2026W24"/>
    <x v="2"/>
    <x v="37"/>
    <d v="2026-06-08T00:00:00"/>
    <d v="2026-06-14T00:00:00"/>
    <n v="0"/>
    <n v="3"/>
    <n v="3"/>
    <n v="157"/>
    <n v="3"/>
    <n v="9.5666666666666664"/>
    <n v="9.5666666666666664"/>
    <n v="90"/>
    <n v="7.4463755207963578"/>
  </r>
  <r>
    <s v="2026W25"/>
    <x v="2"/>
    <x v="38"/>
    <d v="2026-06-15T00:00:00"/>
    <d v="2026-06-21T00:00:00"/>
    <n v="0"/>
    <n v="4"/>
    <n v="4"/>
    <n v="157"/>
    <n v="4"/>
    <n v="9.5054945054945055"/>
    <n v="9.5054945054945055"/>
    <n v="91"/>
    <n v="8.7063424623223931"/>
  </r>
  <r>
    <s v="2026W26"/>
    <x v="2"/>
    <x v="39"/>
    <d v="2026-06-22T00:00:00"/>
    <d v="2026-06-28T00:00:00"/>
    <n v="0"/>
    <n v="3"/>
    <n v="3"/>
    <n v="157"/>
    <n v="3"/>
    <n v="9.4347826086956523"/>
    <n v="9.4347826086956523"/>
    <n v="92"/>
    <n v="8.6474247835680806"/>
  </r>
  <r>
    <s v="2026W27"/>
    <x v="2"/>
    <x v="40"/>
    <d v="2026-06-29T00:00:00"/>
    <d v="2026-07-05T00:00:00"/>
    <n v="0"/>
    <n v="2"/>
    <n v="2"/>
    <n v="157"/>
    <n v="2"/>
    <n v="9.3548387096774199"/>
    <n v="9.3548387096774199"/>
    <n v="93"/>
    <n v="8.6887734855568883"/>
  </r>
  <r>
    <s v="2026W28"/>
    <x v="2"/>
    <x v="41"/>
    <d v="2026-07-06T00:00:00"/>
    <d v="2026-07-12T00:00:00"/>
    <n v="0"/>
    <n v="2"/>
    <n v="2"/>
    <n v="157"/>
    <n v="2"/>
    <n v="9.2765957446808507"/>
    <n v="9.2765957446808507"/>
    <n v="94"/>
    <n v="7.3433351648378791"/>
  </r>
  <r>
    <s v="2026W29"/>
    <x v="2"/>
    <x v="42"/>
    <d v="2026-07-13T00:00:00"/>
    <d v="2026-07-19T00:00:00"/>
    <n v="0"/>
    <n v="4"/>
    <n v="4"/>
    <n v="157"/>
    <n v="4"/>
    <n v="9.2210526315789476"/>
    <n v="9.2210526315789476"/>
    <n v="95"/>
    <n v="9.2846532541390836"/>
  </r>
  <r>
    <s v="2026W30"/>
    <x v="2"/>
    <x v="43"/>
    <d v="2026-07-20T00:00:00"/>
    <d v="2026-07-26T00:00:00"/>
    <n v="0"/>
    <n v="4"/>
    <n v="4"/>
    <m/>
    <n v="4"/>
    <m/>
    <m/>
    <n v="96"/>
    <n v="8.6534314655122273"/>
  </r>
  <r>
    <s v="2026W31"/>
    <x v="2"/>
    <x v="44"/>
    <d v="2026-07-27T00:00:00"/>
    <d v="2026-08-02T00:00:00"/>
    <n v="0"/>
    <n v="3"/>
    <n v="3"/>
    <m/>
    <n v="3"/>
    <m/>
    <m/>
    <n v="97"/>
    <n v="9.337415162777889"/>
  </r>
  <r>
    <s v="2026W32"/>
    <x v="2"/>
    <x v="45"/>
    <d v="2026-08-03T00:00:00"/>
    <d v="2026-08-09T00:00:00"/>
    <n v="1"/>
    <n v="5"/>
    <n v="6"/>
    <m/>
    <n v="6"/>
    <m/>
    <m/>
    <n v="98"/>
    <m/>
  </r>
  <r>
    <s v="2026W33"/>
    <x v="2"/>
    <x v="46"/>
    <d v="2026-08-10T00:00:00"/>
    <d v="2026-08-16T00:00:00"/>
    <n v="1"/>
    <n v="5"/>
    <n v="6"/>
    <m/>
    <n v="6"/>
    <m/>
    <m/>
    <n v="99"/>
    <m/>
  </r>
  <r>
    <s v="2026W34"/>
    <x v="2"/>
    <x v="47"/>
    <d v="2026-08-17T00:00:00"/>
    <d v="2026-08-23T00:00:00"/>
    <n v="0"/>
    <n v="3"/>
    <n v="3"/>
    <m/>
    <n v="3"/>
    <m/>
    <m/>
    <n v="100"/>
    <m/>
  </r>
  <r>
    <s v="2026W35"/>
    <x v="2"/>
    <x v="48"/>
    <d v="2026-08-24T00:00:00"/>
    <d v="2026-08-30T00:00:00"/>
    <n v="0"/>
    <n v="2"/>
    <n v="2"/>
    <m/>
    <n v="2"/>
    <m/>
    <m/>
    <n v="101"/>
    <m/>
  </r>
  <r>
    <s v="2026W36"/>
    <x v="2"/>
    <x v="49"/>
    <d v="2026-08-31T00:00:00"/>
    <d v="2026-09-06T00:00:00"/>
    <n v="1"/>
    <n v="2"/>
    <n v="3"/>
    <m/>
    <n v="3"/>
    <m/>
    <m/>
    <n v="102"/>
    <m/>
  </r>
  <r>
    <s v="2026W37"/>
    <x v="2"/>
    <x v="50"/>
    <d v="2026-09-07T00:00:00"/>
    <d v="2026-09-13T00:00:00"/>
    <n v="0"/>
    <n v="2"/>
    <n v="2"/>
    <m/>
    <n v="2"/>
    <m/>
    <m/>
    <n v="103"/>
    <m/>
  </r>
  <r>
    <s v="2026W38"/>
    <x v="2"/>
    <x v="51"/>
    <d v="2026-09-14T00:00:00"/>
    <d v="2026-09-20T00:00:00"/>
    <n v="1"/>
    <n v="3"/>
    <n v="4"/>
    <m/>
    <n v="4"/>
    <m/>
    <m/>
    <n v="104"/>
    <m/>
  </r>
  <r>
    <s v="2026W39"/>
    <x v="2"/>
    <x v="0"/>
    <d v="2026-09-21T00:00:00"/>
    <d v="2026-09-27T00:00:00"/>
    <n v="0"/>
    <n v="4"/>
    <n v="4"/>
    <m/>
    <n v="4"/>
    <m/>
    <m/>
    <n v="105"/>
    <m/>
  </r>
  <r>
    <s v="2026W40"/>
    <x v="2"/>
    <x v="1"/>
    <d v="2026-09-28T00:00:00"/>
    <d v="2026-10-04T00:00:00"/>
    <m/>
    <m/>
    <n v="0"/>
    <m/>
    <n v="0"/>
    <m/>
    <m/>
    <n v="106"/>
    <m/>
  </r>
  <r>
    <s v="2026W41"/>
    <x v="2"/>
    <x v="2"/>
    <d v="2026-10-05T00:00:00"/>
    <d v="2026-10-11T00:00:00"/>
    <m/>
    <m/>
    <n v="0"/>
    <m/>
    <n v="0"/>
    <m/>
    <m/>
    <n v="107"/>
    <m/>
  </r>
  <r>
    <s v="2026W42"/>
    <x v="2"/>
    <x v="3"/>
    <d v="2026-10-12T00:00:00"/>
    <d v="2026-10-18T00:00:00"/>
    <m/>
    <m/>
    <n v="0"/>
    <m/>
    <n v="0"/>
    <m/>
    <m/>
    <n v="108"/>
    <m/>
  </r>
  <r>
    <s v="2026W43"/>
    <x v="2"/>
    <x v="4"/>
    <d v="2026-10-19T00:00:00"/>
    <d v="2026-10-25T00:00:00"/>
    <m/>
    <m/>
    <n v="0"/>
    <m/>
    <n v="0"/>
    <m/>
    <m/>
    <n v="109"/>
    <m/>
  </r>
  <r>
    <s v="2026W44"/>
    <x v="2"/>
    <x v="5"/>
    <d v="2026-10-26T00:00:00"/>
    <d v="2026-11-01T00:00:00"/>
    <m/>
    <m/>
    <n v="0"/>
    <m/>
    <n v="0"/>
    <m/>
    <m/>
    <n v="110"/>
    <m/>
  </r>
  <r>
    <s v="2026W45"/>
    <x v="2"/>
    <x v="6"/>
    <d v="2026-11-02T00:00:00"/>
    <d v="2026-11-08T00:00:00"/>
    <m/>
    <m/>
    <n v="0"/>
    <m/>
    <n v="0"/>
    <m/>
    <m/>
    <n v="111"/>
    <m/>
  </r>
  <r>
    <s v="2026W46"/>
    <x v="2"/>
    <x v="7"/>
    <d v="2026-11-09T00:00:00"/>
    <d v="2026-11-15T00:00:00"/>
    <m/>
    <m/>
    <n v="0"/>
    <m/>
    <n v="0"/>
    <m/>
    <m/>
    <n v="112"/>
    <m/>
  </r>
  <r>
    <s v="2026W47"/>
    <x v="2"/>
    <x v="8"/>
    <d v="2026-11-16T00:00:00"/>
    <d v="2026-11-22T00:00:00"/>
    <m/>
    <m/>
    <n v="0"/>
    <m/>
    <n v="0"/>
    <m/>
    <m/>
    <n v="113"/>
    <m/>
  </r>
  <r>
    <s v="2026W48"/>
    <x v="2"/>
    <x v="9"/>
    <d v="2026-11-23T00:00:00"/>
    <d v="2026-11-29T00:00:00"/>
    <m/>
    <m/>
    <n v="0"/>
    <m/>
    <n v="0"/>
    <m/>
    <m/>
    <n v="114"/>
    <m/>
  </r>
  <r>
    <s v="2026W49"/>
    <x v="2"/>
    <x v="10"/>
    <d v="2026-11-30T00:00:00"/>
    <d v="2026-12-06T00:00:00"/>
    <m/>
    <m/>
    <n v="0"/>
    <m/>
    <n v="0"/>
    <m/>
    <m/>
    <n v="115"/>
    <m/>
  </r>
  <r>
    <s v="2026W50"/>
    <x v="2"/>
    <x v="11"/>
    <d v="2026-12-07T00:00:00"/>
    <d v="2026-12-13T00:00:00"/>
    <m/>
    <m/>
    <n v="0"/>
    <m/>
    <n v="0"/>
    <m/>
    <m/>
    <n v="116"/>
    <m/>
  </r>
  <r>
    <s v="2026W51"/>
    <x v="2"/>
    <x v="12"/>
    <d v="2026-12-14T00:00:00"/>
    <d v="2026-12-20T00:00:00"/>
    <m/>
    <m/>
    <n v="0"/>
    <m/>
    <n v="0"/>
    <m/>
    <m/>
    <n v="117"/>
    <m/>
  </r>
  <r>
    <s v="2026W52"/>
    <x v="2"/>
    <x v="13"/>
    <d v="2026-12-21T00:00:00"/>
    <d v="2026-12-27T00:00:00"/>
    <m/>
    <m/>
    <n v="0"/>
    <m/>
    <n v="0"/>
    <m/>
    <m/>
    <n v="118"/>
    <m/>
  </r>
</pivotCacheRecords>
</file>

<file path=xl/pivotCache/pivotCacheRecords7.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4">
  <r>
    <x v="0"/>
    <s v="JOA13-15"/>
    <d v="2024-11-14T00:00:00"/>
    <d v="2024-11-14T00:00:00"/>
    <x v="0"/>
    <x v="0"/>
    <d v="2024-11-14T00:00:00"/>
    <s v="Falha de safety chain. "/>
    <x v="0"/>
    <x v="0"/>
    <s v="Troubleshooting da falha."/>
    <m/>
    <s v="Operations - O&amp;M"/>
    <s v="Warton e Anderson"/>
    <s v="Invenergy"/>
    <n v="0"/>
    <n v="0"/>
  </r>
  <r>
    <x v="1"/>
    <s v="AB05-13"/>
    <d v="2024-11-13T00:00:00"/>
    <d v="2024-11-15T00:00:00"/>
    <x v="0"/>
    <x v="0"/>
    <d v="2024-11-15T00:00:00"/>
    <s v="Turbina não passa no teste de baterias do sistema de pitch. "/>
    <x v="1"/>
    <x v="0"/>
    <s v="Troubleshooting da falha e suporte da engenharia. "/>
    <m/>
    <s v="Engenharia"/>
    <s v="Daniel"/>
    <s v="Invenergy"/>
    <n v="48"/>
    <n v="2.7662517289073305E-5"/>
  </r>
  <r>
    <x v="2"/>
    <s v="JOA01-12"/>
    <d v="2024-11-11T00:00:00"/>
    <d v="2024-11-16T00:00:00"/>
    <x v="0"/>
    <x v="0"/>
    <d v="2024-11-14T00:00:00"/>
    <s v="Falha de baterias na axis 1. WEPA da axis 1 está danificada. Estamos utilizando WEPAs reparadas e baterias novas. "/>
    <x v="1"/>
    <x v="1"/>
    <s v="Troca da WEPA. "/>
    <m/>
    <s v="Operations - O&amp;M"/>
    <s v="Warton e Anderson"/>
    <s v="Invenergy"/>
    <n v="120"/>
    <n v="6.9156293222683262E-5"/>
  </r>
  <r>
    <x v="1"/>
    <s v="AB06-06"/>
    <d v="2024-11-10T00:00:00"/>
    <d v="2024-11-17T00:00:00"/>
    <x v="0"/>
    <x v="0"/>
    <d v="2024-11-14T00:00:00"/>
    <s v="Turbina não passa no teste de baterias do sistema de pitch. "/>
    <x v="1"/>
    <x v="0"/>
    <s v="Troubleshooting da falha com suporte da engenharia. "/>
    <m/>
    <s v="Engenharia"/>
    <s v="Victor e Daniel"/>
    <s v="Invenergy"/>
    <n v="168"/>
    <n v="9.6818810511756567E-5"/>
  </r>
  <r>
    <x v="2"/>
    <s v="JOA04-14"/>
    <d v="2024-11-04T00:00:00"/>
    <d v="2024-11-20T00:00:00"/>
    <x v="0"/>
    <x v="0"/>
    <d v="2024-11-19T00:00:00"/>
    <s v="Danos no gerador, curto no wye ring. "/>
    <x v="2"/>
    <x v="1"/>
    <s v="Reparo do gerador em andamento."/>
    <m/>
    <s v="Operations - O&amp;M"/>
    <s v="Warton e Anderson"/>
    <s v="Essentia"/>
    <n v="0"/>
    <n v="0"/>
  </r>
  <r>
    <x v="2"/>
    <s v="JOA03-06"/>
    <d v="2024-11-19T00:00:00"/>
    <d v="2024-11-22T00:00:00"/>
    <x v="1"/>
    <x v="0"/>
    <d v="2024-11-22T00:00:00"/>
    <s v="Quebra da barra de suporte da axis box. "/>
    <x v="3"/>
    <x v="1"/>
    <s v="Sendo realizada a ação corretiva sugerida pela Essentia. Não temos disponível a peça sugerida para a correção, iremos canibalizar outra turbina (AUG 05-13) para reparar a barra danificada com o novo coxim. SS aberta para suporte da engenharia para entendendermos a causa raiz da falha. "/>
    <m/>
    <s v="Operations - O&amp;M / Engenharia"/>
    <m/>
    <s v="Invenergy"/>
    <n v="72"/>
    <n v="4.1493775933609957E-5"/>
  </r>
  <r>
    <x v="0"/>
    <s v="JOA11-10"/>
    <d v="2024-10-01T00:00:00"/>
    <d v="2024-11-26T00:00:00"/>
    <x v="1"/>
    <x v="0"/>
    <d v="2024-11-11T00:00:00"/>
    <s v="Troca de Gearbox."/>
    <x v="4"/>
    <x v="2"/>
    <s v="Aguardando MCE."/>
    <m/>
    <s v="Operations - FSO"/>
    <s v="Essentia"/>
    <s v="Essentia"/>
    <n v="0"/>
    <n v="0"/>
  </r>
  <r>
    <x v="0"/>
    <s v="JOA11-14"/>
    <d v="2024-10-01T00:00:00"/>
    <d v="2024-11-26T00:00:00"/>
    <x v="1"/>
    <x v="0"/>
    <d v="2024-11-22T00:00:00"/>
    <s v="Troca de Gerador. "/>
    <x v="2"/>
    <x v="3"/>
    <s v="Aguardando MCE."/>
    <m/>
    <s v="Operations - FSO"/>
    <s v="Essentia"/>
    <s v="Essentia"/>
    <n v="0"/>
    <n v="0"/>
  </r>
  <r>
    <x v="3"/>
    <s v="AUG05-12"/>
    <d v="2024-11-05T00:00:00"/>
    <d v="2024-11-28T00:00:00"/>
    <x v="0"/>
    <x v="0"/>
    <d v="2024-11-29T00:00:00"/>
    <s v="Pitch controller colective fault. "/>
    <x v="5"/>
    <x v="0"/>
    <s v="Troubleshooting da falha. Motivos de força maior impactaram no atendimento da turbina. Já foi tentando várias soluções e não deram certo. Foi feita a troca do cabo de controle da axis cabinet. Está sendo feita a verificação do sistema de freios das axis hoje (21/11). SS aberta (18/11) solicitando suporte da Engenharia. Sendo realizada a formatação e upload do parâmetros na UCSA. Troca dos componentes não teriam sido necessárias se tivéssemos os privilégios master de acesso ao SCADA."/>
    <m/>
    <s v="Operations - O&amp;M / Engenharia"/>
    <s v="Warton e Anderson"/>
    <s v="Invenergy"/>
    <n v="552"/>
    <n v="9.9412171507607186E-4"/>
  </r>
  <r>
    <x v="0"/>
    <s v="JOA12-17"/>
    <d v="2024-10-02T00:00:00"/>
    <d v="2024-11-29T00:00:00"/>
    <x v="0"/>
    <x v="0"/>
    <d v="2024-11-29T00:00:00"/>
    <s v="Reparo executado no wye ring do gerador, porém, apresentou falha de fuga de corrente no terra. "/>
    <x v="2"/>
    <x v="1"/>
    <s v="Trenders foram coletados e analisados. Foram realizadas novas medições, as quais não mostraram anomalias, então o gerador foi reaberto e identificado danos no wye ring. Reparo já está sendo feito (solda do ponto, limpeza entre espiras e reparo do isolamento. "/>
    <m/>
    <s v="Operations - O&amp;M  "/>
    <s v="Victor, Warton e Anderson"/>
    <s v="Essentia"/>
    <n v="0"/>
    <n v="0"/>
  </r>
  <r>
    <x v="0"/>
    <s v="JOA12-04"/>
    <d v="2024-10-01T00:00:00"/>
    <d v="2024-12-06T00:00:00"/>
    <x v="0"/>
    <x v="0"/>
    <d v="2024-11-29T00:00:00"/>
    <s v="Troca de Gerador. Aguardando MCE. "/>
    <x v="2"/>
    <x v="3"/>
    <s v="Aguardando MCE."/>
    <m/>
    <s v="Operations - FSO"/>
    <s v="Essentia"/>
    <s v="Essentia"/>
    <n v="0"/>
    <n v="0"/>
  </r>
  <r>
    <x v="2"/>
    <s v="JOA07-06"/>
    <d v="2024-10-01T00:00:00"/>
    <d v="2024-12-11T00:00:00"/>
    <x v="0"/>
    <x v="0"/>
    <d v="2024-12-06T00:00:00"/>
    <s v="Danos no gerador, curto no wye ring. "/>
    <x v="2"/>
    <x v="3"/>
    <s v="Reparo do wye ring sendo executado. Previsão de finalização 06/12. Alertas de raios impactando a execução do reparo. Reparo só iniciado com a chegada no material no almoxarifado (conjunto de barras das fases do rotor). Reparo iniciou no dia 02/12 após a finalização de outro reparo em outra turbina. "/>
    <m/>
    <s v="Operations - O&amp;M"/>
    <s v="Essentia"/>
    <s v="Essentia"/>
    <n v="0"/>
    <n v="0"/>
  </r>
  <r>
    <x v="1"/>
    <s v="AB06-08"/>
    <d v="2024-11-11T00:00:00"/>
    <d v="2024-12-11T00:00:00"/>
    <x v="0"/>
    <x v="0"/>
    <d v="2024-12-11T00:00:00"/>
    <s v="Danos no gerador, curto no wye ring. "/>
    <x v="2"/>
    <x v="1"/>
    <s v="Executando reparo do wye ring."/>
    <m/>
    <s v="Operations - O&amp;M"/>
    <s v="Marcelo Lins"/>
    <s v="Essentia"/>
    <n v="0"/>
    <n v="0"/>
  </r>
  <r>
    <x v="0"/>
    <s v="JOA12-16"/>
    <d v="2024-11-18T00:00:00"/>
    <d v="2024-12-19T00:00:00"/>
    <x v="0"/>
    <x v="0"/>
    <d v="2024-12-20T00:00:00"/>
    <s v="Gerador com curto de corrente para o terra. Aguardando MCE. "/>
    <x v="2"/>
    <x v="2"/>
    <s v="Aguardando MCE. Identificar a causa raiz da falha (se falha de rolamento ou não). "/>
    <m/>
    <s v="Operations - FSO / Engenharia"/>
    <m/>
    <s v="Invenergy"/>
    <n v="744"/>
    <n v="3.7284262433098802E-4"/>
  </r>
  <r>
    <x v="0"/>
    <s v="JOA12-11"/>
    <d v="2024-10-30T00:00:00"/>
    <d v="2024-12-20T00:00:00"/>
    <x v="0"/>
    <x v="0"/>
    <d v="2024-12-20T00:00:00"/>
    <s v="MCE concluída. Corretiva pendente"/>
    <x v="6"/>
    <x v="0"/>
    <s v="Corretiva sendo executada de calibração de pá. "/>
    <m/>
    <s v="Operations - O&amp;M"/>
    <s v="Samir e FSO/Essentia"/>
    <s v="Invenergy"/>
    <n v="1224"/>
    <n v="6.1338625293162546E-4"/>
  </r>
  <r>
    <x v="2"/>
    <s v="JOA05-05"/>
    <d v="2024-10-16T00:00:00"/>
    <d v="2024-12-26T00:00:00"/>
    <x v="0"/>
    <x v="0"/>
    <d v="2024-12-26T00:00:00"/>
    <s v="MCE concluída. Corretivas pendentes."/>
    <x v="7"/>
    <x v="1"/>
    <s v="Corretiva sendo executada hoje. Houveram danos nos IGBTs de linha e de rotor, falha na unidade hidráulica de freio,  ligação do cabo de fase estava para o terra, motores de yaw fora da posição e baixo nível de óleo na gearbox. "/>
    <m/>
    <s v="Operations - O&amp;M"/>
    <s v="Samir e FSO"/>
    <s v="Invenergy"/>
    <n v="1704"/>
    <n v="9.8201936376210225E-4"/>
  </r>
  <r>
    <x v="0"/>
    <s v="JOA11-12"/>
    <d v="2024-12-17T00:00:00"/>
    <d v="2025-01-02T00:00:00"/>
    <x v="0"/>
    <x v="0"/>
    <d v="2025-01-03T00:00:00"/>
    <s v="Dano no wye ring. "/>
    <x v="2"/>
    <x v="1"/>
    <s v="Reparo do wye ring sendo executado.  "/>
    <m/>
    <s v="Essentia"/>
    <s v="Essentia"/>
    <s v="Essentia"/>
    <n v="0"/>
    <n v="0"/>
  </r>
  <r>
    <x v="0"/>
    <s v="JOA10-04"/>
    <d v="2024-12-07T00:00:00"/>
    <d v="2025-01-08T00:00:00"/>
    <x v="1"/>
    <x v="0"/>
    <d v="2025-01-03T00:00:00"/>
    <s v="Danos no gerador, curto no wye ring e cabo de releed. "/>
    <x v="2"/>
    <x v="1"/>
    <s v="Reparo do gerador finalizado. Corretiva em execução. Surge test já realizado. Cabos sendo desinvertivos e irá retornar 03/01."/>
    <m/>
    <s v="Operations - O&amp;M"/>
    <m/>
    <s v="Essentia"/>
    <n v="0"/>
    <n v="0"/>
  </r>
  <r>
    <x v="0"/>
    <s v="JOA11-11"/>
    <d v="2024-12-26T00:00:00"/>
    <d v="2025-01-08T00:00:00"/>
    <x v="0"/>
    <x v="0"/>
    <m/>
    <s v="Falhas nas baterias de pitch devido à danos no rolamento."/>
    <x v="6"/>
    <x v="1"/>
    <s v="Emissão de disposição da engenharia. Aguardando atividade em campo. Atividade executada e trocado o freio do motor de pitch. "/>
    <m/>
    <s v="Engenharia"/>
    <m/>
    <s v="Invenergy"/>
    <n v="312"/>
    <n v="1.5635335859041433E-4"/>
  </r>
  <r>
    <x v="2"/>
    <s v="JOA04-03"/>
    <d v="2025-01-02T00:00:00"/>
    <d v="2025-01-09T00:00:00"/>
    <x v="0"/>
    <x v="0"/>
    <m/>
    <s v="2 Yaw drives danificados (Nanjing). "/>
    <x v="8"/>
    <x v="1"/>
    <s v="Reparo sendo feito. Foi danificado o 1º e o 2º estágio dos yaw drives (um dente quebrado em cada estágio)."/>
    <m/>
    <s v="Operations - O&amp;M"/>
    <m/>
    <s v="Invenergy"/>
    <n v="168"/>
    <n v="9.6818810511756567E-5"/>
  </r>
  <r>
    <x v="3"/>
    <s v="AUG05-14"/>
    <d v="2025-01-21T00:00:00"/>
    <d v="2025-01-28T00:00:00"/>
    <x v="0"/>
    <x v="0"/>
    <m/>
    <s v="Falha no conversor. "/>
    <x v="2"/>
    <x v="1"/>
    <s v="Falha no conversor. Foi trocado a WECA, porém, a turbina não startou. Time desconfiando de dano no gerador. Troubleshooting da falha pendente. Atendimento está sendo impactado pela incidência frequente de L2. "/>
    <m/>
    <s v="Operations - O&amp;M"/>
    <m/>
    <s v="Invenergy"/>
    <n v="168"/>
    <n v="3.0255878284923929E-4"/>
  </r>
  <r>
    <x v="0"/>
    <s v="JOA15-16"/>
    <d v="2025-01-07T00:00:00"/>
    <d v="2025-01-30T00:00:00"/>
    <x v="0"/>
    <x v="0"/>
    <m/>
    <s v="Dano no pitch bearing. Realizando MCE."/>
    <x v="6"/>
    <x v="2"/>
    <s v="Parada para troca do Pitch Bearing. Pós work em andamento. "/>
    <m/>
    <s v="Operations - FSO"/>
    <m/>
    <s v="Invenergy"/>
    <n v="552"/>
    <n v="2.7662517289073305E-4"/>
  </r>
  <r>
    <x v="0"/>
    <s v="JOA15-01"/>
    <d v="2024-11-22T00:00:00"/>
    <d v="2025-02-05T00:00:00"/>
    <x v="0"/>
    <x v="0"/>
    <m/>
    <s v="Danos na gearbox. Aguardando MCE."/>
    <x v="4"/>
    <x v="2"/>
    <s v="Engenharia enviou a disposição solicitando a parada da turbina e troca da gearbox. "/>
    <m/>
    <s v="Operations - FSO"/>
    <m/>
    <s v="Invenergy"/>
    <n v="1800"/>
    <n v="9.0203860725239038E-4"/>
  </r>
  <r>
    <x v="1"/>
    <s v="AB08-05"/>
    <d v="2025-01-15T00:00:00"/>
    <d v="2025-02-12T00:00:00"/>
    <x v="0"/>
    <x v="0"/>
    <d v="2025-02-20T00:00:00"/>
    <s v="Incidência de raio na blade. "/>
    <x v="9"/>
    <x v="1"/>
    <s v="Reparo já foi concluído. Porém, time da Essentia segue trabalhando nela para voltar a operação. "/>
    <m/>
    <s v="Essentia"/>
    <m/>
    <s v="Essentia"/>
    <n v="0"/>
    <n v="0"/>
  </r>
  <r>
    <x v="0"/>
    <s v="JOA15-15"/>
    <d v="2024-12-04T00:00:00"/>
    <d v="2025-02-13T00:00:00"/>
    <x v="0"/>
    <x v="0"/>
    <m/>
    <s v="2 Yaw drives danificados. "/>
    <x v="8"/>
    <x v="1"/>
    <s v="Aguardando disponibilidade do yaw drive. Invenergy em contato com a DriveMec para alinhamento da melhor estratégia (gostaríamos de só fornecimento do porta planetas)._x000a_13/02: Previsão de retorno fim do dia de hoje. Foi instalado o 4º estágio nos dois 2 yaw drives danificados. 1 deles advindo da 16-06 e outro estava em estoque. "/>
    <m/>
    <s v="Essentia"/>
    <m/>
    <s v="Essentia"/>
    <n v="0"/>
    <n v="0"/>
  </r>
  <r>
    <x v="0"/>
    <s v="JOA16-09"/>
    <d v="2024-11-30T00:00:00"/>
    <d v="2025-02-14T00:00:00"/>
    <x v="0"/>
    <x v="0"/>
    <m/>
    <s v="Danos na gearbox. Aguardando MCE."/>
    <x v="4"/>
    <x v="2"/>
    <s v="Aguardando MCE. MCE em andamento - atividade 80% concluída."/>
    <m/>
    <s v="Operations - FSO"/>
    <m/>
    <s v="Invenergy"/>
    <n v="1824"/>
    <n v="9.1406578868242225E-4"/>
  </r>
  <r>
    <x v="0"/>
    <s v="JOA15-12"/>
    <d v="2024-10-01T00:00:00"/>
    <d v="2025-02-20T00:00:00"/>
    <x v="0"/>
    <x v="0"/>
    <m/>
    <s v="Danos na gearbox e pitch bearing. Pendente MCE."/>
    <x v="6"/>
    <x v="2"/>
    <s v="Atividade MCE concluída. Necessitará de corretiva após a finalização da troca do PB. Previsão de retorno hoje (20/02)."/>
    <m/>
    <s v="Operations - FSO"/>
    <s v="Essentia"/>
    <s v="Essentia"/>
    <n v="0"/>
    <n v="0"/>
  </r>
  <r>
    <x v="0"/>
    <s v="JOA12-12"/>
    <d v="2025-01-03T00:00:00"/>
    <d v="2025-02-20T00:00:00"/>
    <x v="0"/>
    <x v="0"/>
    <m/>
    <s v="Gearbox colapsada. Aguardando MCE. "/>
    <x v="4"/>
    <x v="2"/>
    <s v="Aguardando MCE. 90% de evolução. Pendente corretiva. "/>
    <m/>
    <s v="Operations - FSO"/>
    <s v="Invenergy"/>
    <s v="Invenergy"/>
    <n v="1152"/>
    <n v="5.7730470864152984E-4"/>
  </r>
  <r>
    <x v="0"/>
    <s v="JOA12-08"/>
    <d v="2024-10-01T00:00:00"/>
    <d v="2025-02-26T00:00:00"/>
    <x v="0"/>
    <x v="0"/>
    <m/>
    <s v="Reparo de pá feito. Aguardando MCE."/>
    <x v="9"/>
    <x v="2"/>
    <s v="Aguardando MCE. Reparo de blade concluído. Troca de pitch bearing  concluída. Pós work em andamento. Será necessário passar por preventiva e por inspeções específicas para RTS pós longo tempo parada. Retornou a operação ontem 26/02. Será necessário inspeções a cada 3 dias (recomendação de engenharia)."/>
    <m/>
    <s v="Operations - FSO"/>
    <s v="Essentia"/>
    <s v="Essentia"/>
    <n v="0"/>
    <n v="0"/>
  </r>
  <r>
    <x v="0"/>
    <s v="JOA15-10"/>
    <d v="2025-02-22T00:00:00"/>
    <d v="2025-02-28T00:00:00"/>
    <x v="0"/>
    <x v="0"/>
    <m/>
    <s v="Vazamento de óleo da gearbox "/>
    <x v="4"/>
    <x v="1"/>
    <s v="Máquina parou no final de semana por vazamento de óleo de 70% da gearbox. Sendo feito o atendimento à turbina para flushing e troca para o Amsoil. "/>
    <m/>
    <s v="Operations - O&amp;M"/>
    <m/>
    <s v="Invenergy"/>
    <n v="144"/>
    <n v="7.216308858019123E-5"/>
  </r>
  <r>
    <x v="3"/>
    <s v="AUG03-15"/>
    <d v="2025-02-26T00:00:00"/>
    <d v="2025-03-01T00:00:00"/>
    <x v="0"/>
    <x v="0"/>
    <m/>
    <s v="Vazamento de óleo da gearbox "/>
    <x v="4"/>
    <x v="1"/>
    <s v="Máquina em atendimento, parou durante a madrugada. Troubleshooting. Sendo analisado se é possível a &quot;transfusão do óleo&quot;, visto que não temos óleo Castrol em estoque. "/>
    <m/>
    <s v="Operations - O&amp;M / Engenharia"/>
    <m/>
    <s v="Invenergy"/>
    <n v="72"/>
    <n v="1.2966804979253112E-4"/>
  </r>
  <r>
    <x v="0"/>
    <s v="JOA11-07"/>
    <d v="2025-01-29T00:00:00"/>
    <d v="2025-03-05T00:00:00"/>
    <x v="0"/>
    <x v="0"/>
    <m/>
    <s v="Danos da gearbox. Aguardando MCE. "/>
    <x v="4"/>
    <x v="2"/>
    <s v="Aguardando MCE. 80% de evolução. "/>
    <m/>
    <s v="Operations - FSO"/>
    <m/>
    <s v="Essentia"/>
    <n v="0"/>
    <n v="0"/>
  </r>
  <r>
    <x v="0"/>
    <s v="JOA15-01"/>
    <d v="2025-02-26T00:00:00"/>
    <d v="2025-03-06T00:00:00"/>
    <x v="0"/>
    <x v="0"/>
    <m/>
    <s v="Colapso do acoplamento flexível"/>
    <x v="10"/>
    <x v="1"/>
    <s v="Troca do acoplamento e slip de comunicação. Engenharia irá analisar se será necessário uma investigação mais profunda. 06/03: Troca do acoplamento completo quase finalizada. Previsão de retorno 06/03."/>
    <s v="-"/>
    <s v="Operations - O&amp;M / Engenharia"/>
    <m/>
    <s v="Invenergy"/>
    <n v="192"/>
    <n v="9.6217451440254974E-5"/>
  </r>
  <r>
    <x v="2"/>
    <s v="JOA01-13"/>
    <d v="2025-02-20T00:00:00"/>
    <d v="2025-03-11T00:00:00"/>
    <x v="0"/>
    <x v="0"/>
    <m/>
    <s v="MCE programado. Pitch Bearing. Aguardando MCE"/>
    <x v="6"/>
    <x v="2"/>
    <s v="80% de evolução. "/>
    <n v="0.8"/>
    <s v="Operations - FSO"/>
    <m/>
    <s v="Essentia"/>
    <n v="0"/>
    <n v="0"/>
  </r>
  <r>
    <x v="0"/>
    <s v="JOA09-08"/>
    <d v="2024-11-16T00:00:00"/>
    <d v="2025-03-18T00:00:00"/>
    <x v="0"/>
    <x v="0"/>
    <d v="2025-04-05T00:00:00"/>
    <s v="Gearbox colapsada. Aguardando MCE. "/>
    <x v="4"/>
    <x v="2"/>
    <s v="Boroscopia no main bearing sendo realizada para verificar se temos danos adicionais. Aguardando MCE."/>
    <n v="1"/>
    <s v="Operations - FSO"/>
    <m/>
    <s v="Essentia"/>
    <n v="0"/>
    <n v="0"/>
  </r>
  <r>
    <x v="2"/>
    <s v="JOA04-01"/>
    <d v="2025-02-28T00:00:00"/>
    <d v="2025-03-18T00:00:00"/>
    <x v="0"/>
    <x v="0"/>
    <m/>
    <s v="Turbina com ramal baixo para troca do rolamento do pitch"/>
    <x v="6"/>
    <x v="2"/>
    <m/>
    <n v="0"/>
    <s v="Operations - FSO"/>
    <s v="Essentia"/>
    <n v="0"/>
    <n v="0"/>
    <n v="61.571428571428569"/>
  </r>
  <r>
    <x v="0"/>
    <s v="JOA16-02"/>
    <d v="2025-03-05T00:00:00"/>
    <d v="2025-03-21T00:00:00"/>
    <x v="0"/>
    <x v="0"/>
    <d v="2025-03-21T00:00:00"/>
    <s v="Colapso da Gearbox"/>
    <x v="4"/>
    <x v="2"/>
    <s v="Aguardando MCE. Pós-work sendo realizado."/>
    <n v="1"/>
    <s v="Operations - FSO"/>
    <m/>
    <s v="Invenergy"/>
    <n v="384"/>
    <n v="1.9243490288050995E-4"/>
  </r>
  <r>
    <x v="2"/>
    <s v="JOA04-02"/>
    <d v="2025-03-12T00:00:00"/>
    <d v="2025-03-25T00:00:00"/>
    <x v="0"/>
    <x v="0"/>
    <s v="?"/>
    <s v="Pitch bearing crack"/>
    <x v="6"/>
    <x v="2"/>
    <s v="Troca do pitch bearing sendo realizada. "/>
    <n v="1"/>
    <s v="Operations - FSO"/>
    <m/>
    <s v="Essentia"/>
    <n v="0"/>
    <n v="0"/>
  </r>
  <r>
    <x v="0"/>
    <s v="JOA16-07"/>
    <d v="2025-02-10T00:00:00"/>
    <d v="2025-03-27T00:00:00"/>
    <x v="0"/>
    <x v="0"/>
    <m/>
    <s v="Dano no HSS. "/>
    <x v="4"/>
    <x v="1"/>
    <s v="Caso sendo analisado pela engenharia, para possível desenvolvimento de reparo uptower. FlexWind inicia as atividades dia 17/03._x000a_20/03: Reparo em andamento. Houve impacto na atividade devido a incidência de raios. _x000a_28/03: Turbina entrou em operação ontem. "/>
    <n v="1"/>
    <s v="Operations - FSO"/>
    <m/>
    <s v="Invenergy"/>
    <n v="1080"/>
    <n v="5.4122316435143423E-4"/>
  </r>
  <r>
    <x v="0"/>
    <s v="JOA15-07"/>
    <d v="2025-03-07T00:00:00"/>
    <d v="2025-03-31T00:00:00"/>
    <x v="0"/>
    <x v="0"/>
    <s v="?"/>
    <s v="Rompimento da Carcaça da Gearbox"/>
    <x v="4"/>
    <x v="2"/>
    <s v="Troca da gearbox sendo realizada por MCE. _x000a_28/03: Pós work sendo realizado. "/>
    <n v="1"/>
    <s v="Operations - FSO"/>
    <m/>
    <s v="Essentia"/>
    <n v="0"/>
    <n v="0"/>
  </r>
  <r>
    <x v="2"/>
    <s v="JOA04-03"/>
    <d v="2025-03-18T00:00:00"/>
    <d v="2025-04-01T00:00:00"/>
    <x v="0"/>
    <x v="0"/>
    <s v="?"/>
    <s v="Pitch bearing crack"/>
    <x v="6"/>
    <x v="2"/>
    <s v="Troca do pitch bearing sendo realizada. "/>
    <n v="1"/>
    <s v="Operations - FSO"/>
    <s v="Essentia"/>
    <s v="Essentia"/>
    <n v="0"/>
    <n v="0"/>
  </r>
  <r>
    <x v="2"/>
    <s v="JOA04-04"/>
    <d v="2025-03-22T00:00:00"/>
    <d v="2025-04-10T00:00:00"/>
    <x v="0"/>
    <x v="0"/>
    <d v="2025-04-10T00:00:00"/>
    <s v="Pitch bearing crack"/>
    <x v="6"/>
    <x v="2"/>
    <s v="Foi identificado duas trincas na mesma axis (2). Portanto, foi solicitada a parada da máquina e será realizada a troca do pitch bearing após a 04-03._x000a_04/03: Troca em andamento. _x000a_10/04: Pós work em andamento. "/>
    <n v="1"/>
    <s v="Operations - FSO"/>
    <s v="Essentia"/>
    <s v="Essentia"/>
    <n v="0"/>
    <n v="0"/>
  </r>
  <r>
    <x v="3"/>
    <s v="AUG05-13"/>
    <d v="2024-11-11T00:00:00"/>
    <d v="2025-04-11T00:00:00"/>
    <x v="0"/>
    <x v="0"/>
    <d v="2025-04-08T00:00:00"/>
    <s v="Danos na gearbox. Aguardando MCE. "/>
    <x v="4"/>
    <x v="2"/>
    <s v="Boroscopia foi realizada e disposição da engenharia foi de manter a turbina parada e priorizada para MCE. Aguardando MCE.  _x000a_03/04: Finalização do serviço e início do pós-work para o dia 04/04. _x000a_10/04: MCE finalizado em 09/04. Porém, máquina encontra-se em corretiva, falha de IGBT. Atendimento sendo impactado por L2. "/>
    <n v="1"/>
    <s v="Operations - FSO"/>
    <s v="Warton, Anderson e Gustavo"/>
    <s v="Invenergy"/>
    <n v="3624"/>
    <n v="6.5266251728907333E-3"/>
  </r>
  <r>
    <x v="0"/>
    <s v="JOA16-16"/>
    <d v="2025-02-24T00:00:00"/>
    <d v="2025-04-16T00:00:00"/>
    <x v="0"/>
    <x v="0"/>
    <s v="?"/>
    <s v="3 Yaw drives danificados."/>
    <x v="8"/>
    <x v="2"/>
    <s v="Aguardando MCE e uptower repair para extração do yaw drive. 3 yaw drives bonfiglioli e 1 nanjing._x000a_03/04: Previsão de iniciar a atividade após a finalização das trocas dos pitch bearings (JOA 04-04)._x000a_10/04: Troca em andamento. 30%. Planejamento para finalizar as trocas hoje (10/04)."/>
    <n v="1"/>
    <s v="Operations - FSO / O&amp;M"/>
    <m/>
    <s v="Invenergy"/>
    <n v="1224"/>
    <n v="6.1338625293162546E-4"/>
  </r>
  <r>
    <x v="1"/>
    <s v="AB07-11"/>
    <d v="2024-11-05T00:00:00"/>
    <d v="2025-04-17T00:00:00"/>
    <x v="0"/>
    <x v="0"/>
    <d v="2025-04-15T00:00:00"/>
    <s v="Danos no gerador, curto no wye ring. Aguardando MCE. "/>
    <x v="2"/>
    <x v="2"/>
    <s v="Tentativa de Reparo do gerador foi realizada, porém, o reparo exigirá um esforço maior, portanto, foi acordado que terminariamos o reparo da 06-08 primeiro e depois voltaremos para a 07-11. Foi feita uma tentativa de reparo, porém, sem sucesso. Aguardando MCE. Será feito com o Liftra. Técnicos do Liftra já estão no site, seguimos aguardando a chegada dos equipamentos. _x000a_28/03: Foi realizada a montagem do light weight crane. Time está iniciando a montagem da base._x000a_03/04: Técnicos Invenergy em avaliação e certificação pelo time da Liftra. Previsão de inicar as atividades semana que vem.  _x000a_10/04: Gerador já foi trocado e o Liftra já está em processo de descida. Troca foi realizada no dia 08/04._x000a_17/04: Retornou hoje limitada em 500kW. 24h para retornar em full power."/>
    <n v="0.8"/>
    <s v="Operations - FSO"/>
    <s v="Marcelo Lins"/>
    <s v="Essentia"/>
    <n v="0"/>
    <n v="0"/>
  </r>
  <r>
    <x v="0"/>
    <s v="JOA12-17"/>
    <d v="2025-04-03T00:00:00"/>
    <d v="2025-04-22T00:00:00"/>
    <x v="0"/>
    <x v="0"/>
    <d v="2025-04-23T00:00:00"/>
    <s v="Fuga de corrente no gerador para o terra. "/>
    <x v="2"/>
    <x v="0"/>
    <s v="Turbina parou hoje (03/04) por conta de fuga de corrente para o terra, time irá atender para realizar o troubleshooting. Turbina já teve histórico de reparo do wye ring. _x000a_10/04: Sendo realizado o reparo emergencial do wye ring. É necessário um reparo no barramento do gerador, que faz necessário a remoção do wye ring. Após a mobilização da data engenharia será feito o retrofit do wye ring. _x000a_17/04: Muito impacto de L2 e diversas corretivas devido a parada do grid. "/>
    <s v="-"/>
    <s v="Operation - O&amp;M"/>
    <m/>
    <s v="Invenergy"/>
    <n v="456"/>
    <n v="2.2851644717060556E-4"/>
  </r>
  <r>
    <x v="2"/>
    <s v="JOA05-08"/>
    <d v="2025-02-20T00:00:00"/>
    <d v="2025-04-25T00:00:00"/>
    <x v="0"/>
    <x v="0"/>
    <d v="2025-04-24T00:00:00"/>
    <s v="Dano no HSS. "/>
    <x v="4"/>
    <x v="1"/>
    <s v="2 kits de HSS chegaram no dia 17/03. Aguardando o término do reparo da JOA 16-07 para iniciar o reparo na 05-08. _x000a_28/03: Flex Wind finalizou na 16-07, porém, tiveram uma outra demanda que tiveram que atender em outro parque. Estamos negociando o prazo para atendimento da 05-08. Flex Wind foi contratada devido à falta de ferramentas para executar a atividade. FSO está se preparando para conseguir executar a atividade. _x000a_03/04: Programação de início da atividade para o dia 09/04. FSO + time Chapada._x000a_10/04: Troca completa do HSS em andamento. Foi identificado que o HSIS já havia sido trocado anteriormente. Será necessário a extração de um parafuso quebrado (tampa da gearbox). _x000a_24/04: Previsão de retorno hoje. "/>
    <n v="1"/>
    <s v="Operations - FSO"/>
    <m/>
    <s v="Invenergy"/>
    <n v="1536"/>
    <n v="8.8520055325034576E-4"/>
  </r>
  <r>
    <x v="0"/>
    <s v="JOA16-10"/>
    <d v="2025-04-14T00:00:00"/>
    <d v="2025-05-01T00:00:00"/>
    <x v="0"/>
    <x v="0"/>
    <d v="2025-04-25T00:00:00"/>
    <s v="Reparo de Blade"/>
    <x v="9"/>
    <x v="4"/>
    <s v="Essentia executando reparo"/>
    <s v="-"/>
    <s v="Essentia"/>
    <m/>
    <s v="Essentia"/>
    <n v="0"/>
    <n v="0"/>
  </r>
  <r>
    <x v="2"/>
    <s v="JOA10-09"/>
    <d v="2025-04-16T00:00:00"/>
    <d v="2025-05-01T00:00:00"/>
    <x v="0"/>
    <x v="0"/>
    <d v="2025-05-01T00:00:00"/>
    <s v="Pitch bearing internal damage."/>
    <x v="6"/>
    <x v="2"/>
    <s v="Sendo executada a troca do pitch bearing._x000a_01/05: Troca sendo finalizada. "/>
    <n v="1"/>
    <s v="Operations - FSO"/>
    <m/>
    <s v="Essentia"/>
    <n v="0"/>
    <n v="0"/>
  </r>
  <r>
    <x v="2"/>
    <s v="JOA01-13"/>
    <d v="2025-04-16T00:00:00"/>
    <d v="2025-05-09T00:00:00"/>
    <x v="0"/>
    <x v="0"/>
    <d v="2025-05-09T00:00:00"/>
    <s v="Reparo de Blade"/>
    <x v="9"/>
    <x v="4"/>
    <s v="Essentia executando reparo"/>
    <s v="-"/>
    <s v="Essentia"/>
    <m/>
    <s v="Essentia"/>
    <n v="0"/>
    <n v="0"/>
  </r>
  <r>
    <x v="2"/>
    <s v="JOA16-01"/>
    <d v="2025-04-28T00:00:00"/>
    <d v="2025-05-09T00:00:00"/>
    <x v="0"/>
    <x v="0"/>
    <d v="2025-05-09T00:00:00"/>
    <s v="Reparo de Blade"/>
    <x v="9"/>
    <x v="4"/>
    <s v="Essentia executando reparo"/>
    <s v="-"/>
    <s v="Essentia"/>
    <s v="Essentia"/>
    <n v="0"/>
    <n v="0"/>
    <n v="0"/>
  </r>
  <r>
    <x v="2"/>
    <s v="JOA05-16"/>
    <d v="2025-05-06T00:00:00"/>
    <d v="2025-05-09T00:00:00"/>
    <x v="0"/>
    <x v="0"/>
    <d v="2025-05-16T00:00:00"/>
    <s v="Reparo de Blade"/>
    <x v="9"/>
    <x v="4"/>
    <s v="Essentia executando reparo"/>
    <s v="-"/>
    <s v="Essentia"/>
    <n v="0"/>
    <n v="0"/>
    <n v="0"/>
    <n v="0"/>
  </r>
  <r>
    <x v="2"/>
    <s v="JOA15-07"/>
    <d v="2025-05-05T00:00:00"/>
    <d v="2025-05-12T00:00:00"/>
    <x v="0"/>
    <x v="0"/>
    <d v="2025-05-16T00:00:00"/>
    <s v="Reparo de Blade"/>
    <x v="9"/>
    <x v="4"/>
    <s v="Essentia executando reparo"/>
    <s v="-"/>
    <s v="Essentia"/>
    <n v="0"/>
    <n v="64"/>
    <n v="0"/>
    <n v="0"/>
  </r>
  <r>
    <x v="2"/>
    <s v="JOA07-09"/>
    <d v="2025-04-07T00:00:00"/>
    <d v="2025-05-13T00:00:00"/>
    <x v="0"/>
    <x v="0"/>
    <d v="2025-05-09T00:00:00"/>
    <s v="Trinca na pista interna no rolamento planetário"/>
    <x v="4"/>
    <x v="2"/>
    <s v="Aguardando MCE. "/>
    <n v="1"/>
    <s v="Operations - FSO"/>
    <m/>
    <s v="Essentia"/>
    <n v="0"/>
    <n v="0"/>
  </r>
  <r>
    <x v="3"/>
    <s v="AUG04-16"/>
    <d v="2025-04-15T00:00:00"/>
    <d v="2025-05-13T00:00:00"/>
    <x v="0"/>
    <x v="0"/>
    <m/>
    <s v="Possível dano no gerador. "/>
    <x v="2"/>
    <x v="0"/>
    <s v="17/04: Aguardando time finalizar trabalho da JOA 12-17 para atendimento e troubleshooting. _x000a_24/04: Gerador foi aberto ontem. Foi identificado dano no wye ring. Aguardando disposição da engenharia. Reparo com a Data Engenharia. _x000a_15/05: Reparo realizado com Data engenharia e máquina em operação."/>
    <s v="-"/>
    <s v="Engenharia"/>
    <s v="Invenergy"/>
    <s v="Invenergy"/>
    <n v="672"/>
    <n v="1.2102351313969572E-3"/>
  </r>
  <r>
    <x v="1"/>
    <s v="AB06-08"/>
    <d v="2024-12-26T00:00:00"/>
    <d v="2025-05-14T00:00:00"/>
    <x v="0"/>
    <x v="0"/>
    <d v="2025-05-16T00:00:00"/>
    <s v="Dano no rolamento do gerador e no assento do mesmo. "/>
    <x v="2"/>
    <x v="2"/>
    <s v="Aguardando definição de como seguiremos com o reparo do eixo do gerador. Previsão de início das atividades dia 27/03 - confecção do molde. Técnicos estão finalizando treinamentos._x000a_28/03: Hita já foi ao site para fazer o levantamento das medidas do eixo para a confecção dos moldes. Previsão para retorno ao site no dia 09/04._x000a_03/04: Sem novos updates. EHS avaliando documentação. Previsão para início das atividades em 09/04._x000a_10/04: Hita já fez o reparo utilizando o molde e agora estamos no passo de avaliação da qualidade do trabalho executado em conjunto com a  Engenharia Invenergy._x000a_17/04: Reparo realizado pela Hita foi recusado e foi solicitada a troca do gerador. Com o gerador em solo será verificado se há empeno do eixo. Gerador removido será enviado para reparo. _x000a_24/04: Será iniciada a montagem do Liftra amanhã"/>
    <n v="0"/>
    <s v="Operations - FSO / Engenharia"/>
    <m/>
    <s v="Essentia"/>
    <n v="0"/>
    <n v="0"/>
  </r>
  <r>
    <x v="2"/>
    <s v="JOA05-03"/>
    <d v="2025-03-24T00:00:00"/>
    <d v="2025-05-30T00:00:00"/>
    <x v="0"/>
    <x v="0"/>
    <d v="2025-06-06T00:00:00"/>
    <s v="Reparo de Blade"/>
    <x v="9"/>
    <x v="4"/>
    <s v="Essentia executando reparo"/>
    <s v="-"/>
    <s v="Essentia"/>
    <m/>
    <s v="Essentia"/>
    <n v="0"/>
    <n v="0"/>
  </r>
  <r>
    <x v="0"/>
    <s v="JOA16-06"/>
    <d v="2024-12-28T00:00:00"/>
    <d v="2025-05-31T00:00:00"/>
    <x v="0"/>
    <x v="0"/>
    <d v="2025-05-30T00:00:00"/>
    <s v="Fuga de corrente pro terra no gerador. Aguardando MCE."/>
    <x v="2"/>
    <x v="2"/>
    <s v="Gerador danificado. Exigirá troca completa. Aguardando MCE. 0% de evolução. Está pendente um 4º estágio do yaw drive bonfiglioli, visto que este foi canibalizado para aplicação na JOA 15-15."/>
    <n v="1"/>
    <s v="Operations - FSO"/>
    <m/>
    <s v="Invenergy"/>
    <n v="3696"/>
    <n v="2.1300138312586444E-3"/>
  </r>
  <r>
    <x v="1"/>
    <s v="AB06-11"/>
    <d v="2025-05-21T00:00:00"/>
    <d v="2025-06-08T00:00:00"/>
    <x v="0"/>
    <x v="0"/>
    <d v="2025-06-07T00:00:00"/>
    <s v="Reparo de blade sendo executado pelo time Invenergy. "/>
    <x v="9"/>
    <x v="2"/>
    <s v="Reparo de blade. "/>
    <m/>
    <s v="Operations - FSO"/>
    <m/>
    <s v="Invenergy"/>
    <n v="432"/>
    <m/>
  </r>
  <r>
    <x v="2"/>
    <s v="JOA01-17"/>
    <d v="2025-05-19T00:00:00"/>
    <d v="2025-06-13T00:00:00"/>
    <x v="0"/>
    <x v="0"/>
    <d v="2025-06-13T00:00:00"/>
    <s v="Reparo de Blade"/>
    <x v="9"/>
    <x v="4"/>
    <s v="Essentia executando reparo"/>
    <s v="-"/>
    <s v="Essentia"/>
    <s v="Essentia"/>
    <m/>
    <n v="0"/>
    <n v="0"/>
  </r>
  <r>
    <x v="2"/>
    <s v="JOA05-01"/>
    <d v="2025-06-02T00:00:00"/>
    <d v="2025-06-13T00:00:00"/>
    <x v="0"/>
    <x v="0"/>
    <m/>
    <s v="Troca de Gearbox."/>
    <x v="4"/>
    <x v="2"/>
    <s v="Turbina foi parada devido a um dano severo na gearbox. Já estava mapeada para troca._x000a_12/06: pós-work em andamento, previsão de startup da turbina hoje"/>
    <n v="1"/>
    <s v="Operations - FSO"/>
    <m/>
    <m/>
    <n v="0"/>
    <n v="0"/>
  </r>
  <r>
    <x v="3"/>
    <s v="AUG03-11"/>
    <d v="2025-04-09T00:00:00"/>
    <d v="2025-06-14T00:00:00"/>
    <x v="0"/>
    <x v="0"/>
    <d v="2025-06-12T00:00:00"/>
    <s v="Liberação do acoplamento flexível e dano no HSS. "/>
    <x v="4"/>
    <x v="2"/>
    <s v="Tivemos uma liberação do acoplamento flexível para fora da turbina. Investigação em andamento. _x000a_17/04: Indicada para troca de HSS._x000a_24/04: Aguardando finalização da JOA 05-08. Já possuímos HSS para essa troca. _x000a_01/05: Identificado dano no dente do HSIS. _x000a_06/06: pós work em andamento. _x000a_12/06: Reposição do slip de comunicação"/>
    <n v="1"/>
    <s v="Operation - FSO /  Engenharia "/>
    <m/>
    <s v="Invenergy"/>
    <n v="1584"/>
    <n v="2.8526970954356845E-3"/>
  </r>
  <r>
    <x v="2"/>
    <s v="JOA01-15"/>
    <d v="2025-06-13T00:00:00"/>
    <d v="2025-07-01T00:00:00"/>
    <x v="0"/>
    <x v="0"/>
    <d v="2025-07-14T00:00:00"/>
    <s v="Reparo de blade"/>
    <x v="9"/>
    <x v="4"/>
    <s v="Identificado dano severo e parada para reparo."/>
    <n v="1"/>
    <s v="Essentia"/>
    <m/>
    <s v="Essentia"/>
    <n v="0"/>
    <n v="0"/>
  </r>
  <r>
    <x v="0"/>
    <s v="JOA15-14"/>
    <d v="2025-06-13T00:00:00"/>
    <d v="2025-07-02T00:00:00"/>
    <x v="0"/>
    <x v="0"/>
    <d v="2025-07-14T00:00:00"/>
    <s v="Reparo de blade"/>
    <x v="9"/>
    <x v="4"/>
    <s v="Identificado dano severo e parada para reparo."/>
    <n v="1"/>
    <s v="Essentia"/>
    <m/>
    <s v="Essentia"/>
    <n v="0"/>
    <n v="0"/>
  </r>
  <r>
    <x v="3"/>
    <s v="AUG04-12"/>
    <d v="2025-06-13T00:00:00"/>
    <d v="2025-07-04T00:00:00"/>
    <x v="0"/>
    <x v="0"/>
    <s v="-"/>
    <s v="Reparo de blade"/>
    <x v="9"/>
    <x v="4"/>
    <s v="Identificado dano severo e parada para reparo."/>
    <n v="1"/>
    <s v="Essentia"/>
    <m/>
    <s v="Essentia"/>
    <n v="0"/>
    <n v="0"/>
  </r>
  <r>
    <x v="1"/>
    <s v="AB06-19"/>
    <d v="2025-06-27T00:00:00"/>
    <d v="2025-07-08T00:00:00"/>
    <x v="0"/>
    <x v="0"/>
    <s v="-"/>
    <s v="Reparo de blade"/>
    <x v="9"/>
    <x v="4"/>
    <s v="Identificado dano severo e parada para reparo."/>
    <n v="0"/>
    <s v="Essentia / Invenergy"/>
    <m/>
    <s v="Essentia"/>
    <n v="0"/>
    <m/>
  </r>
  <r>
    <x v="2"/>
    <s v="JOA04-08"/>
    <d v="2025-02-05T00:00:00"/>
    <d v="2025-07-09T00:00:00"/>
    <x v="0"/>
    <x v="0"/>
    <d v="2025-07-01T00:00:00"/>
    <s v="Dano no gerador. Wye ring. "/>
    <x v="2"/>
    <x v="2"/>
    <s v="Troubleshooting está sendo executado. Houve impacto de L2 ontem, por isso, a atividade se alongou. _x000a_13/02: Caso sendo analisado pela engenharia. _x000a_20/02: Reparo uptower_x000a_27/02: Aguardando a Data engenharia_x000a_20/03: Data engenharia mencionou que a previsão é iniciar em 24/04._x000a_28/03: Vamos pressionar a data engenharia para ter uma data mais próxima e sanar as pendências. _x000a_03/04: Aguardando Data engenharia (haverá reunião hoje entre Invenergy e Data Engenharia para tratar a questão de data de execução)._x000a_10/04: Data informou que iniciará o reparo na primeira semana de maio 07/05._x000a_09/05: Data formalizou de que o reparo do wye ring não será possível. Máquina direcionada para MCE._x000a_23/05: Será feita uma inspeção com a Ecovis, com o gerador downtower._x000a_29/05: 0% de evolução._x000a_06/06: Será feita a troca da gerador e do Main Bearing. Não será mais realizada a tentativa com a Ecovis. Será necessária a utilização do crane que está snedo usado na frente de troca de gearbox, para conseguir realizar a troca do main bearing. _x000a_26/06: Não será feita a troca do Main Bearing. Equipe realizando troca do gerador._x000a_03/07: Impacto de vento alto nos últimos dias. Previsão é de ser finalizada no fim de semana. "/>
    <n v="1"/>
    <s v="Operations - FSO"/>
    <m/>
    <s v="Invenergy"/>
    <n v="3696"/>
    <n v="2.1300138312586444E-3"/>
  </r>
  <r>
    <x v="0"/>
    <s v="JOA12-11"/>
    <d v="2025-06-13T00:00:00"/>
    <d v="2025-07-10T00:00:00"/>
    <x v="0"/>
    <x v="0"/>
    <s v="-"/>
    <s v="Reparo de blade"/>
    <x v="9"/>
    <x v="4"/>
    <s v="Identificado dano severo e parada para reparo."/>
    <n v="0"/>
    <s v="Essentia"/>
    <m/>
    <s v="Essentia"/>
    <n v="0"/>
    <n v="0"/>
  </r>
  <r>
    <x v="0"/>
    <s v="JOA15-11"/>
    <d v="2025-06-13T00:00:00"/>
    <d v="2025-07-10T00:00:00"/>
    <x v="0"/>
    <x v="0"/>
    <d v="2025-07-21T00:00:00"/>
    <s v="Reparo de blade"/>
    <x v="9"/>
    <x v="4"/>
    <s v="Identificado dano severo e parada para reparo."/>
    <n v="0"/>
    <s v="Essentia"/>
    <m/>
    <s v="Essentia"/>
    <n v="0"/>
    <n v="0"/>
  </r>
  <r>
    <x v="2"/>
    <s v="AUG04-13"/>
    <d v="2025-05-12T00:00:00"/>
    <d v="2025-07-11T00:00:00"/>
    <x v="0"/>
    <x v="0"/>
    <d v="2025-07-11T00:00:00"/>
    <s v="Danos no Wye ring. Aguardando mobilização Ecovis"/>
    <x v="2"/>
    <x v="1"/>
    <s v="12/05 - Máquina parada para abertura do gerador_x000a_15/05 - Data Engenharia realizando inspeção e testes no rotor._x000a_22/05 - Data formalizou de que o reparo do wye ring não será possível. Máquina direcionada para MCE._x000a_23/05: Será feita uma nova tentativa com a Ecovis._x000a_03/07: Aguardando finalização do reparo na AUG04-14. Previsão de início em 04/07._x000a_10/07: Reparo foi finalizado, sendo feita a montagem do gerador. _x000a_"/>
    <n v="1"/>
    <s v="Operations - FSO"/>
    <n v="64"/>
    <m/>
    <n v="0"/>
    <n v="0"/>
  </r>
  <r>
    <x v="2"/>
    <s v="JOA12-05"/>
    <d v="2025-06-13T00:00:00"/>
    <d v="2025-07-15T00:00:00"/>
    <x v="0"/>
    <x v="0"/>
    <s v="-"/>
    <s v="Reparo de blade"/>
    <x v="9"/>
    <x v="4"/>
    <s v="Identificado dano severo e parada para reparo."/>
    <n v="1"/>
    <s v="Essentia"/>
    <m/>
    <s v="Essentia"/>
    <n v="0"/>
    <n v="0"/>
  </r>
  <r>
    <x v="2"/>
    <s v="JOA04-13"/>
    <d v="2024-10-01T00:00:00"/>
    <d v="2025-07-17T00:00:00"/>
    <x v="1"/>
    <x v="0"/>
    <d v="2025-07-11T00:00:00"/>
    <s v="Danos na gearbox. Aguardando MCE."/>
    <x v="4"/>
    <x v="2"/>
    <s v="Aguardando MCE. Será feita após finalização das atividades na AUG05-13._x000a_10/04: MCE em andamento. _x000a_17/04: 40% de evolução. Conexão entre o eixo da gearbox e o main shaft travado. Engrenagens travadas também. Será perfurada o eixo da gearbox, para facilitar a remoção. Previsão de conclusão na próxima semana. _x000a_24/04: Foi iniciado o processo de furação ontem. Após finalização do MCE no AUG05-13 iremos poder finalizar na JOA04-13._x000a_01/05: 40% de evolução. _x000a_15/05: Equipe de field service retornou para atividade nesta máquina. Abertura de novos furos;_x000a_22/05: Foram feitas diversas tentativas de destravamento, porém, sem sucesso. Com isso foi acordado com a Essentia de que seria feita a desmobilização do guindaste e continuaremos as tentativas de destravamento. Atividade será feita com o Liftra._x000a_29/05: S/ updates._x000a_06/06: Só aquecimento não será possível para remover. Será necessário realizar o corte da gearbox._x000a_18/06: Troca já realizada com o Liftra. Realizando a descida do guindaste. _x000a_26/06: Pós work e certificação liftra._x000a_03/07: Pós work em andamento e certificação Liftra._x000a_10/07: Pós work foi iniciado de fato hoje, houveram problemas com o acoplamento. Previsão de retorno para amanhã (11/07)."/>
    <n v="1"/>
    <s v="Operations - FSO"/>
    <s v="Essentia"/>
    <s v="Essentia"/>
    <n v="0"/>
    <n v="0"/>
  </r>
  <r>
    <x v="2"/>
    <s v="JOA04-14"/>
    <d v="2025-02-06T00:00:00"/>
    <d v="2025-07-18T00:00:00"/>
    <x v="0"/>
    <x v="0"/>
    <d v="2025-07-11T00:00:00"/>
    <s v="Dano no gerador. Wye ring. "/>
    <x v="2"/>
    <x v="2"/>
    <s v="Aguardando MCE. _x000a_17/07: Finalizada a troca do gerador, porém, segue parada para corretiva. "/>
    <n v="1"/>
    <s v="Operations - FSO"/>
    <s v="Invenergy"/>
    <s v="Invenergy"/>
    <n v="3888"/>
    <n v="2.2406639004149379E-3"/>
  </r>
  <r>
    <x v="0"/>
    <s v="JOA15-01"/>
    <d v="2025-03-21T00:00:00"/>
    <d v="2025-07-23T00:00:00"/>
    <x v="0"/>
    <x v="0"/>
    <d v="2025-07-21T00:00:00"/>
    <s v="Dano no gerador.  "/>
    <x v="2"/>
    <x v="2"/>
    <s v="Resina se desprendeu do rotor e danificou o estator. Time já realizou o surge test e está analisando agora o parâmetro que foi analisado, de acordo com instruções da Engenharia US._x000a_03/04: Surge test reprovado. Será necessário a troca do gerador. _x000a_03/07: Atualizar._x000a_17/07: Pós work em andamento. Troca feita e finalizada em 16/07."/>
    <n v="1"/>
    <s v="Operations - FSO"/>
    <m/>
    <s v="Invenergy"/>
    <n v="2976"/>
    <n v="1.4913704973239521E-3"/>
  </r>
  <r>
    <x v="2"/>
    <s v="JOA07-15"/>
    <d v="2025-04-07T00:00:00"/>
    <d v="2025-07-24T00:00:00"/>
    <x v="0"/>
    <x v="0"/>
    <d v="2025-07-24T00:00:00"/>
    <s v="Duas trincas no pitch bearing da axis 1"/>
    <x v="6"/>
    <x v="2"/>
    <s v="Aguardando MCE._x000a_03/07: Máquina será priorizada após a JOA 04-08._x000a_10/07: Inicio da troca em 08/07._x000a_17/07: Troca em andamento. Atraso devido à questões de ventos. _x000a_24/07: FSO terminou o reparo e foi energizada hoje. Previsão retornoar hoje no fim do dia. "/>
    <n v="1"/>
    <s v="Operations - FSO"/>
    <m/>
    <s v="Essentia"/>
    <n v="0"/>
    <n v="0"/>
  </r>
  <r>
    <x v="1"/>
    <s v="AB05-10"/>
    <d v="2025-05-14T00:00:00"/>
    <d v="2025-07-25T00:00:00"/>
    <x v="0"/>
    <x v="0"/>
    <d v="2025-07-25T00:00:00"/>
    <s v="Deslocamento excessivo do drivetrain e danos no main bearing"/>
    <x v="11"/>
    <x v="2"/>
    <s v="Aguardando MCE. _x000a_29/05: Já foi enviada a disposição para a Essentia. Essentia está buscando aprovação da troca junto a diretoria._x000a_06/06: Essentia possui um main bearing em Chapada que necessitará ser transferido para Asa. _x000a_12/06: Previsão de mobilização na semana do dia 23 (FW26)._x000a_26/06: Realizado pré-work. Nova previsão de 03/07 de mob guindaste._x000a_03/07: Guindaste atrasou e iniciará a mob dia 04/07 e inicio de operação dia 07/07._x000a_10/07: Aguardando condições climáticas para início das atividades. Foi feita a isntalação da corda guia de apenas uma pá. _x000a_17/07: Já foi feita a descida do rotor e trocado o main bearing. Falta subir drivetrain e rotor. Aguardando condições climáticas._x000a_24/07: Subida do ramal será feita amanhã. Previsão de retorno amanhã."/>
    <n v="1"/>
    <s v="Operations - FSO"/>
    <m/>
    <s v="Essentia"/>
    <n v="0"/>
    <m/>
  </r>
  <r>
    <x v="2"/>
    <s v="JOA11-03"/>
    <d v="2025-07-09T00:00:00"/>
    <d v="2025-07-30T00:00:00"/>
    <x v="0"/>
    <x v="0"/>
    <s v="29/07/2025"/>
    <s v="Identificado dano no gerador. Wye Ring"/>
    <x v="2"/>
    <x v="1"/>
    <s v="17/07: Com a visita da Ecovis para garantia da 12/17, será solicitado que seja feito a tentativa de reparo dessa máquina também. _x000a_24/07: Reparo sendo feito. Previsão de retorno 29/07."/>
    <n v="1"/>
    <s v="Operations - FSO"/>
    <m/>
    <s v="Invenergy"/>
    <n v="504"/>
    <m/>
  </r>
  <r>
    <x v="2"/>
    <s v="JOA12-13"/>
    <d v="2025-07-01T00:00:00"/>
    <d v="2025-08-03T00:00:00"/>
    <x v="0"/>
    <x v="0"/>
    <s v="-"/>
    <s v="Gearbox colapsada. Aguardando MCE. "/>
    <x v="4"/>
    <x v="2"/>
    <s v="Gearbox colapsada. Aguardando MCE. _x000a_03/07: sem cronograma de execução_x000a_17/07: Liftra já mobilizado para a turbina. Haverá um atraso devido à evento com Liftra. Prazo inicial era de 30/07._x000a_24/07: Troca sendo feita. Gearbox travada no main shaft. _x000a_31/07: Será feita a subido do ramal hoje. Previsão de retorno 04/08."/>
    <n v="1"/>
    <s v="Operations - FSO"/>
    <m/>
    <s v="Invenergy"/>
    <n v="792"/>
    <n v="0"/>
  </r>
  <r>
    <x v="2"/>
    <s v="AUG04-14"/>
    <d v="2025-03-10T00:00:00"/>
    <d v="2025-08-07T00:00:00"/>
    <x v="0"/>
    <x v="0"/>
    <s v="?"/>
    <s v="Falha no Wye Ring e trinca no planetário Gearbox"/>
    <x v="12"/>
    <x v="2"/>
    <s v="Turbina indicada para realização do reparo do Wye Ring pela Data Engenharia. (aproveitamento da mobilização e reparo das turbinas JOA04-08 e AUG04-14)._x000a_09/05: Data formalizou de que o reparo do wye ring não será possível. Máquina direcionada para MCE._x000a_Em nova boroscopia, foi identificado que havia uma trinca em um dos rolamentos do planetário._x000a_23/05: Será feita uma nova tentativa de reparo com a Ecovis uptower._x000a_12/06: Previsão de mobilização para a FW26._x000a_26/06: Equipe avançou o pré work devido a máquina estar fora de operação._x000a_03/07: Ecovis realizando o reparo. _x000a_10/07: Pendente fazer o alinhamento do gerador para poder o teste e validar do gerador. Turbina permanecerá em DT devido a gearbox. _x000a_17/07: Finalização dos últimos passos para startar a turbina e testar a turbina (validar o reparo do gerador - rodará por ~2 horas e depois ficará em DT por conta da gbx)._x000a_24/07: DT gbx._x000a_31/07: Evolução de 15%_x000a_07/08: Troca sendo finalizada."/>
    <n v="1"/>
    <s v="Operations - FSO"/>
    <s v="Invenergy"/>
    <s v="Invenergy"/>
    <n v="3600"/>
    <n v="2.0746887966804979E-3"/>
  </r>
  <r>
    <x v="2"/>
    <s v="AUG05-14"/>
    <d v="2025-06-30T00:00:00"/>
    <d v="2025-08-13T00:00:00"/>
    <x v="0"/>
    <x v="0"/>
    <s v="-"/>
    <s v="Solicitação pela engenharia de manter a turbina fora de operação devido a trinca/quebra de dente da engrenagem do estágio planetário. Aguardando MCE. "/>
    <x v="4"/>
    <x v="2"/>
    <s v="Aguardando MCE. _x000a_03/07: sem cronograma de execução_x000a_31/07: Será executada após a JOA04-02._x000a_07/08: Guindaste foi mobilizado para a WTG hoje e está em processo de montagem. Previsão de iniciar o pré-work hoje. "/>
    <n v="1"/>
    <s v="Operations - FSO"/>
    <m/>
    <s v="Invenergy"/>
    <n v="1056"/>
    <n v="0"/>
  </r>
  <r>
    <x v="2"/>
    <s v="JOA01-06"/>
    <d v="2025-07-20T00:00:00"/>
    <d v="2025-08-15T00:00:00"/>
    <x v="0"/>
    <x v="0"/>
    <s v="?"/>
    <s v="Danos no pinhão do yaw drive."/>
    <x v="8"/>
    <x v="2"/>
    <s v="31/07: Serão trocados dos yaw drives, pois não foi encontrado um set novo._x000a_07/08: Aguardando finalização da AUG05-14. _x000a_14/08: Troca dos yaw drives finalizada ontem. Pendente renergização e material para corretiva. "/>
    <n v="1"/>
    <s v="Operations - FSO"/>
    <m/>
    <s v="Invenergy"/>
    <n v="624"/>
    <m/>
  </r>
  <r>
    <x v="2"/>
    <s v="JOA01-05"/>
    <d v="2025-07-28T00:00:00"/>
    <d v="2025-08-21T00:00:00"/>
    <x v="0"/>
    <x v="0"/>
    <d v="2025-08-22T00:00:00"/>
    <s v="Foi solicitada uma boroscopia e identificado trinca no planetário. "/>
    <x v="4"/>
    <x v="2"/>
    <s v="31/07: Aguardando MCE._x000a_14/08: Plano de rigging sendo elaborado. Uma vez finalizado será iniciado o processo de montagem do guindaste._x000a_21/08: Será feita a subida do ramal hoje e após energização. Previsão de retorno 22/08. "/>
    <n v="0.95"/>
    <s v="Operations - FSO"/>
    <m/>
    <s v="Invenergy"/>
    <n v="576"/>
    <m/>
  </r>
  <r>
    <x v="2"/>
    <s v="JOA10-05"/>
    <d v="2025-06-10T00:00:00"/>
    <d v="2025-08-25T00:00:00"/>
    <x v="0"/>
    <x v="0"/>
    <m/>
    <s v="Turbina parada para troca do Main Shaft"/>
    <x v="11"/>
    <x v="2"/>
    <s v="12/06: Baixa do ramal para troca do Main shaft._x000a_18/06: Sendo feita a subida do rotor. _x000a_26/06: pós work_x000a_03/07: Identificado danos na rosca do bedplate, na conexão do pillow block com  bedplate. Tentando identificar fornecedores para confecção de rosca postiça. _x000a_10/07: Aguardando visita da Tech End para inspeção da rosca danificada e avaliação de reparo da rosca com rosca postiça._x000a_17/07: Tech End realizou a visita em 15/07 para avaliação do reparo a ser feito. Previsão de enviarem o procedimento e fabricarem o suporte necessário em 1 semana. _x000a_24/07: Suporte sendo fabricado. Previsão de mobilização para instalação na próxima semana._x000a_31/07: Previsão de mobilização para Araripina em 01/08._x000a_07/08: Chegaram no dia 05/08. Iniciaram o trabalho no dia 06/08, porém, identificaram que não possuem ferramentas necessárias. Estão em standby a procura da ferraementa em Petrolina. _x000a_14/08: Alinhado com a Tech End de realizar um reparo paleativo da rosca utilizando helicoil M36. Sem previsão de retorno ainda. _x000a_21/08: Sendo realizada a instalação dos helicoils M36 para retorno a operação temporária, antes da finalização do reparo com helicoil M39._x000a_28/08: Em operação limitada pelo vento. Aguardando pelo reparo com helicoil M39. "/>
    <n v="0.95"/>
    <s v="Operations - FSO"/>
    <m/>
    <m/>
    <n v="0"/>
    <n v="0"/>
  </r>
  <r>
    <x v="2"/>
    <s v="JOA04-02"/>
    <d v="2025-06-14T00:00:00"/>
    <d v="2025-08-25T00:00:00"/>
    <x v="0"/>
    <x v="0"/>
    <d v="2025-08-25T00:00:00"/>
    <s v="Gearbox colapsada. Aguardando MCE. "/>
    <x v="4"/>
    <x v="2"/>
    <s v="Gearbox colapsada. Aguardando MCE. _x000a_03/07: sem cronograma de execução_x000a_17/07: Liftra já mobilizado para a turbina. Haverá um atraso devido à evento com Liftra. Prazo inicial era de 30/07._x000a_24/07: Liftra está enviando um novo equipamento (emprestado) para continuidade da operação. Chegará no dia 29/07em Chapada._x000a_31/07: Equipamento do Liftra chegou, porém, em processo de autorização do EHS.  _x000a_07/08: Atividade em andamento com o time Liftra. Previsão de retorno 15/08._x000a_14/08: Realizada a troca da gearbox. Iniciado o processo do guindaste hoje. Previsão de retorno 25/08._x000a_21/08: Finalizada desmontagem do guindaste. Sendo realizado o pós work. "/>
    <n v="1"/>
    <s v="Operations - FSO"/>
    <m/>
    <s v="Invenergy"/>
    <n v="1728"/>
    <n v="0"/>
  </r>
  <r>
    <x v="2"/>
    <s v="JOA01-15"/>
    <d v="2025-07-16T00:00:00"/>
    <d v="2025-08-28T00:00:00"/>
    <x v="0"/>
    <x v="0"/>
    <m/>
    <s v="Identificado dano no gerador e posteriormente no HSS. Wye Ring / HSS"/>
    <x v="12"/>
    <x v="1"/>
    <s v="24/07: Aguardando finalização na 11-03 para Ecovis seguir com inspeção e possível reparo._x000a_31/07: Reparo foi finalizado hoje, porém, foram encontrados danos no HSS que impedem a operação da turbina. Aguardando análise da boroscopia para verificação de demais danos.  _x000a_05/08: Identificado que ha somente danos no dente do HSS e sem danos secundários. Será realizado a troca do HSS. Testes do gerador serão feitos somente após a troca do HSS._x000a_07/08: Previsão de início das atividades na próxima semana. _x000a_14/08: Previsão de início das atividades na próxima semana. Houve um atraso devido a atraso de entrega de material. _x000a_21/08: Iniciada as atividades hoje._x000a_28/08: RTS.  "/>
    <n v="1"/>
    <s v="Operations - FSO"/>
    <m/>
    <s v="Invenergy"/>
    <n v="1032"/>
    <m/>
  </r>
  <r>
    <x v="2"/>
    <s v="JOA03-16"/>
    <d v="2025-08-16T00:00:00"/>
    <d v="2025-08-28T00:00:00"/>
    <x v="0"/>
    <x v="0"/>
    <m/>
    <s v="Falha da barra da axis box."/>
    <x v="5"/>
    <x v="1"/>
    <s v="28/08: Retornando hoje a operação."/>
    <m/>
    <s v="Operations  - O&amp;M"/>
    <m/>
    <s v="Invenergy"/>
    <n v="288"/>
    <m/>
  </r>
  <r>
    <x v="2"/>
    <s v="JOA03-07"/>
    <d v="2025-08-26T00:00:00"/>
    <d v="2025-08-31T00:00:00"/>
    <x v="0"/>
    <x v="0"/>
    <m/>
    <s v="Falha da barra da axis box."/>
    <x v="5"/>
    <x v="1"/>
    <s v="28/08: Aguardando a chegada da barra para troca. "/>
    <m/>
    <s v="Operations  - O&amp;M"/>
    <m/>
    <s v="Invenergy"/>
    <n v="120"/>
    <m/>
  </r>
  <r>
    <x v="2"/>
    <s v="JOA01-12"/>
    <d v="2025-08-19T00:00:00"/>
    <d v="2025-09-09T00:00:00"/>
    <x v="0"/>
    <x v="0"/>
    <d v="2025-09-10T00:00:00"/>
    <s v="Falha no gerador. Wye Ring"/>
    <x v="2"/>
    <x v="1"/>
    <s v="21/08: Aguardando mobilização da Ecovis para realizar reparo._x000a_28/08: Aguardando chega da Ecovis, prevista para 01/09._x000a_04/09: Ecovis já está atuando na turbina. Previsão de retorno 10/09. "/>
    <n v="1"/>
    <s v="Operations  - O&amp;M"/>
    <m/>
    <s v="Invenergy"/>
    <n v="504"/>
    <m/>
  </r>
  <r>
    <x v="2"/>
    <s v="JOA05-01"/>
    <d v="2025-09-08T00:00:00"/>
    <d v="2025-09-15T00:00:00"/>
    <x v="0"/>
    <x v="0"/>
    <m/>
    <s v="2 Yaw drives danificados. "/>
    <x v="8"/>
    <x v="1"/>
    <s v="11/09: Yaw Drives sendo reparados. "/>
    <m/>
    <s v="Operations  - O&amp;M"/>
    <m/>
    <s v="Invenergy"/>
    <n v="168"/>
    <m/>
  </r>
  <r>
    <x v="2"/>
    <s v="AUG04-09"/>
    <d v="2025-08-29T00:00:00"/>
    <d v="2025-09-18T00:00:00"/>
    <x v="0"/>
    <x v="0"/>
    <d v="2025-09-18T00:00:00"/>
    <s v="Falha no gerador. Wye Ring"/>
    <x v="2"/>
    <x v="1"/>
    <s v="04/09: Aguardando a ida da Ecovis para análise de viabilidade de reparo._x000a_11/09: Ecovis realizando o reparo._x000a_18/09: Equipe finalizando o fechamento do gerador.  "/>
    <m/>
    <s v="Operations  - O&amp;M"/>
    <m/>
    <s v="Invenergy"/>
    <n v="480"/>
    <m/>
  </r>
  <r>
    <x v="0"/>
    <s v="JOA10-06"/>
    <d v="2025-08-04T00:00:00"/>
    <d v="2025-09-22T00:00:00"/>
    <x v="0"/>
    <x v="0"/>
    <d v="2025-09-19T00:00:00"/>
    <s v="Foi solicitada uma boroscopia e identificado trinca no planetário. Será necessária a troca da barra da axis box."/>
    <x v="4"/>
    <x v="2"/>
    <s v="05/08: Aguardando MCE._x000a_14/08: Será realizada após a finalização a atividade na JOA01-05._x000a_28/08: Em processo de montagem do Liftra._x000a_04/09: Liftra posicionado, aguardando janela de vento para subida do guindaste principal.  _x000a_11/09: Liftra já montado. Gearbox já foi trocada. Houve atraso devido a condições de vento e mobilização do guindaste auxiliar. "/>
    <n v="1"/>
    <s v="Operations - FSO"/>
    <m/>
    <s v="Invenergy"/>
    <n v="1176"/>
    <m/>
  </r>
  <r>
    <x v="0"/>
    <s v="JOA16-13"/>
    <d v="2025-08-29T00:00:00"/>
    <d v="2025-09-24T00:00:00"/>
    <x v="0"/>
    <x v="0"/>
    <m/>
    <s v="Falha no gerador. Wye Ring"/>
    <x v="2"/>
    <x v="1"/>
    <s v="11/09: Aguardando ida da Ecovis._x000a_18/09: Ecovis iniciará o reparo hoje. "/>
    <m/>
    <s v="Operations  - O&amp;M"/>
    <m/>
    <s v="Invenergy"/>
    <n v="624"/>
    <m/>
  </r>
  <r>
    <x v="0"/>
    <s v="JOA12-12"/>
    <d v="2025-09-30T00:00:00"/>
    <d v="2025-10-07T00:00:00"/>
    <x v="0"/>
    <x v="0"/>
    <m/>
    <s v="Falha do sistema de freio. Sendo investigado"/>
    <x v="13"/>
    <x v="0"/>
    <s v="02/10: Sendo avaliado se existe algum tipo de dano interno na gearbox, que pode ter causado a falha. "/>
    <m/>
    <s v="Operations  - O&amp;M"/>
    <m/>
    <s v="Invenergy"/>
    <n v="168"/>
    <m/>
  </r>
  <r>
    <x v="0"/>
    <s v="JOA16-10"/>
    <d v="2025-10-07T00:00:00"/>
    <d v="2025-10-16T00:00:00"/>
    <x v="0"/>
    <x v="0"/>
    <m/>
    <s v="Danos no gerador. Wye ring."/>
    <x v="2"/>
    <x v="1"/>
    <s v="09/10: Aguardando disposição para reparo com Ecovis. _x000a_16/10: Ecovis finalizou o reparo dia 14/10. "/>
    <m/>
    <s v="Operations  - O&amp;M"/>
    <m/>
    <s v="Invenergy"/>
    <n v="216"/>
    <m/>
  </r>
  <r>
    <x v="2"/>
    <s v="JOA 01-08"/>
    <d v="2025-10-14T00:00:00"/>
    <d v="2025-10-17T00:00:00"/>
    <x v="1"/>
    <x v="0"/>
    <m/>
    <s v="Rolamento do HSS rotacionando na sede"/>
    <x v="4"/>
    <x v="1"/>
    <s v="16/10: Time realizando o reparo adicionando shims. _x000a_23/10: Reparo finalizado"/>
    <m/>
    <s v="Operations  - O&amp;M"/>
    <m/>
    <s v="Invenergy"/>
    <n v="72"/>
    <m/>
  </r>
  <r>
    <x v="0"/>
    <s v="JOA09-15"/>
    <d v="2025-09-10T00:00:00"/>
    <d v="2025-10-20T00:00:00"/>
    <x v="0"/>
    <x v="0"/>
    <m/>
    <s v="Dano no main bearing. "/>
    <x v="11"/>
    <x v="2"/>
    <s v="11/09: Aguardando MCE. Será a próxima da sequência FW40._x000a_25/09: Pré work finalizado, previsão de início 06/10._x000a_09/10: Guindaste ficará operacional amanhã 10/10._x000a_16/10: Troca em andamento "/>
    <n v="0.7"/>
    <s v="Operations - FSO"/>
    <m/>
    <s v="Invenergy"/>
    <n v="960"/>
    <m/>
  </r>
  <r>
    <x v="2"/>
    <s v="JOA01-01"/>
    <d v="2025-10-19T00:00:00"/>
    <d v="2025-10-23T00:00:00"/>
    <x v="0"/>
    <x v="0"/>
    <m/>
    <s v="Troubleshooting de comunicação com placas"/>
    <x v="0"/>
    <x v="0"/>
    <s v="23/10: Time finalizando troubleshooting de placas"/>
    <m/>
    <s v="Operations  - O&amp;M"/>
    <m/>
    <s v="Invenergy"/>
    <n v="96"/>
    <m/>
  </r>
  <r>
    <x v="0"/>
    <s v="JOA15-10"/>
    <d v="2025-09-03T00:00:00"/>
    <d v="2025-10-29T00:00:00"/>
    <x v="0"/>
    <x v="0"/>
    <d v="2025-10-29T00:00:00"/>
    <s v="Danos no pitch bearing. "/>
    <x v="6"/>
    <x v="2"/>
    <s v="11/09: Seguindo com a compra do set do pitch bearing para troca. Leadtime de 5 dias (GE). Aprovação da Essentia foi realizada hoje 11/09._x000a_18/09: Aguardando finalização da JOA10-06 para mobilização. _x000a_25/09: Trabalho iniciado, subindo o material e montando o Liftra. _x000a_02/10: Guindaste auxiliar sendo montado._x000a_09/10: Previsão de descida da primeira pá hoje._x000a_23/10:  Troca em andamento. "/>
    <n v="1"/>
    <s v="Operations - FSO"/>
    <m/>
    <s v="Invenergy"/>
    <n v="1344"/>
    <m/>
  </r>
  <r>
    <x v="0"/>
    <s v="JOA15-06"/>
    <d v="2025-09-24T00:00:00"/>
    <d v="2025-10-31T00:00:00"/>
    <x v="0"/>
    <x v="0"/>
    <d v="2025-10-31T00:00:00"/>
    <s v="Possível dano no gerador. "/>
    <x v="2"/>
    <x v="1"/>
    <s v="25/09: Inspeção no gerador será feita a amanhã. _x000a_02/10: Aguardando reparo com Ecovis. WTG impedida de atendimento devido a talha. _x000a_23/10: Aguardando tratativa da JOA15-12._x000a_30/10: Time realizando o fechamento do gerador após o reparo realizado pela Ecovis. "/>
    <m/>
    <s v="Operations  - O&amp;M"/>
    <m/>
    <s v="Invenergy"/>
    <n v="888"/>
    <m/>
  </r>
  <r>
    <x v="2"/>
    <s v="JOA01-08"/>
    <d v="2025-10-23T00:00:00"/>
    <d v="2025-11-13T00:00:00"/>
    <x v="0"/>
    <x v="0"/>
    <m/>
    <s v="Reparo de blade."/>
    <x v="9"/>
    <x v="1"/>
    <s v="30/10: Sendo realizado reparo de pá. "/>
    <m/>
    <s v="Operations - FSO"/>
    <m/>
    <s v="Essentia"/>
    <n v="0"/>
    <m/>
  </r>
  <r>
    <x v="2"/>
    <s v="AUG04-03"/>
    <d v="2025-10-27T00:00:00"/>
    <d v="2025-11-13T00:00:00"/>
    <x v="0"/>
    <x v="0"/>
    <d v="2025-11-07T00:00:00"/>
    <s v="Troca do Main Bearing"/>
    <x v="11"/>
    <x v="2"/>
    <s v="30/10: Sendo realizada a troca do main bearing_x000a_06/11: Finalizando a troca. Previsão de retorno 07/11/2025."/>
    <n v="1"/>
    <s v="Operations - FSO"/>
    <m/>
    <s v="Essentia"/>
    <n v="0"/>
    <m/>
  </r>
  <r>
    <x v="2"/>
    <s v="JOA05-07"/>
    <d v="2025-10-27T00:00:00"/>
    <d v="2025-11-13T00:00:00"/>
    <x v="0"/>
    <x v="0"/>
    <m/>
    <s v="Reparo de blade."/>
    <x v="9"/>
    <x v="1"/>
    <s v="30/10: Sendo realizado reparo de pá. "/>
    <m/>
    <s v="Operations - FSO"/>
    <m/>
    <s v="Essentia"/>
    <n v="0"/>
    <m/>
  </r>
  <r>
    <x v="3"/>
    <s v="AUG05-12"/>
    <d v="2025-09-30T00:00:00"/>
    <d v="2025-11-21T00:00:00"/>
    <x v="0"/>
    <x v="0"/>
    <m/>
    <s v="Rompimento da Carcaça da Gearbox"/>
    <x v="4"/>
    <x v="2"/>
    <s v="02/10: Rompimento da carcaça da gearbox. Aguardando MCE_x000a_06/11: Inicio da mobilização para a turbina. _x000a_13/11: Troca em andamento._x000a_21/11: Troca finalizada. Sendo realizada corretiva pós MCE. "/>
    <n v="1"/>
    <s v="Operations - FSO"/>
    <m/>
    <s v="Invenergy"/>
    <n v="1248"/>
    <m/>
  </r>
  <r>
    <x v="0"/>
    <s v="JOA12-06"/>
    <d v="2025-09-23T00:00:00"/>
    <d v="2025-11-23T00:00:00"/>
    <x v="0"/>
    <x v="0"/>
    <d v="2025-11-21T00:00:00"/>
    <s v="Falha na gearbox."/>
    <x v="4"/>
    <x v="2"/>
    <s v="25/09: Disposição enviada pela engenharia. Diversos danos na gearbox. _x000a_23/10: Aguardando MCE._x000a_30/10: Iniciada a mobilização do Liftra para início das atividades. _x000a_06/11: Sendo realizada a subida do guindaste principal. _x000a_13/11: Processo de desmontagem da base do guindaste. Troca concluída_x000a_21/11: Pós-work em andamento. Previsão de finalização para hoje. "/>
    <n v="1"/>
    <s v="Operations - FSO"/>
    <m/>
    <s v="Invenergy"/>
    <n v="1464"/>
    <m/>
  </r>
  <r>
    <x v="0"/>
    <s v="JOA16-07"/>
    <d v="2025-08-09T00:00:00"/>
    <d v="2025-12-03T00:00:00"/>
    <x v="0"/>
    <x v="0"/>
    <d v="2025-11-27T00:00:00"/>
    <s v="Falha no HSS. "/>
    <x v="4"/>
    <x v="1"/>
    <s v="14/08: Aguardando disposição de engenharia para definição se será feito reparo uptower ou troca da gearbox. _x000a_21/08: Aguardando a troca do HSS._x000a_28/08: S/ atualização e s/ previsão de entrega do material (4 unidades do HSS) para execução da atividade._x000a_11/09: Foi informado um leadtime de 2 kits - 30 dias para entrega dos HSSs._x000a_09/10: Previsão de entrega dos kits no dia 21/10. _x000a_23/10: Aguardando chegada dos kits. Nova previsão de chegada para 04/11._x000a_06/11: Não foi entregue ainda os novos kits. 2 Kits chegarão 11/11 e outros 2 no dia 25/11._x000a_13/11:  Inicio da atividade no dia 17/11._x000a_21/11: Troca em andamento. _x000a_27/11: Finalizando a troca do HSS hoje. Previsão de retorno para hoje. "/>
    <n v="1"/>
    <s v="Operations - FSO"/>
    <m/>
    <m/>
    <n v="0"/>
    <m/>
  </r>
  <r>
    <x v="0"/>
    <s v="JOA09-12"/>
    <d v="2025-09-01T00:00:00"/>
    <d v="2025-12-03T00:00:00"/>
    <x v="0"/>
    <x v="0"/>
    <m/>
    <s v="Falha no gerador."/>
    <x v="2"/>
    <x v="2"/>
    <s v="11/09: Aguardando ida da Ecovis_x000a_25/09: Ecovis realizando o reparo. Previsão de retorno no dia 01/10._x000a_02/10: Time Invenergy fechando o gerador. Previsão de retorno 03/10. Houve uma falha após retornar a turbina (falhas diferenças de fase e fuga pra terra). Troubleshooting sendo feito._x000a_09/10: Máquina retornou a operar por 30 min e falho novamente. Ecovis está realizando o reparo da isolação hoje. Previsão de retorno 10/10._x000a_16/10: Máquina retornou a operar e falhou novamente. Ecovis está realizando o reparo do wye ring novamente. Previsão de retorno 21/10._x000a_23/10: Ecovis finalizou o reparo ontem e o time Invenergy está fazendo o fechamento do gerador. _x000a_30/10: Identificado que não será possível realizar o reparo. Turbina em DT, aguardando a troca. _x000a_04/12: Positivo concluiu o reparo do gerador. "/>
    <m/>
    <s v="Operations - FSO"/>
    <m/>
    <s v="Invenergy"/>
    <n v="2232"/>
    <m/>
  </r>
  <r>
    <x v="0"/>
    <s v="JOA15-08"/>
    <d v="2025-10-27T00:00:00"/>
    <d v="2025-12-04T00:00:00"/>
    <x v="0"/>
    <x v="0"/>
    <d v="2025-12-04T00:00:00"/>
    <s v="Desconfiguração de todas as engrenagens do estágio planetário."/>
    <x v="4"/>
    <x v="2"/>
    <s v="Aguardando MCE_x000a_27/11: Pós work em andamento. Previsão de conclusão 28/11._x000a_04/12: Máquina retornou, porém, foi constatado uma falha no sistema de ALC que está sendo corrigida. "/>
    <n v="1"/>
    <m/>
    <m/>
    <s v="Essentia"/>
    <n v="0"/>
    <n v="0"/>
  </r>
  <r>
    <x v="0"/>
    <s v="JOA16-14"/>
    <d v="2025-11-24T00:00:00"/>
    <d v="2025-12-04T00:00:00"/>
    <x v="0"/>
    <x v="0"/>
    <d v="2025-12-05T00:00:00"/>
    <s v="Falha no gerador. "/>
    <x v="2"/>
    <x v="2"/>
    <s v="Aguardando MCE_x000a_04/12: Troca foi finalizada ontem. Sendo feito o pós work. "/>
    <n v="0.9"/>
    <m/>
    <m/>
    <s v="Essentia"/>
    <n v="0"/>
    <n v="0"/>
  </r>
  <r>
    <x v="2"/>
    <s v="JOA07-13"/>
    <d v="2025-11-24T00:00:00"/>
    <d v="2025-12-04T00:00:00"/>
    <x v="0"/>
    <x v="0"/>
    <d v="2025-12-05T00:00:00"/>
    <s v="Reparo de blade."/>
    <x v="9"/>
    <x v="1"/>
    <s v="04/12: Reparo de blade sendo executado."/>
    <m/>
    <m/>
    <m/>
    <m/>
    <m/>
    <m/>
  </r>
  <r>
    <x v="0"/>
    <s v="JOA15-12"/>
    <d v="2025-09-08T00:00:00"/>
    <d v="2025-12-05T00:00:00"/>
    <x v="0"/>
    <x v="0"/>
    <d v="2025-12-06T00:00:00"/>
    <s v="Falha no gerador."/>
    <x v="2"/>
    <x v="1"/>
    <s v="11/09: Aguardando ida da Ecovis._x000a_02/10: Ecovis iniciou os reparos dia 30/09._x000a_09/10: Turbina retornou e operou por pouco tempo, vindo a falhar novamente durante a madrugada de hoje. Time Invenergy subiu hoje para reabrir o gerador para preparar para Ecovis. _x000a_16/10: Ecovis reparou, porém, a máquina voltou a falhar, porém, durante testes não foram encontradas falhas no reparo. Estão fazendo a troca do slipring agora para buscar sanar a falha. _x000a_23/10: Gerador foi reaberto para Ecovis fazer uma nova inspeção no reparo, porém, não foram encontrados danos. Seguiremos com o fechamento do gerador para continuação do troubleshooting. _x000a_30/10: Time de campo realizando o troubleshooting de falha no gerador._x000a_06/11: Time finalizando os testes (juntamente com a Ecovis) e será colocada em operação hoje.  _x000a_13/11: Máquina em DT (visivelmente não é possível ver o dano). Troubleshooting sendo realizado juntamente com o time do EUA. _x000a_27/11: Time realizando abertura do gerador para inspeção da Positivo. _x000a_04/12: Positivo realizando o reparo, previsão de retorno amanhã."/>
    <m/>
    <s v="Operations  - O&amp;M"/>
    <m/>
    <s v="Invenergy"/>
    <n v="2112"/>
    <m/>
  </r>
  <r>
    <x v="0"/>
    <s v="JOA09-02"/>
    <d v="2025-12-01T00:00:00"/>
    <d v="2025-12-08T00:00:00"/>
    <x v="0"/>
    <x v="0"/>
    <m/>
    <s v="Troca do HSS"/>
    <x v="4"/>
    <x v="1"/>
    <s v="04/12: Troca do HSS em andamento."/>
    <n v="0.45"/>
    <m/>
    <m/>
    <m/>
    <m/>
    <m/>
  </r>
  <r>
    <x v="0"/>
    <s v="JOA10-04"/>
    <d v="2025-10-22T00:00:00"/>
    <d v="2025-12-10T00:00:00"/>
    <x v="0"/>
    <x v="0"/>
    <m/>
    <s v="Falha do gerador."/>
    <x v="2"/>
    <x v="1"/>
    <s v="23/10: Time realizando o troubleshooting. _x000a_30/10: Identificado danos nos cabos do gerador. Ecovis fez a inspeção e decretou DT._x000a_13/11: Máquina em DT._x000a_04/12: Positivo realizaou o reparo e equipe O&amp;M está fechando o gerador. "/>
    <m/>
    <s v="Operations  - O&amp;M"/>
    <m/>
    <s v="Invenergy"/>
    <n v="1176"/>
    <m/>
  </r>
  <r>
    <x v="0"/>
    <s v="JOA12-07"/>
    <d v="2025-11-27T00:00:00"/>
    <d v="2025-12-10T00:00:00"/>
    <x v="0"/>
    <x v="0"/>
    <d v="2025-12-19T00:00:00"/>
    <s v="Reparo de blade."/>
    <x v="9"/>
    <x v="1"/>
    <s v="04/12: Reparo de blade sendo executado."/>
    <m/>
    <m/>
    <m/>
    <m/>
    <m/>
    <m/>
  </r>
  <r>
    <x v="0"/>
    <s v="JOA12-17"/>
    <d v="2025-06-08T00:00:00"/>
    <d v="2025-12-12T00:00:00"/>
    <x v="0"/>
    <x v="0"/>
    <d v="2025-12-12T00:00:00"/>
    <s v="Dano no barramento do gerador (posterior ao Wye Ring). "/>
    <x v="2"/>
    <x v="1"/>
    <s v="Programado para execução com a Ecovis_x000a_10/07: Ecovis realizando o reparo._x000a_17/07: Reparo feito, porém, a máquina voltou a falhar. Foi solicitado garantia à Ecovis. Ecovis em mobilização para o parque, com previsão de chegada no parque dia 17/07._x000a_24/07: Após avaliação da Ecovis foi constatado que não é possível um novo reparo. Turbina em DT para MCE._x000a_21/11: Chegou um gerador para essa máquina._x000a_27/11: Positivo fez um reparo no gerador, porém, os cabos ficaram curtos e não encaixaram durante o fechamento do gerador. Com isso, foi solicitado o retorno da Positivo a máquina para correção. Equipe em turbina hoje. Segundo equipe de campo não foi feito nada diferente do que a Ecovis fazia. _x000a_04/12: Sendo finalizada montagem da turbina, retorno a operação poderá ser hoje ainda._x000a_11/12: Reparo realizado pela Positivo finalizado, pendente apenas corretiva.  "/>
    <m/>
    <s v="Operations - FSO"/>
    <m/>
    <m/>
    <n v="0"/>
    <n v="0"/>
  </r>
  <r>
    <x v="0"/>
    <s v="JOA16-14"/>
    <d v="2025-12-10T00:00:00"/>
    <d v="2025-12-15T00:00:00"/>
    <x v="0"/>
    <x v="0"/>
    <m/>
    <s v="Reparo de blade."/>
    <x v="9"/>
    <x v="1"/>
    <s v="11/12: Reparo de blade sendo executado._x000a_18/12: Reparo de blade finalizado. "/>
    <m/>
    <m/>
    <m/>
    <m/>
    <n v="0"/>
    <m/>
  </r>
  <r>
    <x v="2"/>
    <s v="JOA01-06"/>
    <d v="2025-12-15T00:00:00"/>
    <d v="2025-12-17T00:00:00"/>
    <x v="0"/>
    <x v="0"/>
    <d v="2025-12-19T00:00:00"/>
    <s v="Reparo de blade."/>
    <x v="9"/>
    <x v="1"/>
    <s v="18/12: Reparo de blade sendo executado. "/>
    <m/>
    <m/>
    <m/>
    <s v="Essentia"/>
    <n v="0"/>
    <m/>
  </r>
  <r>
    <x v="0"/>
    <s v="JOA12-10"/>
    <d v="2025-12-15T00:00:00"/>
    <d v="2025-12-17T00:00:00"/>
    <x v="0"/>
    <x v="0"/>
    <d v="2025-12-19T00:00:00"/>
    <s v="Reparo de blade."/>
    <x v="9"/>
    <x v="1"/>
    <s v="18/12: Reparo de blade sendo executado. "/>
    <m/>
    <m/>
    <m/>
    <s v="Essentia"/>
    <n v="0"/>
    <m/>
  </r>
  <r>
    <x v="0"/>
    <s v="JOA10-13"/>
    <d v="2025-10-02T00:00:00"/>
    <d v="2025-12-18T00:00:00"/>
    <x v="0"/>
    <x v="0"/>
    <d v="2025-12-19T00:00:00"/>
    <s v="Rompimento da Carcaça da Gearbox"/>
    <x v="4"/>
    <x v="2"/>
    <s v="Aguardando MCE_x000a_13/11: Aguardando finalização na 12-06._x000a_27/11: Troca em andamento. Inicio dia 24/11._x000a_04/12: Troca finalizada, pós work sendo feito e desmontagem do guindaste principal. _x000a_11/12: Pós work do MCE sendo realizado. _x000a_18/12: Troubleshooting corretivo (comunicação do hub) sendo executado pelo time de O&amp;M. Incidência de L2 hoje. "/>
    <n v="1"/>
    <m/>
    <m/>
    <s v="Essentia"/>
    <n v="0"/>
    <n v="0"/>
  </r>
  <r>
    <x v="0"/>
    <s v="JOA09-01"/>
    <d v="2025-11-10T00:00:00"/>
    <d v="2025-12-18T00:00:00"/>
    <x v="0"/>
    <x v="0"/>
    <d v="2025-12-19T00:00:00"/>
    <s v="Falha da gearbox"/>
    <x v="4"/>
    <x v="2"/>
    <s v="Aguardando MCE_x000a_04/12: Início da mobilização hoje. _x000a_11/12: Pós work em andamento. _x000a_18/12: Troubleshooting corretivo sendo executado (sensor da pastilha de freio). Incidência de L2 hoje. "/>
    <n v="1"/>
    <m/>
    <m/>
    <s v="Essentia"/>
    <n v="0"/>
    <n v="0"/>
  </r>
  <r>
    <x v="2"/>
    <s v="JOA05-04"/>
    <d v="2025-12-15T00:00:00"/>
    <d v="2025-12-22T00:00:00"/>
    <x v="0"/>
    <x v="0"/>
    <d v="2025-12-24T00:00:00"/>
    <s v="Troca do HSS"/>
    <x v="14"/>
    <x v="1"/>
    <s v="18/12: Troca de HSS sendo executado. "/>
    <n v="1"/>
    <m/>
    <m/>
    <s v="Essentia"/>
    <n v="0"/>
    <m/>
  </r>
  <r>
    <x v="2"/>
    <s v="JOA03-16"/>
    <d v="2025-12-17T00:00:00"/>
    <d v="2025-12-23T00:00:00"/>
    <x v="0"/>
    <x v="0"/>
    <m/>
    <s v="Yaw Drive"/>
    <x v="8"/>
    <x v="1"/>
    <s v="18/12: Sendo realizada a troca do yaw drive (apenas 1). Sendo trocado com o Liftra. "/>
    <m/>
    <m/>
    <m/>
    <m/>
    <m/>
    <m/>
  </r>
  <r>
    <x v="2"/>
    <s v="JOA01-15"/>
    <d v="2025-08-29T00:00:00"/>
    <d v="2026-01-01T00:00:00"/>
    <x v="0"/>
    <x v="0"/>
    <m/>
    <s v="Falha no gerador. Wye Ring"/>
    <x v="15"/>
    <x v="1"/>
    <s v="04/09: Aguardando a ida da Ecovis para análise de viabilidade de reparo. _x000a_11/09: Ecovis concluiu que não havia a possibilidade de reparo. Máquina segue em DT para MCE. _x000a_18/09: Yaw drives foram canibalizados para retorno da JOA05-01.  Será feita tentativa de reparo uptower dos YDs._x000a_02/10: Previsão de chegada do gerador para 21/11/25. Previsão de retonor em dez/25._x000a_21/11: Chegou apenas um gerador, porém, será direcionado para a JOA12-17._x000a_04/12: Reparo foi feito pela positivo. Porém, aguardando reposição do yaw drive. _x000a_11/12: Yaw drives sendo removidos hoje, reposição será feita amanhã. Outras peças pendentes ainda. Aguardando entrega das peças faltantes. _x000a_18/12: Yaw drives foram removidos e remontados. Outras peças (fusível de linha, banco de capacitor, cabo do motor de pitch, encoder do motor de pitch e etc) sendo repostas (removendo da turbina JOA16-09)."/>
    <m/>
    <s v="Operations - FSO"/>
    <m/>
    <m/>
    <n v="0"/>
    <m/>
  </r>
  <r>
    <x v="0"/>
    <s v="JOA12-15"/>
    <d v="2026-01-07T00:00:00"/>
    <d v="2026-01-17T00:00:00"/>
    <x v="0"/>
    <x v="0"/>
    <d v="2026-01-19T00:00:00"/>
    <s v="Falha no gerador. Wye Ring"/>
    <x v="2"/>
    <x v="1"/>
    <s v="08/01: Máquina parou hoje. Aguardando disposição e mobilização da Positivo._x000a_15/01: Reparo foi finalizado ontem. Time Invenergy em máquina hoje realizando o fechamento do gerador. "/>
    <m/>
    <m/>
    <m/>
    <s v="Essentia"/>
    <m/>
    <m/>
  </r>
  <r>
    <x v="2"/>
    <s v="AUG04-01"/>
    <d v="2026-01-09T00:00:00"/>
    <d v="2026-01-18T00:00:00"/>
    <x v="0"/>
    <x v="0"/>
    <d v="2026-01-17T00:00:00"/>
    <s v="Reparo externo de blade. "/>
    <x v="9"/>
    <x v="1"/>
    <s v="15/01: Durante atividade corretiva houve a queda de uma bateria para dentro da pá. Devido a isso foi necessário a abertura de uma janela na pá para remoção da bateria. Portanto, foi necessário reparo externo de blade. Prazo para finalização 17/01."/>
    <m/>
    <m/>
    <m/>
    <s v="Invenergy"/>
    <m/>
    <m/>
  </r>
  <r>
    <x v="0"/>
    <s v="JOA09-13"/>
    <d v="2026-01-07T00:00:00"/>
    <d v="2026-01-27T00:00:00"/>
    <x v="0"/>
    <x v="0"/>
    <d v="2026-01-23T00:00:00"/>
    <s v="Main Bearing"/>
    <x v="11"/>
    <x v="2"/>
    <s v="08/01: Parada programada para troca do main bearing. _x000a_15/01: Troca em 35% de evolução. _x000a_22/01: Troca finalizada. Sendo executada corretiva pelo time O&amp;M. _x000a_29/01: Corretiva finalizada turbina em operação dia 27/01."/>
    <n v="1"/>
    <m/>
    <m/>
    <s v="Essentia"/>
    <m/>
    <m/>
  </r>
  <r>
    <x v="0"/>
    <s v="JOA09-14"/>
    <d v="2026-01-17T00:00:00"/>
    <d v="2026-01-27T00:00:00"/>
    <x v="0"/>
    <x v="0"/>
    <d v="2026-01-29T00:00:00"/>
    <s v="Main Bearing"/>
    <x v="11"/>
    <x v="2"/>
    <s v="22/01: Troca em andamento. _x000a_29/01: Troca finalizada a turbina em operação dia 27/01."/>
    <n v="1"/>
    <m/>
    <m/>
    <m/>
    <m/>
    <m/>
  </r>
  <r>
    <x v="0"/>
    <s v="JOA16-09"/>
    <d v="2025-12-13T00:00:00"/>
    <d v="2026-01-28T00:00:00"/>
    <x v="0"/>
    <x v="0"/>
    <d v="2026-01-30T00:00:00"/>
    <s v="Falha no gerador. Wye Ring"/>
    <x v="2"/>
    <x v="1"/>
    <s v="18/12: Aguardando realização de reparo uptower. _x000a_08/01: Aguardando mobilização da Positivo para execução do reparo. Previsão de chegada no parque no dia 12/01/2026._x000a_15/01: Positivo iniciou o reparo hoje._x000a_22/01: Iniciado hoje o fechamento do gerador. Em adição, aguardando a chegada de parts (fusíveis, cabos e outros itens)._x000a_29/01: Turbina operou dia 28/01/2026."/>
    <m/>
    <m/>
    <m/>
    <s v="Essentia"/>
    <n v="0"/>
    <m/>
  </r>
  <r>
    <x v="0"/>
    <s v="JOA15-10"/>
    <d v="2026-01-19T00:00:00"/>
    <d v="2026-01-28T00:00:00"/>
    <x v="0"/>
    <x v="0"/>
    <m/>
    <s v="Substituição HSS"/>
    <x v="14"/>
    <x v="1"/>
    <s v="22/01: Troca em andamento. _x000a_29/01: Troca em andamento. Previsão para hoje."/>
    <n v="1"/>
    <m/>
    <m/>
    <m/>
    <m/>
    <m/>
  </r>
  <r>
    <x v="0"/>
    <s v="JOA11-01"/>
    <d v="2026-01-19T00:00:00"/>
    <d v="2026-01-29T00:00:00"/>
    <x v="0"/>
    <x v="0"/>
    <d v="2026-02-02T00:00:00"/>
    <s v="Reparo de blade"/>
    <x v="9"/>
    <x v="1"/>
    <s v="22/01: Reparo em andamento. Houve atraso devido a questionamentos de EHS por parte da Essentia na documentação dos técnicos da MegaWind + L2._x000a_29/01: Reparo em andamento."/>
    <m/>
    <m/>
    <m/>
    <m/>
    <m/>
    <m/>
  </r>
  <r>
    <x v="2"/>
    <s v="JOA05-16"/>
    <d v="2025-12-29T00:00:00"/>
    <d v="2026-02-06T00:00:00"/>
    <x v="0"/>
    <x v="0"/>
    <d v="2026-02-06T00:00:00"/>
    <s v="Falha no gerador. Wye Ring"/>
    <x v="2"/>
    <x v="1"/>
    <s v="08/01: Aguardando mobilização da Positivo. _x000a_22/01: Positivo iniciando o reparo hoje. _x000a_29/01: Finalizado reparo do wye ring. Inicio do fechamento do gerador dia 30/01._x000a_05/02: Retornou hoje, porém, houve uma falha na WECA que não pode ser atendida ainda devido a L2. "/>
    <m/>
    <m/>
    <m/>
    <s v="Essentia"/>
    <m/>
    <m/>
  </r>
  <r>
    <x v="2"/>
    <s v="JOA01-11"/>
    <d v="2026-01-06T00:00:00"/>
    <d v="2026-02-11T00:00:00"/>
    <x v="0"/>
    <x v="0"/>
    <d v="2026-02-06T00:00:00"/>
    <s v="Reparo de blade"/>
    <x v="9"/>
    <x v="1"/>
    <s v="08/01: Reparo sendo executado pela Invenergy. _x000a_15/01: Reparo em andamento. _x000a_22/01: Reparo em andamento. Houve atraso devido a questionamentos de EHS por parte da Essentia na documentação dos técnicos da MegaWind + L2._x000a_29/01: Reparo em andamento. _x000a_05/02: Reparo em andamento, houve atraso devido a incidÊncia de L2."/>
    <m/>
    <m/>
    <m/>
    <s v="Invenergy"/>
    <m/>
    <m/>
  </r>
  <r>
    <x v="2"/>
    <s v="AUG04-14"/>
    <d v="2026-01-24T00:00:00"/>
    <d v="2026-02-12T00:00:00"/>
    <x v="0"/>
    <x v="0"/>
    <d v="2026-02-12T00:00:00"/>
    <s v="Troca do pitch bearing"/>
    <x v="6"/>
    <x v="2"/>
    <s v="29/01: Troca em andamento._x000a_05/02: Aguardando retorno do grid para retorno a operação. Aguardando Essentia religar. "/>
    <n v="1"/>
    <m/>
    <m/>
    <m/>
    <m/>
    <m/>
  </r>
  <r>
    <x v="1"/>
    <s v="AB04-11"/>
    <d v="2026-02-10T00:00:00"/>
    <d v="2026-02-12T00:00:00"/>
    <x v="0"/>
    <x v="0"/>
    <m/>
    <s v="Substituição do rolamento traseiro do gerador"/>
    <x v="2"/>
    <x v="1"/>
    <s v="12/02: Troca do rolamento traseiro do rolamento B do gerador em andamento."/>
    <m/>
    <m/>
    <m/>
    <m/>
    <m/>
    <m/>
  </r>
  <r>
    <x v="0"/>
    <s v="JOA11-11"/>
    <d v="2026-01-26T00:00:00"/>
    <d v="2026-02-13T00:00:00"/>
    <x v="0"/>
    <x v="0"/>
    <d v="2026-02-13T00:00:00"/>
    <s v="Falha no gerador. Wye Ring"/>
    <x v="2"/>
    <x v="1"/>
    <s v="12/02: Reparo do wye ring executado pela positivo. Aguardando fechamento e comissionamento do gerador."/>
    <m/>
    <m/>
    <m/>
    <m/>
    <m/>
    <m/>
  </r>
  <r>
    <x v="2"/>
    <s v="JOA01-06"/>
    <d v="2026-02-02T00:00:00"/>
    <d v="2026-02-13T00:00:00"/>
    <x v="0"/>
    <x v="0"/>
    <d v="2026-02-13T00:00:00"/>
    <s v="Reparo de blade"/>
    <x v="9"/>
    <x v="1"/>
    <s v="05/02: Reparo em andamento. Previsão de retorno no dia 06/02, porém, o time retornará na segunda para realizar outro reparo._x000a_12/02: Reparo em andamento. Previsão de retorno no dia 13/02. "/>
    <m/>
    <m/>
    <m/>
    <m/>
    <m/>
    <m/>
  </r>
  <r>
    <x v="1"/>
    <s v="AB08-15"/>
    <d v="2026-02-11T00:00:00"/>
    <d v="2026-02-13T00:00:00"/>
    <x v="0"/>
    <x v="0"/>
    <m/>
    <s v="Reparo de blade"/>
    <x v="9"/>
    <x v="1"/>
    <s v="12/02: Reparo de blade em andamento. "/>
    <m/>
    <m/>
    <m/>
    <m/>
    <m/>
    <m/>
  </r>
  <r>
    <x v="0"/>
    <s v="JOA15-06"/>
    <d v="2026-01-21T00:00:00"/>
    <d v="2026-02-20T00:00:00"/>
    <x v="0"/>
    <x v="0"/>
    <d v="2026-02-20T00:00:00"/>
    <s v="Falha no gerador. Wye Ring"/>
    <x v="2"/>
    <x v="1"/>
    <s v="29/01: Turbina fora de operação aguardando inspeção da Positivo._x000a_05/02: Positivo iria iniciar as atividades hoje, porém, houve impacto devido a L2._x000a_12/02: Positivo finalizou o reparo na segunda 09/02. Porém, aguardando chegada do kit 3x1 (talha manual) para içamento das ferramentas para remontagem do gerador. Previsão de início de montagem amanhã._x000a_19/02: Sendo realizado o fechamento do gerador. Previsão de retorno inicial seria hoje 19/02, porém, houve impacto de L2. _x000a_26/02: Finalizada a montagem do gerador e turbina em operação."/>
    <n v="0"/>
    <m/>
    <m/>
    <m/>
    <m/>
    <m/>
  </r>
  <r>
    <x v="2"/>
    <s v="AUG04-17"/>
    <d v="2025-11-17T00:00:00"/>
    <d v="2026-02-25T00:00:00"/>
    <x v="0"/>
    <x v="0"/>
    <d v="2026-02-20T00:00:00"/>
    <s v="Falha no gerador."/>
    <x v="15"/>
    <x v="2"/>
    <s v="Aguardando MCE_x000a_04/12: Previsão de inicio da troca 15/12. Condenada pela positivo também. _x000a_11/12: Set de yaw drives já chegaram. Porém, aguardando a chegada do gerador. _x000a_08/01: Aguardando a chegada do gerador. Chegada do gerador prevista para o dia 15/02._x000a_22/01: Chegada em 26/01. Avaliando-se para qual turbina será direcionada. _x000a_29/01: gerador em site aguardando mobilização do guindaste._x000a_05/02: Troca em andamento._x000a_12/02: Em processo de montagem das peças faltantes. Previsão de retorno 12/02._x000a_19/02: Turbina em corretiva. Sendo realizado o troubleshooting de comunicação no hub. Previsão inicial seria hoje 19/02, porém, houve impacto de L2. _x000a_26/02: Finalizada a troca dos componentes"/>
    <n v="0.93"/>
    <m/>
    <m/>
    <s v="Essentia"/>
    <n v="0"/>
    <n v="0"/>
  </r>
  <r>
    <x v="2"/>
    <s v="AUG03-05"/>
    <d v="2026-02-02T00:00:00"/>
    <d v="2026-02-28T00:00:00"/>
    <x v="0"/>
    <x v="0"/>
    <d v="2026-02-28T00:00:00"/>
    <s v="Parada para troca da Gearbox (turbina previamente em operação)"/>
    <x v="4"/>
    <x v="2"/>
    <s v="05/02: Turbina fora de operação para a troca do grande componente._x000a_12/02: Sendo realizada a montagem do Liftra. Houve um atraso devido à problemas de vazamento no Liftra. Aguardando a chegada de óleo para ser utilizado no guindaste. Óleo chegou e já conseguimos subir o guindaste._x000a_19/02: Atividade em andamento. Hoje deve ocorrer o içamento da gearbox nova e da capota.  _x000a_26/02: Capota fechada, gearbox sendo preenchida com óleo. Liftra sendo desmontado. Houve atraso devido a alto impacto de L2. Pós work em andamento. "/>
    <n v="1"/>
    <m/>
    <m/>
    <m/>
    <m/>
    <m/>
  </r>
  <r>
    <x v="2"/>
    <s v="AUG04-02"/>
    <d v="2026-02-10T00:00:00"/>
    <d v="2026-03-04T00:00:00"/>
    <x v="0"/>
    <x v="0"/>
    <d v="2026-02-02T00:00:00"/>
    <s v="Troca de rolamento de pitch (turbina previamente em operação)"/>
    <x v="6"/>
    <x v="2"/>
    <s v="12/02: Troca de pitch bearing em andamento. _x000a_19/02: Troca em andamento. _x000a_26/02: Descida da terceira blade realizada ontem. Houve atraso devido ao alto impacto de L2. "/>
    <n v="1"/>
    <m/>
    <m/>
    <m/>
    <m/>
    <m/>
  </r>
  <r>
    <x v="2"/>
    <s v="JOA05-06"/>
    <d v="2026-02-18T00:00:00"/>
    <d v="2026-03-06T00:00:00"/>
    <x v="0"/>
    <x v="0"/>
    <d v="2026-03-06T00:00:00"/>
    <s v="Reparo de blade"/>
    <x v="9"/>
    <x v="1"/>
    <s v="_x000a_19/02: Reparo de blade em andamento._x000a_26/02: Reparo em andamento. Houve atraso devido ao alto impacto de L2. _x000a_06/03: Reparo em andamento. Previsão de retorno hoje."/>
    <m/>
    <m/>
    <m/>
    <m/>
    <m/>
    <m/>
  </r>
  <r>
    <x v="2"/>
    <s v="JOA05-13"/>
    <d v="2026-02-12T00:00:00"/>
    <d v="2026-03-07T00:00:00"/>
    <x v="0"/>
    <x v="0"/>
    <d v="2026-03-06T00:00:00"/>
    <s v="Reparo de blade"/>
    <x v="9"/>
    <x v="1"/>
    <s v="12/02: Reparo de blade em andamento. _x000a_19/02: Reparo em andamento_x000a_26/02: Reparo em andamento. Houve atraso devido ao alto impacto de L2. _x000a_06/03: Finalizado o reparo de blade hoje. Corretiva em execução corretiva. "/>
    <m/>
    <m/>
    <m/>
    <m/>
    <m/>
    <m/>
  </r>
  <r>
    <x v="2"/>
    <s v="JOA05-02"/>
    <d v="2026-02-27T00:00:00"/>
    <d v="2026-03-12T00:00:00"/>
    <x v="0"/>
    <x v="0"/>
    <m/>
    <s v="Troca de pitch bearing. "/>
    <x v="6"/>
    <x v="2"/>
    <s v="06/03: Troca de pitch bearing em andamento. _x000a_12/03: Previsão de retorno amanhã. Será executado pós work para operação. Houve impacto devido a L2. "/>
    <n v="1"/>
    <m/>
    <m/>
    <m/>
    <m/>
    <m/>
  </r>
  <r>
    <x v="2"/>
    <s v="JOA01-17"/>
    <d v="2026-03-09T00:00:00"/>
    <d v="2026-03-14T00:00:00"/>
    <x v="0"/>
    <x v="0"/>
    <m/>
    <s v="Reparo de blade"/>
    <x v="9"/>
    <x v="1"/>
    <s v="12/03: Reparo de blade sendo executado. Previsão de retorno amanhã. "/>
    <m/>
    <m/>
    <m/>
    <m/>
    <m/>
    <m/>
  </r>
  <r>
    <x v="2"/>
    <s v="JOA05-03"/>
    <d v="2026-03-07T00:00:00"/>
    <d v="2026-03-19T00:00:00"/>
    <x v="0"/>
    <x v="0"/>
    <d v="2026-03-19T00:00:00"/>
    <s v="Troca de pitch bearing. "/>
    <x v="6"/>
    <x v="2"/>
    <s v="12/03: Troca do pitch bearing em andamento._x000a_19/03: Turbina já energizada. Previsão de retorno hoje. "/>
    <n v="1"/>
    <m/>
    <m/>
    <m/>
    <m/>
    <m/>
  </r>
  <r>
    <x v="1"/>
    <s v="AB04-04"/>
    <d v="2026-03-16T00:00:00"/>
    <d v="2026-03-20T00:00:00"/>
    <x v="0"/>
    <x v="0"/>
    <m/>
    <s v="Reparo de blade."/>
    <x v="9"/>
    <x v="1"/>
    <s v="19/03: Reparo de blade em andamento."/>
    <m/>
    <m/>
    <m/>
    <m/>
    <m/>
    <m/>
  </r>
  <r>
    <x v="0"/>
    <s v="JOA12-16"/>
    <d v="2026-03-02T00:00:00"/>
    <d v="2026-03-23T00:00:00"/>
    <x v="0"/>
    <x v="0"/>
    <d v="2026-03-19T00:00:00"/>
    <s v="Troca de gearbox com Liftra. "/>
    <x v="4"/>
    <x v="2"/>
    <s v="06/03: Sendo realizada a troca da gearbox com o Liftra._x000a_12/03: Sendo realizada a descida do LT1200. _x000a_19/03: Finalizando o pós-work. "/>
    <n v="1"/>
    <m/>
    <m/>
    <m/>
    <m/>
    <m/>
  </r>
  <r>
    <x v="2"/>
    <s v="JOA01-14"/>
    <d v="2026-03-16T00:00:00"/>
    <d v="2026-03-23T00:00:00"/>
    <x v="0"/>
    <x v="0"/>
    <m/>
    <s v="Yaw drive."/>
    <x v="8"/>
    <x v="2"/>
    <s v="19/03: Turbina parada devido a quebra do yaw drive. "/>
    <m/>
    <m/>
    <m/>
    <m/>
    <m/>
    <m/>
  </r>
  <r>
    <x v="1"/>
    <s v="AB06-03"/>
    <d v="2026-02-13T00:00:00"/>
    <d v="2026-03-25T00:00:00"/>
    <x v="0"/>
    <x v="0"/>
    <d v="2026-03-26T00:00:00"/>
    <s v="Danos no main bearing."/>
    <x v="11"/>
    <x v="2"/>
    <s v="19/02: Foram identificadas quebras das bordas do rolamento e danos avançados na pista externa, com isso foi recomendada a parada da máquina para troca. Aguardando MCE. Início previsto para 16/03._x000a_19/03: Substituição em andamento. _x000a_"/>
    <n v="1"/>
    <m/>
    <m/>
    <m/>
    <m/>
    <m/>
  </r>
  <r>
    <x v="2"/>
    <s v="JOA01-01"/>
    <d v="2026-03-06T00:00:00"/>
    <d v="2026-03-26T00:00:00"/>
    <x v="0"/>
    <x v="0"/>
    <d v="2026-03-20T00:00:00"/>
    <s v="Reparo de blade."/>
    <x v="9"/>
    <x v="1"/>
    <s v="06/03: Reparo de blade iniciado hoje. _x000a_12/03: Previsão de rotorno amanhã. _x000a_19/03: Previsão de finalização 20/03._x000a_26/03: Reparo em andamento. Houve impacto na operação devido a L2."/>
    <m/>
    <m/>
    <m/>
    <m/>
    <m/>
    <m/>
  </r>
  <r>
    <x v="0"/>
    <s v="JOA16-07"/>
    <d v="2026-03-16T00:00:00"/>
    <d v="2026-03-26T00:00:00"/>
    <x v="0"/>
    <x v="0"/>
    <d v="2026-03-20T00:00:00"/>
    <s v="Reparo de blade."/>
    <x v="9"/>
    <x v="1"/>
    <s v="19/03: Reparo de blade em andamento. Previsão de retorno 20/03."/>
    <m/>
    <m/>
    <m/>
    <m/>
    <m/>
    <m/>
  </r>
  <r>
    <x v="1"/>
    <s v="AB07-14"/>
    <d v="2026-03-24T00:00:00"/>
    <d v="2026-03-27T00:00:00"/>
    <x v="0"/>
    <x v="0"/>
    <m/>
    <s v="Reparo de blade."/>
    <x v="9"/>
    <x v="1"/>
    <s v="26/03: Reparo de blade em andamento."/>
    <m/>
    <m/>
    <m/>
    <m/>
    <m/>
    <m/>
  </r>
  <r>
    <x v="1"/>
    <s v="AB05-12"/>
    <d v="2026-03-25T00:00:00"/>
    <d v="2026-03-28T00:00:00"/>
    <x v="0"/>
    <x v="0"/>
    <m/>
    <s v="Reparo de blade."/>
    <x v="9"/>
    <x v="1"/>
    <s v="26/03: Reparo de blade em andamento."/>
    <m/>
    <m/>
    <m/>
    <m/>
    <m/>
    <m/>
  </r>
  <r>
    <x v="0"/>
    <s v="JOA 09-09"/>
    <d v="2026-03-24T00:00:00"/>
    <d v="2026-04-02T00:00:00"/>
    <x v="0"/>
    <x v="0"/>
    <m/>
    <s v="Troca de gearbox (Liftra)"/>
    <x v="4"/>
    <x v="2"/>
    <s v="26/03: Troca em andamento. "/>
    <n v="1"/>
    <m/>
    <m/>
    <m/>
    <m/>
    <m/>
  </r>
  <r>
    <x v="2"/>
    <s v="JOA 01-12"/>
    <d v="2026-01-14T00:00:00"/>
    <d v="2026-04-03T00:00:00"/>
    <x v="0"/>
    <x v="0"/>
    <d v="2026-04-03T00:00:00"/>
    <s v="Falha no gerador. Wye Ring"/>
    <x v="2"/>
    <x v="2"/>
    <s v="15/01: Aguardando reparo da Positivo._x000a_22/01: Positivo avaliou os danos e constatou que não há possibilidade de reparo. Aguardando MCE. _x000a_29/01: Aguardando MCE._x000a_26/02: Inicio das atividades previsto para 12/03._x000a_06/03: S/ atualizações_x000a_12/03: S/ atualizações. Início planejado para 18/03. Gerador já está disponível em site. _x000a_19/03: MCE está em andamento. _x000a_26/03: MCE finalizado. Porém, o novo gerador veio sem a isolação dos cabos do slipring. Engenharia avaliando juntamente do time de campo. _x000a_02/04: Segue parada devido a troubleshooting de baterias. Temos tido impacto de L2."/>
    <n v="0.97"/>
    <m/>
    <m/>
    <m/>
    <m/>
    <m/>
  </r>
  <r>
    <x v="1"/>
    <s v="AB06-13"/>
    <d v="2026-03-24T00:00:00"/>
    <d v="2026-04-07T00:00:00"/>
    <x v="0"/>
    <x v="0"/>
    <m/>
    <s v="Troca gearbox e main bearing"/>
    <x v="16"/>
    <x v="2"/>
    <s v="26/03: Troca da gearbox em andamento. Mobilização e montagem do guindaste em andamento. TROCA CONJUNTA DE GEARBOX E MAIN BEARING_x000a_04/02: Substituição da gearbox realizada. Próximo passo desmontagem do guindaste.  "/>
    <n v="1"/>
    <m/>
    <m/>
    <m/>
    <m/>
    <m/>
  </r>
  <r>
    <x v="1"/>
    <s v="AB07-11"/>
    <d v="2026-03-30T00:00:00"/>
    <d v="2026-04-07T00:00:00"/>
    <x v="0"/>
    <x v="0"/>
    <m/>
    <s v="Reparo de blade."/>
    <x v="9"/>
    <x v="1"/>
    <s v="02/04: Reparo de blade em andamento."/>
    <m/>
    <m/>
    <m/>
    <m/>
    <m/>
    <m/>
  </r>
  <r>
    <x v="2"/>
    <s v="JOA01-14"/>
    <d v="2026-04-06T00:00:00"/>
    <d v="2026-04-09T00:00:00"/>
    <x v="0"/>
    <x v="0"/>
    <d v="2026-04-10T00:00:00"/>
    <s v="Troca Yaw Drive"/>
    <x v="8"/>
    <x v="2"/>
    <s v="09/04: Troca do yaw drive com Liftra em andamento. "/>
    <n v="1"/>
    <m/>
    <m/>
    <m/>
    <m/>
    <m/>
  </r>
  <r>
    <x v="0"/>
    <s v="JOA 15-02"/>
    <d v="2026-03-23T00:00:00"/>
    <d v="2026-04-10T00:00:00"/>
    <x v="0"/>
    <x v="0"/>
    <m/>
    <s v="Reparo de blade"/>
    <x v="9"/>
    <x v="1"/>
    <s v="02/04: Reparo de blade finalizado. Troubleshooting em andamento. _x000a_09/04: Reparo de blade em andamento. _x000a_"/>
    <m/>
    <m/>
    <m/>
    <m/>
    <m/>
    <m/>
  </r>
  <r>
    <x v="2"/>
    <s v="JOA01-12"/>
    <d v="2026-04-03T00:00:00"/>
    <d v="2026-04-10T00:00:00"/>
    <x v="0"/>
    <x v="0"/>
    <d v="2026-04-10T00:00:00"/>
    <s v="Troubleshooting Q1"/>
    <x v="0"/>
    <x v="5"/>
    <s v="09/04: Após retorno de MCE (gerador) a máquina operou por algumas horas mas veio a parar devido a falha do Q1. Time está em máquina hoje instalando o Q1 ABB. _x000a_16/04: Q1 instalado. "/>
    <m/>
    <m/>
    <m/>
    <m/>
    <m/>
    <m/>
  </r>
  <r>
    <x v="2"/>
    <s v="JOA03-07"/>
    <d v="2026-03-27T00:00:00"/>
    <d v="2026-04-13T00:00:00"/>
    <x v="0"/>
    <x v="0"/>
    <d v="2026-04-17T00:00:00"/>
    <s v="Falha no gerador. Cabos de relead"/>
    <x v="2"/>
    <x v="1"/>
    <s v="02/04: Essentia está alinhando com a Positivo para execução do reparo na próxima semana. _x000a_09/04: Time Positivo iniciou os trabalhos ontem para validar a possibilidade de reparo. "/>
    <m/>
    <m/>
    <m/>
    <m/>
    <m/>
    <m/>
  </r>
  <r>
    <x v="1"/>
    <s v="AB07-14"/>
    <d v="2026-04-02T00:00:00"/>
    <d v="2026-04-13T00:00:00"/>
    <x v="0"/>
    <x v="0"/>
    <m/>
    <s v="Reparo de blade."/>
    <x v="9"/>
    <x v="1"/>
    <s v="09/04: Reparo de blade em andamento. "/>
    <m/>
    <m/>
    <m/>
    <m/>
    <m/>
    <m/>
  </r>
  <r>
    <x v="0"/>
    <s v="JOA16-09"/>
    <d v="2026-03-27T00:00:00"/>
    <d v="2026-04-15T00:00:00"/>
    <x v="0"/>
    <x v="0"/>
    <m/>
    <s v="Falha no gerador."/>
    <x v="2"/>
    <x v="1"/>
    <s v="02/04: Aparente falha no jumper de uma bobina. Positivo deverá retornar a essa máquina em carater de garantia. _x000a_09/04: Aguardando finalização da positivo na JOA03-07._x000a_16/04: Positivo finalizou serviço no dia 14/04/26."/>
    <m/>
    <m/>
    <m/>
    <m/>
    <m/>
    <m/>
  </r>
  <r>
    <x v="2"/>
    <s v="AUG04-02"/>
    <d v="2026-04-06T00:00:00"/>
    <d v="2026-04-15T00:00:00"/>
    <x v="0"/>
    <x v="0"/>
    <m/>
    <s v="Reparo de blade"/>
    <x v="9"/>
    <x v="1"/>
    <s v="09/04: Reparo de blade em andamento. "/>
    <m/>
    <m/>
    <m/>
    <m/>
    <m/>
    <m/>
  </r>
  <r>
    <x v="2"/>
    <s v="JOA05-11"/>
    <d v="2026-03-25T00:00:00"/>
    <d v="2026-04-17T00:00:00"/>
    <x v="0"/>
    <x v="0"/>
    <d v="2026-04-17T00:00:00"/>
    <s v="Troca de Main bearing. "/>
    <x v="11"/>
    <x v="2"/>
    <s v="26/03: Troca em andamento._x000a_04/02: Temos tido alguns problemas de encaixe do spider no rotor para realizar a sua remoção._x000a_09/04: Substituição do rolamento em andamento.  _x000a_16/04: Pós work em andamento. "/>
    <n v="0.89"/>
    <m/>
    <m/>
    <m/>
    <m/>
    <m/>
  </r>
  <r>
    <x v="0"/>
    <s v="JOA15-16"/>
    <d v="2026-04-13T00:00:00"/>
    <d v="2026-04-17T00:00:00"/>
    <x v="0"/>
    <x v="0"/>
    <m/>
    <s v="Reparo de blade"/>
    <x v="9"/>
    <x v="1"/>
    <s v="16/04: Reparo de blade em andamento. "/>
    <m/>
    <m/>
    <m/>
    <m/>
    <m/>
    <m/>
  </r>
  <r>
    <x v="0"/>
    <s v="JOA10-16"/>
    <d v="2026-04-10T00:00:00"/>
    <d v="2026-04-23T00:00:00"/>
    <x v="0"/>
    <x v="0"/>
    <d v="2026-04-23T00:00:00"/>
    <s v="Troca de Gearbox."/>
    <x v="4"/>
    <x v="2"/>
    <s v="16/04: Troca da gearbox em andamento. "/>
    <n v="1"/>
    <m/>
    <m/>
    <m/>
    <m/>
    <m/>
  </r>
  <r>
    <x v="1"/>
    <s v="AB05-03"/>
    <d v="2026-04-07T00:00:00"/>
    <d v="2026-04-24T00:00:00"/>
    <x v="0"/>
    <x v="0"/>
    <m/>
    <s v="Troca de Main bearing + Gearbox"/>
    <x v="17"/>
    <x v="2"/>
    <s v="09/04: Troca em andamento. "/>
    <n v="1"/>
    <m/>
    <m/>
    <m/>
    <m/>
    <m/>
  </r>
  <r>
    <x v="2"/>
    <s v="JOA01-07"/>
    <d v="2026-04-21T00:00:00"/>
    <d v="2026-04-29T00:00:00"/>
    <x v="0"/>
    <x v="0"/>
    <d v="2026-04-30T00:00:00"/>
    <s v="Reparo de blade"/>
    <x v="9"/>
    <x v="1"/>
    <s v="23/04: Turbina em reparo de blade_x000a_30/04: Previsão de retorno para hoje"/>
    <m/>
    <m/>
    <m/>
    <m/>
    <m/>
    <m/>
  </r>
  <r>
    <x v="2"/>
    <s v="JOA04-08"/>
    <d v="2026-04-16T00:00:00"/>
    <d v="2026-04-30T00:00:00"/>
    <x v="0"/>
    <x v="0"/>
    <d v="2026-04-30T00:00:00"/>
    <s v="Troca de Main bearing. "/>
    <x v="11"/>
    <x v="2"/>
    <s v="16/04: Troca de main bearing em andamento. _x000a_30/04: Startup da turbina em andamento."/>
    <n v="0.96"/>
    <m/>
    <m/>
    <m/>
    <m/>
    <m/>
  </r>
  <r>
    <x v="0"/>
    <s v="JOA10-05"/>
    <d v="2026-04-30T00:00:00"/>
    <d v="2026-05-07T00:00:00"/>
    <x v="0"/>
    <x v="0"/>
    <d v="2026-05-07T00:00:00"/>
    <s v="Reparo da fixação do pillow block"/>
    <x v="11"/>
    <x v="1"/>
    <s v="30/04: TechEnd realizando o reparo._x000a_07/05: TechEnd finalizou reparo hoje.  "/>
    <m/>
    <m/>
    <m/>
    <m/>
    <m/>
    <m/>
  </r>
  <r>
    <x v="0"/>
    <s v="JOA15-16"/>
    <d v="2026-04-23T00:00:00"/>
    <d v="2026-05-08T00:00:00"/>
    <x v="0"/>
    <x v="0"/>
    <m/>
    <s v="Reparo de blade"/>
    <x v="9"/>
    <x v="1"/>
    <s v="23/04: Turbina havia retornado a operação em 17/04, porém foi parada novamente para continuidade dos reparos._x000a_30/04: Previsão de retorno para hoje_x000a_07/05: Continuidade dos reparos."/>
    <m/>
    <m/>
    <m/>
    <m/>
    <m/>
    <m/>
  </r>
  <r>
    <x v="1"/>
    <s v="ASB07-10"/>
    <d v="2026-05-03T00:00:00"/>
    <d v="2026-05-08T00:00:00"/>
    <x v="0"/>
    <x v="0"/>
    <m/>
    <s v="Falha de motor de pitch - limitação de acesso devido a linha de vida"/>
    <x v="0"/>
    <x v="0"/>
    <s v="07/05: Turbina segue parada com limitação de acesso devido a reprovação da linha de vida pela certificadora. "/>
    <m/>
    <m/>
    <m/>
    <m/>
    <m/>
    <m/>
  </r>
  <r>
    <x v="2"/>
    <s v="JOA01-07"/>
    <d v="2026-05-04T00:00:00"/>
    <d v="2026-05-08T00:00:00"/>
    <x v="0"/>
    <x v="0"/>
    <m/>
    <s v="Reparo de blade"/>
    <x v="9"/>
    <x v="1"/>
    <s v="07/05: Reparo de pá sendo executado. "/>
    <m/>
    <m/>
    <m/>
    <m/>
    <m/>
    <m/>
  </r>
  <r>
    <x v="1"/>
    <s v="ASB04-08"/>
    <d v="2026-04-17T00:00:00"/>
    <d v="2026-05-11T00:00:00"/>
    <x v="0"/>
    <x v="0"/>
    <d v="2026-05-11T00:00:00"/>
    <s v="Troca de Main bearing. Reutilizado AB05-03"/>
    <x v="11"/>
    <x v="2"/>
    <s v="16/04: Troca de main bearing em andamento. _x000a_07/05: Desmontagem do guindaste em andamento. "/>
    <n v="1"/>
    <m/>
    <m/>
    <m/>
    <m/>
    <m/>
  </r>
  <r>
    <x v="0"/>
    <s v="JOA10-01"/>
    <d v="2026-04-26T00:00:00"/>
    <d v="2026-05-13T00:00:00"/>
    <x v="0"/>
    <x v="0"/>
    <d v="2026-05-13T00:00:00"/>
    <s v="Troca de gearbox. "/>
    <x v="4"/>
    <x v="2"/>
    <s v="07/05: Troca sendo executada com o Liftra."/>
    <n v="1"/>
    <m/>
    <m/>
    <m/>
    <m/>
    <m/>
  </r>
  <r>
    <x v="3"/>
    <s v="AUG04-12"/>
    <d v="2026-05-06T00:00:00"/>
    <d v="2026-05-22T00:00:00"/>
    <x v="0"/>
    <x v="0"/>
    <d v="2026-05-22T00:00:00"/>
    <s v="Falha Wye Ring. "/>
    <x v="2"/>
    <x v="1"/>
    <s v="14/05: Aguardando mobilização da positivo para verificação da viabilidade do reparo uptower. Previsão de mobilização para 18/05. _x000a_21/05: Positivo executando o reparo. Previsão de retorno dia 22/05."/>
    <m/>
    <m/>
    <m/>
    <m/>
    <m/>
    <m/>
  </r>
  <r>
    <x v="0"/>
    <s v="JOA15-10"/>
    <d v="2026-05-11T00:00:00"/>
    <d v="2026-05-22T00:00:00"/>
    <x v="0"/>
    <x v="0"/>
    <m/>
    <s v="Reparo de blade"/>
    <x v="9"/>
    <x v="1"/>
    <s v="14/05: Reparo de pá sendo executado. _x000a_21/05: Reparo sendo executado ainda. "/>
    <m/>
    <m/>
    <m/>
    <m/>
    <m/>
    <m/>
  </r>
  <r>
    <x v="0"/>
    <s v="JOA15-02"/>
    <d v="2026-05-06T00:00:00"/>
    <d v="2026-05-25T00:00:00"/>
    <x v="0"/>
    <x v="0"/>
    <d v="2026-06-08T00:00:00"/>
    <s v="Troca do pitch bearing"/>
    <x v="18"/>
    <x v="6"/>
    <s v="07/05: Troca em andamento._x000a_14/05: Troca em andamento. _x000a_28/05: Após finalização do MCE foi identificada uma trinca na blade, a qual já está sendo reparada. "/>
    <n v="1"/>
    <m/>
    <m/>
    <m/>
    <m/>
    <m/>
  </r>
  <r>
    <x v="1"/>
    <s v="ASB07-11"/>
    <d v="2026-05-08T00:00:00"/>
    <d v="2026-05-26T00:00:00"/>
    <x v="0"/>
    <x v="0"/>
    <d v="2026-05-22T00:00:00"/>
    <s v="Troca gearbox e main bearing"/>
    <x v="19"/>
    <x v="2"/>
    <s v="14/05: Troca em andamento. "/>
    <n v="1"/>
    <m/>
    <m/>
    <m/>
    <m/>
    <m/>
  </r>
  <r>
    <x v="2"/>
    <s v="JOA01-15"/>
    <d v="2026-04-30T00:00:00"/>
    <d v="2026-05-27T00:00:00"/>
    <x v="0"/>
    <x v="0"/>
    <d v="2026-05-27T00:00:00"/>
    <s v="Falha no Wye Ring. Seguiremos com a troca do gerador."/>
    <x v="2"/>
    <x v="2"/>
    <s v="30/04: Aguardando mobilização da Positivo._x000a_07/05: Essentia decidiu realizar a troca do gerador.  Será utilizado um gerador de Asa Branca._x000a_14/05: Troca em andamento. Será utilizado um gerador de Asa Branca. Previsão de chegada em 15/05."/>
    <n v="1"/>
    <m/>
    <m/>
    <m/>
    <m/>
    <m/>
  </r>
  <r>
    <x v="2"/>
    <s v="JOA01-12"/>
    <d v="2026-05-11T00:00:00"/>
    <d v="2026-05-31T00:00:00"/>
    <x v="0"/>
    <x v="0"/>
    <d v="2026-05-29T00:00:00"/>
    <s v="Reparo de blade"/>
    <x v="9"/>
    <x v="1"/>
    <s v="14/05: Reparo de pá sendo executado. _x000a_21/05: Reparo sendo executado ainda. É esperado um atraso devido ao furto das ferramentas do time da MegaWind. "/>
    <m/>
    <m/>
    <m/>
    <m/>
    <m/>
    <m/>
  </r>
  <r>
    <x v="0"/>
    <s v="JOA11-14"/>
    <d v="2026-05-26T00:00:00"/>
    <d v="2026-06-02T00:00:00"/>
    <x v="0"/>
    <x v="0"/>
    <m/>
    <s v="Motor de pitch danificado"/>
    <x v="20"/>
    <x v="0"/>
    <s v="28/05: Aguardando a chegada do motor de pitch. "/>
    <m/>
    <m/>
    <m/>
    <m/>
    <m/>
    <m/>
  </r>
  <r>
    <x v="0"/>
    <s v="JOA12-06"/>
    <d v="2026-05-28T00:00:00"/>
    <d v="2026-06-05T00:00:00"/>
    <x v="0"/>
    <x v="0"/>
    <m/>
    <s v="Yaw Drive danificado"/>
    <x v="8"/>
    <x v="1"/>
    <s v="28/05: Aguardando de acordo da Essentia para definirmos a estratégia de troca e retorno a operação. "/>
    <m/>
    <m/>
    <m/>
    <m/>
    <m/>
    <m/>
  </r>
  <r>
    <x v="2"/>
    <s v="JOA01-03"/>
    <d v="2026-05-25T00:00:00"/>
    <d v="2026-06-08T00:00:00"/>
    <x v="0"/>
    <x v="0"/>
    <d v="2026-06-09T00:00:00"/>
    <s v="Troca do pitch bearing"/>
    <x v="6"/>
    <x v="2"/>
    <s v="28/05: Troca em andamento."/>
    <n v="1"/>
    <m/>
    <m/>
    <m/>
    <m/>
    <m/>
  </r>
  <r>
    <x v="3"/>
    <s v="AUG03-08"/>
    <d v="2026-05-28T00:00:00"/>
    <d v="2026-06-20T00:00:00"/>
    <x v="0"/>
    <x v="0"/>
    <d v="2026-06-22T00:00:00"/>
    <s v="Troca da gearbox"/>
    <x v="4"/>
    <x v="2"/>
    <s v="28/05: Troca em andamento._x000a_18/06: Equipe realizando pós work."/>
    <n v="1"/>
    <m/>
    <m/>
    <m/>
    <m/>
    <m/>
  </r>
  <r>
    <x v="0"/>
    <s v="JOA11-10"/>
    <d v="2026-06-03T00:00:00"/>
    <d v="2026-06-23T00:00:00"/>
    <x v="0"/>
    <x v="0"/>
    <d v="2026-06-23T00:00:00"/>
    <s v="Dano generalizado no estator. "/>
    <x v="2"/>
    <x v="2"/>
    <s v="11/06: Aguardando MCE. Pré - work se iniciando amanhã. Será feita a troca com guindaste. _x000a_18/06: Equipe aguardando guindaste ser reparado. Guindaste reparado previsão de operação em 19/06."/>
    <n v="1"/>
    <m/>
    <m/>
    <m/>
    <m/>
    <m/>
  </r>
  <r>
    <x v="2"/>
    <s v="JOA07-02"/>
    <d v="2026-06-19T00:00:00"/>
    <d v="2026-07-01T00:00:00"/>
    <x v="0"/>
    <x v="0"/>
    <d v="2026-07-01T00:00:00"/>
    <s v="Falha do WyeRing"/>
    <x v="2"/>
    <x v="1"/>
    <s v="25/06: Equipe positivo realizando inspeção. "/>
    <m/>
    <m/>
    <m/>
    <m/>
    <m/>
    <m/>
  </r>
  <r>
    <x v="3"/>
    <s v="AUG03-14"/>
    <d v="2026-07-01T00:00:00"/>
    <d v="2026-07-02T00:00:00"/>
    <x v="0"/>
    <x v="0"/>
    <m/>
    <s v="Yaw drive danificado"/>
    <x v="8"/>
    <x v="0"/>
    <s v="02/07: Turbina em atendimento. Será retornada com apenas 03 yaw drives. "/>
    <m/>
    <m/>
    <m/>
    <m/>
    <m/>
    <m/>
  </r>
  <r>
    <x v="0"/>
    <s v="JOA15-12"/>
    <d v="2026-06-04T00:00:00"/>
    <d v="2026-07-04T00:00:00"/>
    <x v="0"/>
    <x v="0"/>
    <d v="2026-07-06T00:00:00"/>
    <s v="Yaw Drive danificado"/>
    <x v="8"/>
    <x v="1"/>
    <s v="28/05: Aguardando de acordo da Essentia para definirmos a estratégia de troca e retorno a operação. _x000a_11/06: Após falha de um segundo yaw drive a turbina foi mantida em DT para posterior troca com o Liftra. _x000a_18/06: Turbina em DT aguardando mob do liftra_x000a_25/06: Troca em andamento. "/>
    <n v="0.78"/>
    <m/>
    <m/>
    <m/>
    <m/>
    <m/>
  </r>
  <r>
    <x v="2"/>
    <s v="AUG04-03"/>
    <d v="2026-06-29T00:00:00"/>
    <d v="2026-07-07T00:00:00"/>
    <x v="0"/>
    <x v="0"/>
    <m/>
    <s v="Troca de HSS"/>
    <x v="4"/>
    <x v="1"/>
    <s v="02/07: Troca de HSS em andamento. "/>
    <n v="1"/>
    <m/>
    <m/>
    <m/>
    <m/>
    <m/>
  </r>
  <r>
    <x v="0"/>
    <s v="JOA13-08"/>
    <d v="2026-07-08T00:00:00"/>
    <d v="2026-07-13T00:00:00"/>
    <x v="0"/>
    <x v="0"/>
    <m/>
    <s v="Troca de HSS"/>
    <x v="4"/>
    <x v="7"/>
    <s v="10/07: Troca de HSS em andamento. "/>
    <n v="1"/>
    <m/>
    <m/>
    <m/>
    <m/>
    <m/>
  </r>
  <r>
    <x v="2"/>
    <s v="JOA05-16"/>
    <d v="2026-07-12T00:00:00"/>
    <d v="2026-07-16T00:00:00"/>
    <x v="0"/>
    <x v="0"/>
    <m/>
    <s v="Reparo Pitch Bearing"/>
    <x v="6"/>
    <x v="1"/>
    <s v="16/07: Now executando o reparo da cremalheira de pitch. Finalizando uma axis. Essentia solicitou a inclusão dessa atividade como espaço confinado. "/>
    <m/>
    <m/>
    <m/>
    <m/>
    <m/>
    <m/>
  </r>
  <r>
    <x v="0"/>
    <s v="JOA09-11"/>
    <d v="2026-07-03T00:00:00"/>
    <d v="2026-07-17T00:00:00"/>
    <x v="0"/>
    <x v="0"/>
    <d v="2026-07-16T00:00:00"/>
    <s v="Falha Cabo do relead"/>
    <x v="2"/>
    <x v="1"/>
    <s v="10/07: Aguardando mobilização da Positivo. Chegaram hoje ao parque. Positivo inspecionando hoje. _x000a_16/07: Time Invenergy realizando o fechamento do gerador. "/>
    <m/>
    <m/>
    <m/>
    <m/>
    <m/>
    <m/>
  </r>
  <r>
    <x v="0"/>
    <s v="JOA13-03"/>
    <d v="2026-06-10T00:00:00"/>
    <d v="2026-07-21T00:00:00"/>
    <x v="0"/>
    <x v="0"/>
    <d v="2026-07-21T00:00:00"/>
    <s v="Falha do WyeRing"/>
    <x v="2"/>
    <x v="8"/>
    <s v="11/06: Aguardando disposição. _x000a_18/06: Gerador inspecionado pela Positivo e condenado. Gerador adicionado na campanha para troca completa. Definição de troca com liftra._x000a_25/06: Aguardando o Liftra._x000a_10/07: Troca em andamento. "/>
    <n v="1"/>
    <m/>
    <m/>
    <m/>
    <m/>
    <m/>
  </r>
  <r>
    <x v="2"/>
    <s v="JOA04-10"/>
    <d v="2026-07-07T00:00:00"/>
    <d v="2026-07-22T00:00:00"/>
    <x v="0"/>
    <x v="0"/>
    <d v="2026-07-21T00:00:00"/>
    <s v="Falha de WyeRing"/>
    <x v="2"/>
    <x v="1"/>
    <s v="10/07: Aguardando mobilização da Positivo. Será realizada após a JOA09-11._x000a_16/07: Positivo realizando avaliação do gerador. "/>
    <m/>
    <m/>
    <m/>
    <m/>
    <m/>
    <m/>
  </r>
  <r>
    <x v="1"/>
    <s v="AB08-05"/>
    <d v="2026-07-20T00:00:00"/>
    <d v="2026-07-24T00:00:00"/>
    <x v="0"/>
    <x v="0"/>
    <m/>
    <s v="Reparo Pitch Bearing"/>
    <x v="6"/>
    <x v="1"/>
    <s v="16/07: Now executando o reparo da cremalheira de pitch. _x000a_23/07: Now finalizando a terceira axis. "/>
    <m/>
    <m/>
    <m/>
    <m/>
    <m/>
    <m/>
  </r>
  <r>
    <x v="2"/>
    <s v="JOA05-16"/>
    <d v="2026-07-20T00:00:00"/>
    <d v="2026-07-25T00:00:00"/>
    <x v="0"/>
    <x v="0"/>
    <m/>
    <s v="Reparo Pitch Bearing"/>
    <x v="6"/>
    <x v="1"/>
    <s v="16/07: Now executando o reparo da cremalheira de pitch. _x000a_23/07: Now finalizando a terceira axis. "/>
    <m/>
    <m/>
    <m/>
    <m/>
    <m/>
    <m/>
  </r>
  <r>
    <x v="3"/>
    <s v="AUG05-01"/>
    <d v="2026-07-15T00:00:00"/>
    <d v="2026-07-27T00:00:00"/>
    <x v="0"/>
    <x v="0"/>
    <d v="2026-07-29T00:00:00"/>
    <s v="Falha de WyeRing"/>
    <x v="2"/>
    <x v="1"/>
    <s v="16/07: Aguardando a disposição de engenharia._x000a_23/07: Positivo realizando o reparo. _x000a_"/>
    <m/>
    <m/>
    <m/>
    <m/>
    <m/>
    <m/>
  </r>
  <r>
    <x v="3"/>
    <s v="JOA16-01"/>
    <d v="2026-07-29T00:00:00"/>
    <d v="2026-08-04T00:00:00"/>
    <x v="0"/>
    <x v="0"/>
    <m/>
    <s v="Parada para troca do wye ring proativa"/>
    <x v="2"/>
    <x v="1"/>
    <s v="30/07: Parada da máquina para realização de troca proativa do wyering."/>
    <m/>
    <m/>
    <m/>
    <m/>
    <m/>
    <m/>
  </r>
  <r>
    <x v="2"/>
    <s v="JOA07-02"/>
    <d v="2026-07-27T00:00:00"/>
    <d v="2026-08-08T00:00:00"/>
    <x v="0"/>
    <x v="0"/>
    <m/>
    <s v="Reparo Pitch Bearing"/>
    <x v="6"/>
    <x v="1"/>
    <s v="30/07: Now executando o reparo da cremalheira de pitch. _x000a_06/08: Sendo executado reparo na axis 2. "/>
    <m/>
    <m/>
    <m/>
    <m/>
    <m/>
    <m/>
  </r>
  <r>
    <x v="0"/>
    <s v="JOA12-06"/>
    <d v="2026-08-01T00:00:00"/>
    <d v="2026-08-08T00:00:00"/>
    <x v="0"/>
    <x v="0"/>
    <m/>
    <s v="Falha de 2º Yaw Drive"/>
    <x v="8"/>
    <x v="1"/>
    <s v="06/08: Falha no segundo YD dessa máquina. Aguardando desmontagem do 4º estágio para troca deste. "/>
    <m/>
    <m/>
    <m/>
    <m/>
    <m/>
    <m/>
  </r>
  <r>
    <x v="0"/>
    <s v="JOA16-12"/>
    <d v="2026-07-31T00:00:00"/>
    <d v="2026-08-11T00:00:00"/>
    <x v="0"/>
    <x v="0"/>
    <d v="2026-08-13T00:00:00"/>
    <s v="Falha Wye Ring. "/>
    <x v="2"/>
    <x v="1"/>
    <s v="06/08: Positivo realizando o reparo. "/>
    <m/>
    <m/>
    <m/>
    <m/>
    <m/>
    <m/>
  </r>
  <r>
    <x v="0"/>
    <s v="JOA15-12"/>
    <d v="2026-07-15T00:00:00"/>
    <d v="2026-08-14T00:00:00"/>
    <x v="0"/>
    <x v="0"/>
    <d v="2026-08-14T00:00:00"/>
    <s v="Possível falha de Yaw Drives (DriveMec)"/>
    <x v="8"/>
    <x v="2"/>
    <s v="16/07: Necessário troubleshooting para avaliação de possível falha de 03 yaw drives (reparados pela DriveMec)._x000a_23/07: Aguardando devolutiva da Essentia para definição da estratégia a ser seguida. _x000a_30/07: Aguardando finalização da JOA16-16 para utilização do guindaste auxiliar._x000a_06/08: Descida do ramal realizada._x000a_13/08: Realizada a troca dos redutores. Inspeções finais sendo realizadas. "/>
    <n v="1"/>
    <m/>
    <m/>
    <m/>
    <m/>
    <m/>
  </r>
  <r>
    <x v="1"/>
    <s v="AB08-02"/>
    <d v="2026-07-28T00:00:00"/>
    <d v="2026-08-14T00:00:00"/>
    <x v="0"/>
    <x v="0"/>
    <m/>
    <s v="Reparo Pitch Bearing"/>
    <x v="6"/>
    <x v="1"/>
    <s v="30/07: Now executando o reparo da cremalheira de pitch. _x000a_06/08: Sendo executado reparo na axis 2. _x000a_13/08: Sendo finalizado reparo na axis 3. "/>
    <m/>
    <m/>
    <m/>
    <m/>
    <m/>
    <m/>
  </r>
  <r>
    <x v="0"/>
    <s v="JOA12-03"/>
    <d v="2026-07-09T00:00:00"/>
    <m/>
    <x v="2"/>
    <x v="1"/>
    <m/>
    <s v="Colapso de Blade"/>
    <x v="9"/>
    <x v="2"/>
    <s v="10/07: Investigação e plano de atendimento em planejamento e estruturação. _x000a_16/07: Aguardando janela de vento para intervenção na máquina e quebra dos pedaços da pá restantes._x000a_23/07: Foi realizada primeira intervenção e identificado danos da torre e falha de ping test em algumas juntas. Segundo atendimento em andamento. _x000a_30/07: Em processo de contratação de empresa para realização de ensaio de ultrassom na torre. _x000a_06/08: Aguardando mobilização da TechWind ao parque. _x000a_13/08: TechWind mobilizada. Atividades iniciadas hoje. _x000a_20/08: Atividades finalizadas, aguardando envio do relatório. _x000a_27/08: Aguardando cotação de reparo pela TechWind._x000a_03/09: Sendo executada a corretiva para posicionamento do rotor e posteriro quebra da pá._x000a_10/09: Pá sendo posicionada em 6h para corretiva em pitch. _x000a_17/09: Amanhã será realizada a remoção do toco da pá. _x000a_24/09: Aguardando para realizar a descida das 2 blades. "/>
    <m/>
    <m/>
    <m/>
    <m/>
    <m/>
    <m/>
  </r>
  <r>
    <x v="2"/>
    <s v="AUG04-03"/>
    <d v="2026-08-12T00:00:00"/>
    <d v="2026-08-16T00:00:00"/>
    <x v="0"/>
    <x v="0"/>
    <m/>
    <s v="Falha de Yaw Drive"/>
    <x v="8"/>
    <x v="1"/>
    <s v="13/08: Sendo realizado troubleshooting da falha. "/>
    <m/>
    <m/>
    <m/>
    <m/>
    <m/>
    <m/>
  </r>
  <r>
    <x v="0"/>
    <s v="JOA12-17"/>
    <d v="2026-08-03T00:00:00"/>
    <d v="2026-08-17T00:00:00"/>
    <x v="0"/>
    <x v="0"/>
    <d v="2026-08-19T00:00:00"/>
    <s v="Falha do gerador. "/>
    <x v="2"/>
    <x v="2"/>
    <s v="06/08: Sendo executada a abertura do gerador para troubleshooting. _x000a_13/08: Gerador necessitará de troca. Iniciado pré-work hoje."/>
    <m/>
    <m/>
    <m/>
    <m/>
    <m/>
    <m/>
  </r>
  <r>
    <x v="0"/>
    <s v="JOA16-16"/>
    <d v="2026-07-11T00:00:00"/>
    <d v="2026-08-18T00:00:00"/>
    <x v="0"/>
    <x v="0"/>
    <d v="2026-08-15T00:00:00"/>
    <s v="Falha de Main Bearing"/>
    <x v="11"/>
    <x v="2"/>
    <s v="16/07: Aguardando de acordo da Essentia para planejamento da troca. _x000a_23/07: Iniciado o procedimento de troca. _x000a_30/07: Iniciando a descida do rotor. _x000a_06/08: Substituição em andamento. _x000a_13/08: Em processo de desmontagem do cabriolet. "/>
    <n v="1"/>
    <m/>
    <m/>
    <m/>
    <m/>
    <m/>
  </r>
  <r>
    <x v="2"/>
    <s v="JOA01-07"/>
    <d v="2026-08-11T00:00:00"/>
    <d v="2026-08-19T00:00:00"/>
    <x v="0"/>
    <x v="0"/>
    <m/>
    <s v="Reparo cremalheira pitch"/>
    <x v="6"/>
    <x v="1"/>
    <s v="13/08: Now Solutions executando o reparo. "/>
    <m/>
    <m/>
    <m/>
    <m/>
    <m/>
    <m/>
  </r>
  <r>
    <x v="3"/>
    <s v="AUG05-09"/>
    <d v="2026-08-12T00:00:00"/>
    <d v="2026-08-20T00:00:00"/>
    <x v="0"/>
    <x v="0"/>
    <m/>
    <s v="Colapso de Acoplamento"/>
    <x v="21"/>
    <x v="1"/>
    <s v="13/08: Colapso de acoplamento flexível. Sendo realizado corretiva da falha. "/>
    <m/>
    <m/>
    <m/>
    <m/>
    <m/>
    <m/>
  </r>
  <r>
    <x v="0"/>
    <s v="JOA11-13"/>
    <d v="2026-08-07T00:00:00"/>
    <d v="2026-08-21T00:00:00"/>
    <x v="0"/>
    <x v="0"/>
    <d v="2026-08-21T00:00:00"/>
    <s v="Falha do Wye Ring"/>
    <x v="2"/>
    <x v="1"/>
    <s v="20/08: Positivo finalizando reparo."/>
    <m/>
    <m/>
    <m/>
    <m/>
    <m/>
    <m/>
  </r>
  <r>
    <x v="0"/>
    <s v="JOA12-01"/>
    <d v="2026-08-24T00:00:00"/>
    <d v="2026-08-28T00:00:00"/>
    <x v="0"/>
    <x v="0"/>
    <d v="2026-08-28T00:00:00"/>
    <s v="Reparo de WyeRing"/>
    <x v="2"/>
    <x v="1"/>
    <s v="27/08: Positivo executando o reparo. "/>
    <m/>
    <m/>
    <m/>
    <m/>
    <m/>
    <m/>
  </r>
  <r>
    <x v="2"/>
    <s v="JOA01-17"/>
    <d v="2026-08-24T00:00:00"/>
    <d v="2026-08-28T00:00:00"/>
    <x v="0"/>
    <x v="0"/>
    <d v="2026-08-28T00:00:00"/>
    <s v="Reparo cremalheira pitch"/>
    <x v="6"/>
    <x v="1"/>
    <s v="27/08: Sendo executado reparo na cremalheira do pitch pela Now Solutions. "/>
    <m/>
    <m/>
    <m/>
    <m/>
    <m/>
    <m/>
  </r>
  <r>
    <x v="3"/>
    <s v="JOA15-11"/>
    <d v="2026-07-27T00:00:00"/>
    <d v="2026-08-29T00:00:00"/>
    <x v="0"/>
    <x v="0"/>
    <d v="2026-09-01T00:00:00"/>
    <s v="Falha da gearbox"/>
    <x v="4"/>
    <x v="2"/>
    <s v="30/07: Houve o rompimento da gearbox. Troca será realizada pelo Liftra após finalização na JOA16-16._x000a_20/08: Troca em andamento. Montagem do guindaste leve. _x000a_27/08: Desmontagem do guindaste leve em andamento. "/>
    <n v="0.76"/>
    <m/>
    <m/>
    <m/>
    <m/>
    <m/>
  </r>
  <r>
    <x v="0"/>
    <s v="JOA11-16"/>
    <d v="2026-08-25T00:00:00"/>
    <d v="2026-09-02T00:00:00"/>
    <x v="0"/>
    <x v="0"/>
    <m/>
    <s v="Falha do Wye Ring"/>
    <x v="2"/>
    <x v="1"/>
    <s v="27/08: Aguardando finalização do serviço na JOA11-16."/>
    <m/>
    <m/>
    <m/>
    <m/>
    <m/>
    <m/>
  </r>
  <r>
    <x v="1"/>
    <s v="AB08-03"/>
    <d v="2026-08-24T00:00:00"/>
    <d v="2026-09-05T00:00:00"/>
    <x v="0"/>
    <x v="0"/>
    <m/>
    <s v="Reparo cremalheira pitch"/>
    <x v="6"/>
    <x v="1"/>
    <s v="27/08: Sendo executado reparo na cremalheira do pitch pela Now Solutions. "/>
    <m/>
    <m/>
    <m/>
    <m/>
    <m/>
    <m/>
  </r>
  <r>
    <x v="0"/>
    <s v="JOA09-11"/>
    <d v="2026-08-27T00:00:00"/>
    <d v="2026-09-11T00:00:00"/>
    <x v="0"/>
    <x v="0"/>
    <d v="2026-09-11T00:00:00"/>
    <s v="Falha do Wye Ring"/>
    <x v="2"/>
    <x v="1"/>
    <s v="03/09: Positivo executando o reparo. _x000a_10/09: Positivo finalizando a atividade. "/>
    <m/>
    <m/>
    <m/>
    <m/>
    <m/>
    <m/>
  </r>
  <r>
    <x v="0"/>
    <s v="JOA15-03"/>
    <d v="2025-06-13T00:00:00"/>
    <s v="18/07/2025"/>
    <x v="0"/>
    <x v="0"/>
    <d v="2025-07-18T00:00:00"/>
    <s v="Reparo de blade"/>
    <x v="9"/>
    <x v="1"/>
    <s v="Identificado dano severo e parada para reparo."/>
    <n v="1"/>
    <s v="Essentia"/>
    <m/>
    <s v="Essentia"/>
    <n v="0"/>
    <n v="0"/>
  </r>
  <r>
    <x v="0"/>
    <s v="JOA12-06"/>
    <d v="2026-06-12T00:00:00"/>
    <s v="25/06/2026"/>
    <x v="0"/>
    <x v="0"/>
    <d v="2026-06-27T00:00:00"/>
    <s v="Falha do WyeRing"/>
    <x v="2"/>
    <x v="1"/>
    <s v="18/06: Equipe positivo realizando inspeção. Aguardando parecer técnico para seguir com o reparo._x000a_25/06: Positivo finalizou o reparo. Equipe Invenergy realizando o fechamento do gerador. "/>
    <s v=" "/>
    <m/>
    <m/>
    <m/>
    <m/>
    <m/>
  </r>
  <r>
    <x v="0"/>
    <s v="JOA09-14"/>
    <d v="2025-02-03T00:00:00"/>
    <s v="Pendente"/>
    <x v="0"/>
    <x v="0"/>
    <m/>
    <s v="Reparo de Blade. "/>
    <x v="9"/>
    <x v="1"/>
    <s v="Reparo sendo realizado."/>
    <m/>
    <s v="Essentia"/>
    <m/>
    <s v="Essentia"/>
    <n v="0"/>
    <n v="0"/>
  </r>
  <r>
    <x v="0"/>
    <s v="JOA16-05"/>
    <d v="2025-02-03T00:00:00"/>
    <s v="Pendente"/>
    <x v="0"/>
    <x v="0"/>
    <m/>
    <s v="Reparo de Blade. "/>
    <x v="9"/>
    <x v="1"/>
    <s v="Reparo sendo realizado."/>
    <m/>
    <s v="Essentia"/>
    <m/>
    <s v="Essentia"/>
    <n v="0"/>
    <n v="0"/>
  </r>
  <r>
    <x v="2"/>
    <s v="JOA05-01"/>
    <d v="2025-02-03T00:00:00"/>
    <s v="Pendente"/>
    <x v="0"/>
    <x v="0"/>
    <m/>
    <s v="Reparo de Blade. "/>
    <x v="9"/>
    <x v="1"/>
    <s v="Reparo sendo realizado."/>
    <m/>
    <s v="Essentia"/>
    <m/>
    <s v="Essentia"/>
    <n v="0"/>
    <n v="0"/>
  </r>
  <r>
    <x v="0"/>
    <s v="JOA09-09"/>
    <d v="2025-02-04T00:00:00"/>
    <s v="Pendente"/>
    <x v="0"/>
    <x v="0"/>
    <m/>
    <s v="Reparo de Blade. Dano CAT5."/>
    <x v="9"/>
    <x v="1"/>
    <s v="Reparo sendo realizado."/>
    <m/>
    <s v="Essentia"/>
    <m/>
    <s v="Essentia"/>
    <n v="0"/>
    <n v="0"/>
  </r>
  <r>
    <x v="0"/>
    <s v="JOA12-13"/>
    <d v="2025-02-17T00:00:00"/>
    <s v="Pendente"/>
    <x v="0"/>
    <x v="0"/>
    <m/>
    <s v="Reparo de Blade."/>
    <x v="9"/>
    <x v="1"/>
    <m/>
    <m/>
    <s v="Essentia"/>
    <m/>
    <s v="Essentia"/>
    <n v="0"/>
    <n v="0"/>
  </r>
  <r>
    <x v="2"/>
    <s v="JOA05-15"/>
    <d v="2025-02-19T00:00:00"/>
    <s v="Pendente"/>
    <x v="0"/>
    <x v="0"/>
    <m/>
    <s v="Reparo de Blade."/>
    <x v="9"/>
    <x v="1"/>
    <m/>
    <m/>
    <s v="Essentia"/>
    <s v="Essentia"/>
    <s v="Essentia"/>
    <n v="0"/>
    <n v="0"/>
  </r>
  <r>
    <x v="0"/>
    <s v="JOA15-04"/>
    <d v="2025-02-03T00:00:00"/>
    <s v="Verificar ICC"/>
    <x v="0"/>
    <x v="0"/>
    <m/>
    <s v="Reparo de Blade."/>
    <x v="9"/>
    <x v="1"/>
    <s v="Reparo sendo realizado."/>
    <m/>
    <s v="Essentia"/>
    <m/>
    <s v="Essentia"/>
    <n v="0"/>
    <n v="0"/>
  </r>
  <r>
    <x v="0"/>
    <s v="JOA15-16"/>
    <m/>
    <m/>
    <x v="0"/>
    <x v="2"/>
    <m/>
    <s v="Danos na pista externa do pitch bearing. EQUIPAMENTO SUBSTITUÍDO"/>
    <x v="6"/>
    <x v="1"/>
    <s v="Aguardando finalização das inspeções para disposição da engenharia. "/>
    <m/>
    <s v="Operations - O&amp;M / Engenharia"/>
    <m/>
    <s v="Invenergy"/>
    <n v="0"/>
    <n v="0"/>
  </r>
  <r>
    <x v="2"/>
    <s v="JOA01-02"/>
    <d v="2026-09-08T00:00:00"/>
    <d v="2026-09-22T00:00:00"/>
    <x v="0"/>
    <x v="0"/>
    <d v="2026-09-21T00:00:00"/>
    <s v="Falha do Wye Ring"/>
    <x v="2"/>
    <x v="1"/>
    <s v="10/09: Aguardando mobilização da positivo da JOA09-11 para esta máquina. _x000a_17/09: Atividade será finalizada em 21/09."/>
    <m/>
    <m/>
    <m/>
    <m/>
    <m/>
    <m/>
  </r>
  <r>
    <x v="1"/>
    <s v="AB07-20"/>
    <d v="2026-09-08T00:00:00"/>
    <d v="2026-09-20T00:00:00"/>
    <x v="0"/>
    <x v="0"/>
    <m/>
    <s v="Reparo cremalheira pitch"/>
    <x v="6"/>
    <x v="1"/>
    <s v="10/09: Sendo executado reparo na cremalheira do pitch pela Now Solutions. "/>
    <m/>
    <m/>
    <m/>
    <m/>
    <m/>
    <m/>
  </r>
  <r>
    <x v="3"/>
    <s v="AUG03-06"/>
    <d v="2026-09-09T00:00:00"/>
    <m/>
    <x v="2"/>
    <x v="3"/>
    <m/>
    <s v="Troca de gearbox"/>
    <x v="4"/>
    <x v="2"/>
    <s v="10/09: Troca da gearbox em andamento."/>
    <n v="0.53"/>
    <m/>
    <m/>
    <m/>
    <m/>
    <m/>
  </r>
  <r>
    <x v="0"/>
    <s v="JOA16-15"/>
    <d v="2026-09-11T00:00:00"/>
    <m/>
    <x v="2"/>
    <x v="4"/>
    <m/>
    <s v="Falha do gerador"/>
    <x v="2"/>
    <x v="2"/>
    <s v="17/09: Falha do gerador que necessitará de troca. "/>
    <n v="0.54"/>
    <m/>
    <m/>
    <m/>
    <m/>
    <m/>
  </r>
  <r>
    <x v="2"/>
    <s v="JOA04-07"/>
    <d v="2026-09-14T00:00:00"/>
    <m/>
    <x v="2"/>
    <x v="5"/>
    <m/>
    <s v="Falha de gearbox"/>
    <x v="4"/>
    <x v="2"/>
    <s v="17/09: Falha do estágio planetário da gearbox. Aguardando troca. "/>
    <m/>
    <m/>
    <m/>
    <m/>
    <m/>
    <m/>
  </r>
  <r>
    <x v="1"/>
    <s v="AB08-19"/>
    <d v="2026-09-22T00:00:00"/>
    <m/>
    <x v="2"/>
    <x v="6"/>
    <m/>
    <s v="Reparo da cremalheira do pitch"/>
    <x v="6"/>
    <x v="1"/>
    <s v="24/09: Reparo da cremalheira sendo executado pela Now Solutions."/>
    <m/>
    <m/>
    <m/>
    <m/>
    <m/>
    <m/>
  </r>
</pivotCacheRecords>
</file>

<file path=xl/pivotCache/pivotCacheRecords8.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8">
  <r>
    <s v="2026W05"/>
    <x v="0"/>
    <x v="0"/>
    <d v="2026-01-26T00:00:00"/>
    <d v="2026-02-01T00:00:00"/>
    <m/>
    <m/>
    <n v="0"/>
    <m/>
    <n v="0"/>
    <n v="0"/>
    <m/>
    <n v="1"/>
  </r>
  <r>
    <s v="2026W06"/>
    <x v="0"/>
    <x v="1"/>
    <d v="2026-02-02T00:00:00"/>
    <d v="2026-02-08T00:00:00"/>
    <m/>
    <m/>
    <n v="0"/>
    <m/>
    <n v="0"/>
    <n v="0"/>
    <m/>
    <n v="2"/>
  </r>
  <r>
    <s v="2026W07"/>
    <x v="0"/>
    <x v="2"/>
    <d v="2026-02-09T00:00:00"/>
    <d v="2026-02-15T00:00:00"/>
    <m/>
    <m/>
    <n v="0"/>
    <m/>
    <n v="0"/>
    <n v="0"/>
    <m/>
    <n v="3"/>
  </r>
  <r>
    <s v="2026W08"/>
    <x v="0"/>
    <x v="3"/>
    <d v="2026-02-16T00:00:00"/>
    <d v="2026-02-22T00:00:00"/>
    <m/>
    <m/>
    <n v="0"/>
    <m/>
    <n v="0"/>
    <n v="0"/>
    <m/>
    <n v="4"/>
  </r>
  <r>
    <s v="2026W09"/>
    <x v="0"/>
    <x v="4"/>
    <d v="2026-02-23T00:00:00"/>
    <d v="2026-03-01T00:00:00"/>
    <m/>
    <m/>
    <n v="0"/>
    <m/>
    <n v="0"/>
    <n v="0"/>
    <m/>
    <n v="5"/>
  </r>
  <r>
    <s v="2026W10"/>
    <x v="0"/>
    <x v="5"/>
    <d v="2026-03-02T00:00:00"/>
    <d v="2026-03-08T00:00:00"/>
    <m/>
    <m/>
    <n v="0"/>
    <m/>
    <n v="0"/>
    <n v="0"/>
    <m/>
    <n v="6"/>
  </r>
  <r>
    <s v="2026W11"/>
    <x v="0"/>
    <x v="6"/>
    <d v="2026-03-09T00:00:00"/>
    <d v="2026-03-15T00:00:00"/>
    <m/>
    <m/>
    <n v="0"/>
    <m/>
    <n v="0"/>
    <n v="0"/>
    <m/>
    <n v="7"/>
  </r>
  <r>
    <s v="2026W12"/>
    <x v="0"/>
    <x v="7"/>
    <d v="2026-03-16T00:00:00"/>
    <d v="2026-03-22T00:00:00"/>
    <m/>
    <m/>
    <n v="0"/>
    <m/>
    <n v="0"/>
    <n v="0"/>
    <m/>
    <n v="8"/>
  </r>
  <r>
    <s v="2026W13"/>
    <x v="0"/>
    <x v="8"/>
    <d v="2026-03-23T00:00:00"/>
    <d v="2026-03-29T00:00:00"/>
    <m/>
    <m/>
    <n v="0"/>
    <m/>
    <n v="0"/>
    <n v="0"/>
    <m/>
    <n v="9"/>
  </r>
  <r>
    <s v="2026W14"/>
    <x v="0"/>
    <x v="9"/>
    <d v="2026-03-30T00:00:00"/>
    <d v="2026-04-05T00:00:00"/>
    <m/>
    <m/>
    <n v="0"/>
    <m/>
    <n v="0"/>
    <n v="0"/>
    <m/>
    <n v="10"/>
  </r>
  <r>
    <s v="2026W15"/>
    <x v="0"/>
    <x v="10"/>
    <d v="2026-04-06T00:00:00"/>
    <d v="2026-04-12T00:00:00"/>
    <m/>
    <m/>
    <n v="0"/>
    <m/>
    <n v="0"/>
    <n v="0"/>
    <m/>
    <n v="11"/>
  </r>
  <r>
    <s v="2026W16"/>
    <x v="0"/>
    <x v="11"/>
    <d v="2026-04-13T00:00:00"/>
    <d v="2026-04-19T00:00:00"/>
    <m/>
    <m/>
    <n v="0"/>
    <m/>
    <n v="0"/>
    <n v="0"/>
    <m/>
    <n v="12"/>
  </r>
  <r>
    <s v="2026W17"/>
    <x v="0"/>
    <x v="12"/>
    <d v="2026-04-20T00:00:00"/>
    <d v="2026-04-26T00:00:00"/>
    <m/>
    <m/>
    <n v="0"/>
    <m/>
    <n v="0"/>
    <n v="0"/>
    <m/>
    <n v="13"/>
  </r>
  <r>
    <s v="2026W18"/>
    <x v="0"/>
    <x v="13"/>
    <d v="2026-04-27T00:00:00"/>
    <d v="2026-05-03T00:00:00"/>
    <m/>
    <m/>
    <n v="0"/>
    <m/>
    <n v="0"/>
    <n v="0"/>
    <m/>
    <n v="14"/>
  </r>
  <r>
    <s v="2026W19"/>
    <x v="0"/>
    <x v="14"/>
    <d v="2026-05-04T00:00:00"/>
    <d v="2026-05-10T00:00:00"/>
    <m/>
    <m/>
    <n v="0"/>
    <m/>
    <n v="0"/>
    <n v="0"/>
    <m/>
    <n v="15"/>
  </r>
  <r>
    <s v="2026W20"/>
    <x v="0"/>
    <x v="15"/>
    <d v="2026-05-11T00:00:00"/>
    <d v="2026-05-17T00:00:00"/>
    <m/>
    <m/>
    <n v="0"/>
    <m/>
    <n v="0"/>
    <n v="0"/>
    <m/>
    <n v="16"/>
  </r>
  <r>
    <s v="2026W21"/>
    <x v="0"/>
    <x v="16"/>
    <d v="2026-05-18T00:00:00"/>
    <d v="2026-05-24T00:00:00"/>
    <m/>
    <m/>
    <n v="0"/>
    <m/>
    <n v="0"/>
    <n v="0"/>
    <m/>
    <n v="17"/>
  </r>
  <r>
    <s v="2026W22"/>
    <x v="0"/>
    <x v="17"/>
    <d v="2026-05-25T00:00:00"/>
    <d v="2026-05-31T00:00:00"/>
    <m/>
    <m/>
    <n v="0"/>
    <m/>
    <n v="0"/>
    <n v="0"/>
    <m/>
    <n v="18"/>
  </r>
  <r>
    <s v="2026W23"/>
    <x v="0"/>
    <x v="18"/>
    <d v="2026-06-01T00:00:00"/>
    <d v="2026-06-07T00:00:00"/>
    <m/>
    <m/>
    <n v="0"/>
    <m/>
    <n v="0"/>
    <n v="0"/>
    <m/>
    <n v="19"/>
  </r>
  <r>
    <s v="2026W24"/>
    <x v="0"/>
    <x v="19"/>
    <d v="2026-06-08T00:00:00"/>
    <d v="2026-06-14T00:00:00"/>
    <m/>
    <m/>
    <n v="0"/>
    <m/>
    <n v="0"/>
    <n v="0"/>
    <m/>
    <n v="20"/>
  </r>
  <r>
    <s v="2026W25"/>
    <x v="0"/>
    <x v="20"/>
    <d v="2026-06-15T00:00:00"/>
    <d v="2026-06-21T00:00:00"/>
    <m/>
    <m/>
    <n v="0"/>
    <m/>
    <n v="0"/>
    <n v="0"/>
    <m/>
    <n v="21"/>
  </r>
  <r>
    <s v="2026W26"/>
    <x v="0"/>
    <x v="21"/>
    <d v="2026-06-22T00:00:00"/>
    <d v="2026-06-28T00:00:00"/>
    <m/>
    <m/>
    <n v="0"/>
    <m/>
    <n v="0"/>
    <n v="0"/>
    <m/>
    <n v="22"/>
  </r>
  <r>
    <s v="2026W27"/>
    <x v="0"/>
    <x v="22"/>
    <d v="2026-06-29T00:00:00"/>
    <d v="2026-07-05T00:00:00"/>
    <m/>
    <m/>
    <n v="0"/>
    <m/>
    <n v="0"/>
    <n v="0"/>
    <m/>
    <n v="23"/>
  </r>
  <r>
    <s v="2026W28"/>
    <x v="0"/>
    <x v="23"/>
    <d v="2026-07-06T00:00:00"/>
    <d v="2026-07-12T00:00:00"/>
    <m/>
    <m/>
    <n v="0"/>
    <m/>
    <n v="0"/>
    <n v="0"/>
    <m/>
    <n v="24"/>
  </r>
  <r>
    <s v="2026W29"/>
    <x v="0"/>
    <x v="24"/>
    <d v="2026-07-13T00:00:00"/>
    <d v="2026-07-19T00:00:00"/>
    <n v="2"/>
    <n v="1"/>
    <n v="3"/>
    <m/>
    <n v="3"/>
    <n v="0.12"/>
    <m/>
    <n v="25"/>
  </r>
  <r>
    <s v="2026W30"/>
    <x v="0"/>
    <x v="25"/>
    <d v="2026-07-20T00:00:00"/>
    <d v="2026-07-26T00:00:00"/>
    <n v="1"/>
    <n v="4"/>
    <n v="5"/>
    <m/>
    <n v="5"/>
    <n v="0.19230769230769232"/>
    <m/>
    <n v="26"/>
  </r>
  <r>
    <s v="2026W31"/>
    <x v="0"/>
    <x v="26"/>
    <d v="2026-07-27T00:00:00"/>
    <d v="2026-08-02T00:00:00"/>
    <n v="2"/>
    <n v="3"/>
    <n v="5"/>
    <m/>
    <n v="5"/>
    <n v="0.18518518518518517"/>
    <m/>
    <n v="27"/>
  </r>
  <r>
    <s v="2026W32"/>
    <x v="0"/>
    <x v="27"/>
    <d v="2026-08-03T00:00:00"/>
    <d v="2026-08-09T00:00:00"/>
    <n v="2"/>
    <n v="2"/>
    <n v="4"/>
    <m/>
    <n v="4"/>
    <n v="0.14285714285714285"/>
    <m/>
    <n v="28"/>
  </r>
  <r>
    <s v="2026W33"/>
    <x v="0"/>
    <x v="28"/>
    <d v="2026-08-10T00:00:00"/>
    <d v="2026-08-16T00:00:00"/>
    <n v="2"/>
    <n v="2"/>
    <n v="4"/>
    <m/>
    <n v="4"/>
    <n v="0.13793103448275862"/>
    <m/>
    <n v="29"/>
  </r>
  <r>
    <s v="2026W34"/>
    <x v="0"/>
    <x v="29"/>
    <d v="2026-08-17T00:00:00"/>
    <d v="2026-08-23T00:00:00"/>
    <n v="2"/>
    <n v="4"/>
    <n v="6"/>
    <m/>
    <n v="6"/>
    <n v="0.2"/>
    <m/>
    <n v="30"/>
  </r>
  <r>
    <s v="2026W35"/>
    <x v="0"/>
    <x v="30"/>
    <d v="2026-08-24T00:00:00"/>
    <d v="2026-08-30T00:00:00"/>
    <n v="2"/>
    <n v="4"/>
    <n v="6"/>
    <m/>
    <n v="6"/>
    <n v="0.19354838709677419"/>
    <m/>
    <n v="31"/>
  </r>
  <r>
    <s v="2026W36"/>
    <x v="0"/>
    <x v="31"/>
    <d v="2026-08-31T00:00:00"/>
    <d v="2026-09-06T00:00:00"/>
    <n v="4"/>
    <n v="3"/>
    <n v="7"/>
    <m/>
    <n v="7"/>
    <n v="0.21875"/>
    <m/>
    <n v="32"/>
  </r>
  <r>
    <s v="2026W37"/>
    <x v="0"/>
    <x v="32"/>
    <d v="2026-09-07T00:00:00"/>
    <d v="2026-09-13T00:00:00"/>
    <n v="3"/>
    <n v="0"/>
    <n v="3"/>
    <m/>
    <n v="3"/>
    <n v="9.0909090909090912E-2"/>
    <m/>
    <n v="33"/>
  </r>
  <r>
    <s v="2026W38"/>
    <x v="0"/>
    <x v="33"/>
    <d v="2026-09-14T00:00:00"/>
    <d v="2026-09-20T00:00:00"/>
    <n v="3"/>
    <n v="0"/>
    <n v="3"/>
    <m/>
    <n v="3"/>
    <n v="8.8235294117647065E-2"/>
    <m/>
    <n v="34"/>
  </r>
  <r>
    <s v="2026W39"/>
    <x v="0"/>
    <x v="34"/>
    <d v="2026-09-21T00:00:00"/>
    <d v="2026-09-27T00:00:00"/>
    <m/>
    <m/>
    <n v="0"/>
    <m/>
    <n v="0"/>
    <n v="0"/>
    <m/>
    <n v="35"/>
  </r>
  <r>
    <s v="2026W40"/>
    <x v="0"/>
    <x v="35"/>
    <d v="2026-09-28T00:00:00"/>
    <d v="2026-10-04T00:00:00"/>
    <m/>
    <m/>
    <n v="0"/>
    <m/>
    <n v="0"/>
    <n v="0"/>
    <m/>
    <n v="36"/>
  </r>
  <r>
    <s v="2026W41"/>
    <x v="0"/>
    <x v="36"/>
    <d v="2026-10-05T00:00:00"/>
    <d v="2026-10-11T00:00:00"/>
    <m/>
    <m/>
    <n v="0"/>
    <m/>
    <n v="0"/>
    <n v="0"/>
    <m/>
    <n v="37"/>
  </r>
  <r>
    <s v="2026W42"/>
    <x v="0"/>
    <x v="37"/>
    <d v="2026-10-12T00:00:00"/>
    <d v="2026-10-18T00:00:00"/>
    <m/>
    <m/>
    <n v="0"/>
    <m/>
    <n v="0"/>
    <n v="0"/>
    <m/>
    <n v="38"/>
  </r>
  <r>
    <s v="2026W43"/>
    <x v="0"/>
    <x v="38"/>
    <d v="2026-10-19T00:00:00"/>
    <d v="2026-10-25T00:00:00"/>
    <m/>
    <m/>
    <n v="0"/>
    <m/>
    <n v="0"/>
    <n v="0"/>
    <m/>
    <n v="39"/>
  </r>
  <r>
    <s v="2026W44"/>
    <x v="0"/>
    <x v="39"/>
    <d v="2026-10-26T00:00:00"/>
    <d v="2026-11-01T00:00:00"/>
    <m/>
    <m/>
    <n v="0"/>
    <m/>
    <n v="0"/>
    <n v="0"/>
    <m/>
    <n v="40"/>
  </r>
  <r>
    <s v="2026W45"/>
    <x v="0"/>
    <x v="40"/>
    <d v="2026-11-02T00:00:00"/>
    <d v="2026-11-08T00:00:00"/>
    <m/>
    <m/>
    <n v="0"/>
    <m/>
    <n v="0"/>
    <n v="0"/>
    <m/>
    <n v="41"/>
  </r>
  <r>
    <s v="2026W46"/>
    <x v="0"/>
    <x v="41"/>
    <d v="2026-11-09T00:00:00"/>
    <d v="2026-11-15T00:00:00"/>
    <m/>
    <m/>
    <n v="0"/>
    <m/>
    <n v="0"/>
    <n v="0"/>
    <m/>
    <n v="42"/>
  </r>
  <r>
    <s v="2026W47"/>
    <x v="0"/>
    <x v="42"/>
    <d v="2026-11-16T00:00:00"/>
    <d v="2026-11-22T00:00:00"/>
    <m/>
    <m/>
    <n v="0"/>
    <m/>
    <n v="0"/>
    <n v="0"/>
    <m/>
    <n v="43"/>
  </r>
  <r>
    <s v="2026W48"/>
    <x v="0"/>
    <x v="43"/>
    <d v="2026-11-23T00:00:00"/>
    <d v="2026-11-29T00:00:00"/>
    <m/>
    <m/>
    <n v="0"/>
    <m/>
    <n v="0"/>
    <n v="0"/>
    <m/>
    <n v="44"/>
  </r>
  <r>
    <s v="2026W49"/>
    <x v="0"/>
    <x v="44"/>
    <d v="2026-11-30T00:00:00"/>
    <d v="2026-12-06T00:00:00"/>
    <m/>
    <m/>
    <n v="0"/>
    <m/>
    <n v="0"/>
    <n v="0"/>
    <m/>
    <n v="45"/>
  </r>
  <r>
    <s v="2026W50"/>
    <x v="0"/>
    <x v="45"/>
    <d v="2026-12-07T00:00:00"/>
    <d v="2026-12-13T00:00:00"/>
    <m/>
    <m/>
    <n v="0"/>
    <m/>
    <n v="0"/>
    <n v="0"/>
    <m/>
    <n v="46"/>
  </r>
  <r>
    <s v="2026W51"/>
    <x v="0"/>
    <x v="46"/>
    <d v="2026-12-14T00:00:00"/>
    <d v="2026-12-20T00:00:00"/>
    <m/>
    <m/>
    <n v="0"/>
    <m/>
    <n v="0"/>
    <n v="0"/>
    <m/>
    <n v="47"/>
  </r>
  <r>
    <s v="2026W52"/>
    <x v="0"/>
    <x v="47"/>
    <d v="2026-12-21T00:00:00"/>
    <d v="2026-12-27T00:00:00"/>
    <m/>
    <m/>
    <n v="0"/>
    <m/>
    <n v="0"/>
    <n v="0"/>
    <m/>
    <n v="4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43905A4-5206-4CF7-99EE-6826CAC64857}" name="Tabela dinâmica4" cacheId="31" applyNumberFormats="0" applyBorderFormats="0" applyFontFormats="0" applyPatternFormats="0" applyAlignmentFormats="0" applyWidthHeightFormats="1" dataCaption="Valores" updatedVersion="8" minRefreshableVersion="3" useAutoFormatting="1" rowGrandTotals="0" colGrandTotals="0" itemPrintTitles="1" createdVersion="8" indent="0" compact="0" compactData="0" multipleFieldFilters="0" chartFormat="1">
  <location ref="D6:J10" firstHeaderRow="1" firstDataRow="1" firstDataCol="7" rowPageCount="1" colPageCount="1"/>
  <pivotFields count="13">
    <pivotField axis="axisPage" compact="0" outline="0" multipleItemSelectionAllowed="1" showAll="0" defaultSubtotal="0">
      <items count="4">
        <item x="2"/>
        <item h="1" x="0"/>
        <item h="1" x="1"/>
        <item h="1" x="3"/>
      </items>
    </pivotField>
    <pivotField axis="axisRow" compact="0" outline="0" showAll="0" defaultSubtotal="0">
      <items count="22">
        <item x="18"/>
        <item x="13"/>
        <item x="14"/>
        <item x="11"/>
        <item x="12"/>
        <item x="16"/>
        <item x="15"/>
        <item x="5"/>
        <item x="10"/>
        <item x="8"/>
        <item x="20"/>
        <item x="6"/>
        <item x="0"/>
        <item x="1"/>
        <item x="17"/>
        <item x="2"/>
        <item x="3"/>
        <item x="9"/>
        <item x="7"/>
        <item x="21"/>
        <item x="4"/>
        <item x="19"/>
      </items>
    </pivotField>
    <pivotField axis="axisRow" compact="0" numFmtId="14" outline="0" showAll="0" sortType="ascending" defaultSubtotal="0">
      <items count="11">
        <item x="0"/>
        <item x="1"/>
        <item x="2"/>
        <item x="3"/>
        <item x="4"/>
        <item x="5"/>
        <item x="6"/>
        <item x="7"/>
        <item x="8"/>
        <item x="9"/>
        <item x="10"/>
      </items>
    </pivotField>
    <pivotField compact="0" outline="0" showAll="0" defaultSubtotal="0"/>
    <pivotField axis="axisRow" compact="0" outline="0" showAll="0" sortType="descending" defaultSubtotal="0">
      <items count="11">
        <item x="0"/>
        <item x="1"/>
        <item x="2"/>
        <item x="3"/>
        <item x="4"/>
        <item x="5"/>
        <item x="6"/>
        <item x="7"/>
        <item x="8"/>
        <item x="9"/>
        <item x="10"/>
      </items>
    </pivotField>
    <pivotField axis="axisRow" compact="0" outline="0" subtotalTop="0" showAll="0" defaultSubtotal="0">
      <items count="11">
        <item x="9"/>
        <item x="7"/>
        <item x="1"/>
        <item x="10"/>
        <item x="8"/>
        <item x="0"/>
        <item x="2"/>
        <item x="3"/>
        <item x="6"/>
        <item x="4"/>
        <item x="5"/>
      </items>
    </pivotField>
    <pivotField axis="axisRow" compact="0" outline="0" showAll="0" defaultSubtotal="0">
      <items count="15">
        <item x="11"/>
        <item x="5"/>
        <item x="3"/>
        <item x="12"/>
        <item x="13"/>
        <item x="10"/>
        <item x="14"/>
        <item x="7"/>
        <item x="4"/>
        <item x="8"/>
        <item x="2"/>
        <item x="6"/>
        <item x="0"/>
        <item x="1"/>
        <item x="9"/>
      </items>
    </pivotField>
    <pivotField axis="axisRow" compact="0" outline="0" showAll="0" defaultSubtotal="0">
      <items count="7">
        <item x="2"/>
        <item x="0"/>
        <item x="1"/>
        <item x="6"/>
        <item x="3"/>
        <item x="5"/>
        <item x="4"/>
      </items>
    </pivotField>
    <pivotField axis="axisRow" compact="0" outline="0" showAll="0" defaultSubtotal="0">
      <items count="19">
        <item x="5"/>
        <item m="1" x="17"/>
        <item x="0"/>
        <item m="1" x="16"/>
        <item m="1" x="13"/>
        <item x="9"/>
        <item x="4"/>
        <item m="1" x="15"/>
        <item x="1"/>
        <item m="1" x="12"/>
        <item m="1" x="11"/>
        <item x="6"/>
        <item x="10"/>
        <item m="1" x="14"/>
        <item m="1" x="18"/>
        <item x="7"/>
        <item x="2"/>
        <item x="8"/>
        <item x="3"/>
      </items>
    </pivotField>
    <pivotField compact="0" outline="0" subtotalTop="0" showAll="0" defaultSubtotal="0"/>
    <pivotField compact="0" outline="0" showAll="0" defaultSubtotal="0"/>
    <pivotField compact="0" outline="0" showAll="0" defaultSubtotal="0">
      <items count="3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s>
    </pivotField>
    <pivotField compact="0" outline="0" showAll="0" defaultSubtotal="0">
      <items count="14">
        <item sd="0" x="0"/>
        <item sd="0" x="1"/>
        <item sd="0" x="2"/>
        <item sd="0" x="3"/>
        <item sd="0" x="4"/>
        <item sd="0" x="5"/>
        <item sd="0" x="6"/>
        <item sd="0" x="7"/>
        <item sd="0" x="8"/>
        <item sd="0" x="9"/>
        <item sd="0" x="10"/>
        <item sd="0" x="11"/>
        <item sd="0" x="12"/>
        <item sd="0" x="13"/>
      </items>
    </pivotField>
  </pivotFields>
  <rowFields count="7">
    <field x="1"/>
    <field x="2"/>
    <field x="5"/>
    <field x="4"/>
    <field x="6"/>
    <field x="7"/>
    <field x="8"/>
  </rowFields>
  <rowItems count="4">
    <i>
      <x/>
      <x v="9"/>
      <x/>
      <x v="9"/>
      <x v="14"/>
      <x v="3"/>
      <x v="12"/>
    </i>
    <i>
      <x v="1"/>
      <x v="6"/>
      <x/>
      <x v="6"/>
      <x v="14"/>
      <x v="3"/>
      <x v="15"/>
    </i>
    <i>
      <x v="2"/>
      <x v="7"/>
      <x v="3"/>
      <x v="7"/>
      <x v="1"/>
      <x v="2"/>
      <x/>
    </i>
    <i>
      <x v="3"/>
      <x v="5"/>
      <x v="4"/>
      <x v="5"/>
      <x v="1"/>
      <x v="2"/>
      <x/>
    </i>
  </rowItems>
  <colItems count="1">
    <i/>
  </colItems>
  <pageFields count="1">
    <pageField fld="0" hier="-1"/>
  </pageFields>
  <formats count="180">
    <format dxfId="223">
      <pivotArea field="8" type="button" dataOnly="0" labelOnly="1" outline="0" axis="axisRow" fieldPosition="6"/>
    </format>
    <format dxfId="222">
      <pivotArea dataOnly="0" labelOnly="1" outline="0" fieldPosition="0">
        <references count="6">
          <reference field="1" count="1" selected="0">
            <x v="12"/>
          </reference>
          <reference field="2" count="1" selected="0">
            <x v="0"/>
          </reference>
          <reference field="4" count="1" selected="0">
            <x v="0"/>
          </reference>
          <reference field="6" count="1" selected="0">
            <x v="12"/>
          </reference>
          <reference field="7" count="1" selected="0">
            <x v="1"/>
          </reference>
          <reference field="8" count="1">
            <x v="2"/>
          </reference>
        </references>
      </pivotArea>
    </format>
    <format dxfId="221">
      <pivotArea dataOnly="0" labelOnly="1" outline="0" fieldPosition="0">
        <references count="6">
          <reference field="1" count="1" selected="0">
            <x v="14"/>
          </reference>
          <reference field="2" count="1" selected="0">
            <x v="8"/>
          </reference>
          <reference field="4" count="1" selected="0">
            <x v="8"/>
          </reference>
          <reference field="6" count="1" selected="0">
            <x v="3"/>
          </reference>
          <reference field="7" count="1" selected="0">
            <x v="3"/>
          </reference>
          <reference field="8" count="1">
            <x v="12"/>
          </reference>
        </references>
      </pivotArea>
    </format>
    <format dxfId="220">
      <pivotArea dataOnly="0" labelOnly="1" outline="0" fieldPosition="0">
        <references count="6">
          <reference field="1" count="1" selected="0">
            <x v="15"/>
          </reference>
          <reference field="2" count="1" selected="0">
            <x v="0"/>
          </reference>
          <reference field="4" count="1" selected="0">
            <x v="0"/>
          </reference>
          <reference field="6" count="1" selected="0">
            <x v="13"/>
          </reference>
          <reference field="7" count="1" selected="0">
            <x v="2"/>
          </reference>
          <reference field="8" count="1">
            <x v="2"/>
          </reference>
        </references>
      </pivotArea>
    </format>
    <format dxfId="219">
      <pivotArea dataOnly="0" labelOnly="1" outline="0" fieldPosition="0">
        <references count="6">
          <reference field="1" count="1" selected="0">
            <x v="18"/>
          </reference>
          <reference field="2" count="1" selected="0">
            <x v="1"/>
          </reference>
          <reference field="4" count="1" selected="0">
            <x v="1"/>
          </reference>
          <reference field="6" count="1" selected="0">
            <x v="11"/>
          </reference>
          <reference field="7" count="1" selected="0">
            <x v="2"/>
          </reference>
          <reference field="8" count="1">
            <x v="16"/>
          </reference>
        </references>
      </pivotArea>
    </format>
    <format dxfId="218">
      <pivotArea dataOnly="0" labelOnly="1" outline="0" fieldPosition="0">
        <references count="6">
          <reference field="1" count="1" selected="0">
            <x v="19"/>
          </reference>
          <reference field="2" count="1" selected="0">
            <x v="10"/>
          </reference>
          <reference field="4" count="1" selected="0">
            <x v="10"/>
          </reference>
          <reference field="6" count="1" selected="0">
            <x v="6"/>
          </reference>
          <reference field="7" count="1" selected="0">
            <x v="5"/>
          </reference>
          <reference field="8" count="1">
            <x v="11"/>
          </reference>
        </references>
      </pivotArea>
    </format>
    <format dxfId="217">
      <pivotArea dataOnly="0" labelOnly="1" outline="0" fieldPosition="0">
        <references count="6">
          <reference field="1" count="1" selected="0">
            <x v="20"/>
          </reference>
          <reference field="2" count="1" selected="0">
            <x v="0"/>
          </reference>
          <reference field="4" count="1" selected="0">
            <x v="0"/>
          </reference>
          <reference field="6" count="1" selected="0">
            <x v="2"/>
          </reference>
          <reference field="7" count="1" selected="0">
            <x v="4"/>
          </reference>
          <reference field="8" count="1">
            <x v="2"/>
          </reference>
        </references>
      </pivotArea>
    </format>
    <format dxfId="216">
      <pivotArea dataOnly="0" labelOnly="1" outline="0" fieldPosition="0">
        <references count="6">
          <reference field="1" count="1" selected="0">
            <x v="21"/>
          </reference>
          <reference field="2" count="1" selected="0">
            <x v="9"/>
          </reference>
          <reference field="4" count="1" selected="0">
            <x v="9"/>
          </reference>
          <reference field="6" count="1" selected="0">
            <x v="4"/>
          </reference>
          <reference field="7" count="1" selected="0">
            <x v="3"/>
          </reference>
          <reference field="8" count="1">
            <x v="12"/>
          </reference>
        </references>
      </pivotArea>
    </format>
    <format dxfId="215">
      <pivotArea field="0" type="button" dataOnly="0" labelOnly="1" outline="0" axis="axisPage" fieldPosition="0"/>
    </format>
    <format dxfId="214">
      <pivotArea field="1" type="button" dataOnly="0" labelOnly="1" outline="0" axis="axisRow" fieldPosition="0"/>
    </format>
    <format dxfId="213">
      <pivotArea dataOnly="0" labelOnly="1" outline="0" fieldPosition="0">
        <references count="1">
          <reference field="1" count="10">
            <x v="12"/>
            <x v="13"/>
            <x v="14"/>
            <x v="15"/>
            <x v="16"/>
            <x v="17"/>
            <x v="18"/>
            <x v="19"/>
            <x v="20"/>
            <x v="21"/>
          </reference>
        </references>
      </pivotArea>
    </format>
    <format dxfId="212">
      <pivotArea field="1" type="button" dataOnly="0" labelOnly="1" outline="0" axis="axisRow" fieldPosition="0"/>
    </format>
    <format dxfId="211">
      <pivotArea dataOnly="0" labelOnly="1" outline="0" fieldPosition="0">
        <references count="1">
          <reference field="1" count="10">
            <x v="12"/>
            <x v="13"/>
            <x v="14"/>
            <x v="15"/>
            <x v="16"/>
            <x v="17"/>
            <x v="18"/>
            <x v="19"/>
            <x v="20"/>
            <x v="21"/>
          </reference>
        </references>
      </pivotArea>
    </format>
    <format dxfId="210">
      <pivotArea field="4" type="button" dataOnly="0" labelOnly="1" outline="0" axis="axisRow" fieldPosition="3"/>
    </format>
    <format dxfId="209">
      <pivotArea dataOnly="0" labelOnly="1" outline="0" fieldPosition="0">
        <references count="3">
          <reference field="1" count="1" selected="0">
            <x v="12"/>
          </reference>
          <reference field="2" count="1" selected="0">
            <x v="0"/>
          </reference>
          <reference field="4" count="1">
            <x v="0"/>
          </reference>
        </references>
      </pivotArea>
    </format>
    <format dxfId="208">
      <pivotArea dataOnly="0" labelOnly="1" outline="0" fieldPosition="0">
        <references count="3">
          <reference field="1" count="1" selected="0">
            <x v="14"/>
          </reference>
          <reference field="2" count="1" selected="0">
            <x v="8"/>
          </reference>
          <reference field="4" count="1">
            <x v="8"/>
          </reference>
        </references>
      </pivotArea>
    </format>
    <format dxfId="207">
      <pivotArea dataOnly="0" labelOnly="1" outline="0" fieldPosition="0">
        <references count="3">
          <reference field="1" count="1" selected="0">
            <x v="15"/>
          </reference>
          <reference field="2" count="1" selected="0">
            <x v="0"/>
          </reference>
          <reference field="4" count="1">
            <x v="0"/>
          </reference>
        </references>
      </pivotArea>
    </format>
    <format dxfId="206">
      <pivotArea dataOnly="0" labelOnly="1" outline="0" fieldPosition="0">
        <references count="3">
          <reference field="1" count="1" selected="0">
            <x v="17"/>
          </reference>
          <reference field="2" count="1" selected="0">
            <x v="3"/>
          </reference>
          <reference field="4" count="1">
            <x v="3"/>
          </reference>
        </references>
      </pivotArea>
    </format>
    <format dxfId="205">
      <pivotArea dataOnly="0" labelOnly="1" outline="0" fieldPosition="0">
        <references count="3">
          <reference field="1" count="1" selected="0">
            <x v="18"/>
          </reference>
          <reference field="2" count="1" selected="0">
            <x v="1"/>
          </reference>
          <reference field="4" count="1">
            <x v="1"/>
          </reference>
        </references>
      </pivotArea>
    </format>
    <format dxfId="204">
      <pivotArea dataOnly="0" labelOnly="1" outline="0" fieldPosition="0">
        <references count="3">
          <reference field="1" count="1" selected="0">
            <x v="19"/>
          </reference>
          <reference field="2" count="1" selected="0">
            <x v="10"/>
          </reference>
          <reference field="4" count="1">
            <x v="10"/>
          </reference>
        </references>
      </pivotArea>
    </format>
    <format dxfId="203">
      <pivotArea dataOnly="0" labelOnly="1" outline="0" fieldPosition="0">
        <references count="3">
          <reference field="1" count="1" selected="0">
            <x v="20"/>
          </reference>
          <reference field="2" count="1" selected="0">
            <x v="0"/>
          </reference>
          <reference field="4" count="1">
            <x v="0"/>
          </reference>
        </references>
      </pivotArea>
    </format>
    <format dxfId="202">
      <pivotArea dataOnly="0" labelOnly="1" outline="0" fieldPosition="0">
        <references count="3">
          <reference field="1" count="1" selected="0">
            <x v="21"/>
          </reference>
          <reference field="2" count="1" selected="0">
            <x v="9"/>
          </reference>
          <reference field="4" count="1">
            <x v="9"/>
          </reference>
        </references>
      </pivotArea>
    </format>
    <format dxfId="201">
      <pivotArea dataOnly="0" labelOnly="1" outline="0" fieldPosition="0">
        <references count="1">
          <reference field="0" count="0"/>
        </references>
      </pivotArea>
    </format>
    <format dxfId="200">
      <pivotArea field="2" type="button" dataOnly="0" labelOnly="1" outline="0" axis="axisRow" fieldPosition="1"/>
    </format>
    <format dxfId="199">
      <pivotArea dataOnly="0" labelOnly="1" outline="0" fieldPosition="0">
        <references count="2">
          <reference field="1" count="1" selected="0">
            <x v="12"/>
          </reference>
          <reference field="2" count="1">
            <x v="0"/>
          </reference>
        </references>
      </pivotArea>
    </format>
    <format dxfId="198">
      <pivotArea dataOnly="0" labelOnly="1" outline="0" fieldPosition="0">
        <references count="2">
          <reference field="1" count="1" selected="0">
            <x v="14"/>
          </reference>
          <reference field="2" count="1">
            <x v="8"/>
          </reference>
        </references>
      </pivotArea>
    </format>
    <format dxfId="197">
      <pivotArea dataOnly="0" labelOnly="1" outline="0" fieldPosition="0">
        <references count="2">
          <reference field="1" count="1" selected="0">
            <x v="15"/>
          </reference>
          <reference field="2" count="1">
            <x v="0"/>
          </reference>
        </references>
      </pivotArea>
    </format>
    <format dxfId="196">
      <pivotArea dataOnly="0" labelOnly="1" outline="0" fieldPosition="0">
        <references count="2">
          <reference field="1" count="1" selected="0">
            <x v="17"/>
          </reference>
          <reference field="2" count="1">
            <x v="3"/>
          </reference>
        </references>
      </pivotArea>
    </format>
    <format dxfId="195">
      <pivotArea dataOnly="0" labelOnly="1" outline="0" fieldPosition="0">
        <references count="2">
          <reference field="1" count="1" selected="0">
            <x v="18"/>
          </reference>
          <reference field="2" count="1">
            <x v="1"/>
          </reference>
        </references>
      </pivotArea>
    </format>
    <format dxfId="194">
      <pivotArea dataOnly="0" labelOnly="1" outline="0" fieldPosition="0">
        <references count="2">
          <reference field="1" count="1" selected="0">
            <x v="19"/>
          </reference>
          <reference field="2" count="1">
            <x v="10"/>
          </reference>
        </references>
      </pivotArea>
    </format>
    <format dxfId="193">
      <pivotArea dataOnly="0" labelOnly="1" outline="0" fieldPosition="0">
        <references count="2">
          <reference field="1" count="1" selected="0">
            <x v="20"/>
          </reference>
          <reference field="2" count="1">
            <x v="0"/>
          </reference>
        </references>
      </pivotArea>
    </format>
    <format dxfId="192">
      <pivotArea dataOnly="0" labelOnly="1" outline="0" fieldPosition="0">
        <references count="2">
          <reference field="1" count="1" selected="0">
            <x v="21"/>
          </reference>
          <reference field="2" count="1">
            <x v="9"/>
          </reference>
        </references>
      </pivotArea>
    </format>
    <format dxfId="191">
      <pivotArea field="6" type="button" dataOnly="0" labelOnly="1" outline="0" axis="axisRow" fieldPosition="4"/>
    </format>
    <format dxfId="190">
      <pivotArea dataOnly="0" labelOnly="1" outline="0" fieldPosition="0">
        <references count="4">
          <reference field="1" count="1" selected="0">
            <x v="12"/>
          </reference>
          <reference field="2" count="1" selected="0">
            <x v="0"/>
          </reference>
          <reference field="4" count="1" selected="0">
            <x v="0"/>
          </reference>
          <reference field="6" count="1">
            <x v="12"/>
          </reference>
        </references>
      </pivotArea>
    </format>
    <format dxfId="189">
      <pivotArea dataOnly="0" labelOnly="1" outline="0" fieldPosition="0">
        <references count="4">
          <reference field="1" count="1" selected="0">
            <x v="13"/>
          </reference>
          <reference field="2" count="1" selected="0">
            <x v="0"/>
          </reference>
          <reference field="4" count="1" selected="0">
            <x v="0"/>
          </reference>
          <reference field="6" count="1">
            <x v="13"/>
          </reference>
        </references>
      </pivotArea>
    </format>
    <format dxfId="188">
      <pivotArea dataOnly="0" labelOnly="1" outline="0" fieldPosition="0">
        <references count="4">
          <reference field="1" count="1" selected="0">
            <x v="14"/>
          </reference>
          <reference field="2" count="1" selected="0">
            <x v="8"/>
          </reference>
          <reference field="4" count="1" selected="0">
            <x v="8"/>
          </reference>
          <reference field="6" count="1">
            <x v="3"/>
          </reference>
        </references>
      </pivotArea>
    </format>
    <format dxfId="187">
      <pivotArea dataOnly="0" labelOnly="1" outline="0" fieldPosition="0">
        <references count="4">
          <reference field="1" count="1" selected="0">
            <x v="15"/>
          </reference>
          <reference field="2" count="1" selected="0">
            <x v="0"/>
          </reference>
          <reference field="4" count="1" selected="0">
            <x v="0"/>
          </reference>
          <reference field="6" count="1">
            <x v="13"/>
          </reference>
        </references>
      </pivotArea>
    </format>
    <format dxfId="186">
      <pivotArea dataOnly="0" labelOnly="1" outline="0" fieldPosition="0">
        <references count="4">
          <reference field="1" count="1" selected="0">
            <x v="16"/>
          </reference>
          <reference field="2" count="1" selected="0">
            <x v="0"/>
          </reference>
          <reference field="4" count="1" selected="0">
            <x v="0"/>
          </reference>
          <reference field="6" count="1">
            <x v="10"/>
          </reference>
        </references>
      </pivotArea>
    </format>
    <format dxfId="185">
      <pivotArea dataOnly="0" labelOnly="1" outline="0" fieldPosition="0">
        <references count="4">
          <reference field="1" count="1" selected="0">
            <x v="17"/>
          </reference>
          <reference field="2" count="1" selected="0">
            <x v="3"/>
          </reference>
          <reference field="4" count="1" selected="0">
            <x v="3"/>
          </reference>
          <reference field="6" count="1">
            <x v="2"/>
          </reference>
        </references>
      </pivotArea>
    </format>
    <format dxfId="184">
      <pivotArea dataOnly="0" labelOnly="1" outline="0" fieldPosition="0">
        <references count="4">
          <reference field="1" count="1" selected="0">
            <x v="18"/>
          </reference>
          <reference field="2" count="1" selected="0">
            <x v="1"/>
          </reference>
          <reference field="4" count="1" selected="0">
            <x v="1"/>
          </reference>
          <reference field="6" count="1">
            <x v="11"/>
          </reference>
        </references>
      </pivotArea>
    </format>
    <format dxfId="183">
      <pivotArea dataOnly="0" labelOnly="1" outline="0" fieldPosition="0">
        <references count="4">
          <reference field="1" count="1" selected="0">
            <x v="19"/>
          </reference>
          <reference field="2" count="1" selected="0">
            <x v="10"/>
          </reference>
          <reference field="4" count="1" selected="0">
            <x v="10"/>
          </reference>
          <reference field="6" count="1">
            <x v="6"/>
          </reference>
        </references>
      </pivotArea>
    </format>
    <format dxfId="182">
      <pivotArea dataOnly="0" labelOnly="1" outline="0" fieldPosition="0">
        <references count="4">
          <reference field="1" count="1" selected="0">
            <x v="20"/>
          </reference>
          <reference field="2" count="1" selected="0">
            <x v="0"/>
          </reference>
          <reference field="4" count="1" selected="0">
            <x v="0"/>
          </reference>
          <reference field="6" count="1">
            <x v="2"/>
          </reference>
        </references>
      </pivotArea>
    </format>
    <format dxfId="181">
      <pivotArea dataOnly="0" labelOnly="1" outline="0" fieldPosition="0">
        <references count="4">
          <reference field="1" count="1" selected="0">
            <x v="21"/>
          </reference>
          <reference field="2" count="1" selected="0">
            <x v="9"/>
          </reference>
          <reference field="4" count="1" selected="0">
            <x v="9"/>
          </reference>
          <reference field="6" count="1">
            <x v="4"/>
          </reference>
        </references>
      </pivotArea>
    </format>
    <format dxfId="180">
      <pivotArea field="7" type="button" dataOnly="0" labelOnly="1" outline="0" axis="axisRow" fieldPosition="5"/>
    </format>
    <format dxfId="179">
      <pivotArea dataOnly="0" labelOnly="1" outline="0" fieldPosition="0">
        <references count="5">
          <reference field="1" count="1" selected="0">
            <x v="12"/>
          </reference>
          <reference field="2" count="1" selected="0">
            <x v="0"/>
          </reference>
          <reference field="4" count="1" selected="0">
            <x v="0"/>
          </reference>
          <reference field="6" count="1" selected="0">
            <x v="12"/>
          </reference>
          <reference field="7" count="1">
            <x v="1"/>
          </reference>
        </references>
      </pivotArea>
    </format>
    <format dxfId="178">
      <pivotArea dataOnly="0" labelOnly="1" outline="0" fieldPosition="0">
        <references count="5">
          <reference field="1" count="1" selected="0">
            <x v="13"/>
          </reference>
          <reference field="2" count="1" selected="0">
            <x v="0"/>
          </reference>
          <reference field="4" count="1" selected="0">
            <x v="0"/>
          </reference>
          <reference field="6" count="1" selected="0">
            <x v="13"/>
          </reference>
          <reference field="7" count="1">
            <x v="2"/>
          </reference>
        </references>
      </pivotArea>
    </format>
    <format dxfId="177">
      <pivotArea dataOnly="0" labelOnly="1" outline="0" fieldPosition="0">
        <references count="5">
          <reference field="1" count="1" selected="0">
            <x v="14"/>
          </reference>
          <reference field="2" count="1" selected="0">
            <x v="8"/>
          </reference>
          <reference field="4" count="1" selected="0">
            <x v="8"/>
          </reference>
          <reference field="6" count="1" selected="0">
            <x v="3"/>
          </reference>
          <reference field="7" count="1">
            <x v="3"/>
          </reference>
        </references>
      </pivotArea>
    </format>
    <format dxfId="176">
      <pivotArea dataOnly="0" labelOnly="1" outline="0" fieldPosition="0">
        <references count="5">
          <reference field="1" count="1" selected="0">
            <x v="15"/>
          </reference>
          <reference field="2" count="1" selected="0">
            <x v="0"/>
          </reference>
          <reference field="4" count="1" selected="0">
            <x v="0"/>
          </reference>
          <reference field="6" count="1" selected="0">
            <x v="13"/>
          </reference>
          <reference field="7" count="1">
            <x v="2"/>
          </reference>
        </references>
      </pivotArea>
    </format>
    <format dxfId="175">
      <pivotArea dataOnly="0" labelOnly="1" outline="0" fieldPosition="0">
        <references count="5">
          <reference field="1" count="1" selected="0">
            <x v="16"/>
          </reference>
          <reference field="2" count="1" selected="0">
            <x v="0"/>
          </reference>
          <reference field="4" count="1" selected="0">
            <x v="0"/>
          </reference>
          <reference field="6" count="1" selected="0">
            <x v="10"/>
          </reference>
          <reference field="7" count="1">
            <x v="0"/>
          </reference>
        </references>
      </pivotArea>
    </format>
    <format dxfId="174">
      <pivotArea dataOnly="0" labelOnly="1" outline="0" fieldPosition="0">
        <references count="5">
          <reference field="1" count="1" selected="0">
            <x v="17"/>
          </reference>
          <reference field="2" count="1" selected="0">
            <x v="3"/>
          </reference>
          <reference field="4" count="1" selected="0">
            <x v="3"/>
          </reference>
          <reference field="6" count="1" selected="0">
            <x v="2"/>
          </reference>
          <reference field="7" count="1">
            <x v="4"/>
          </reference>
        </references>
      </pivotArea>
    </format>
    <format dxfId="173">
      <pivotArea dataOnly="0" labelOnly="1" outline="0" fieldPosition="0">
        <references count="5">
          <reference field="1" count="1" selected="0">
            <x v="18"/>
          </reference>
          <reference field="2" count="1" selected="0">
            <x v="1"/>
          </reference>
          <reference field="4" count="1" selected="0">
            <x v="1"/>
          </reference>
          <reference field="6" count="1" selected="0">
            <x v="11"/>
          </reference>
          <reference field="7" count="1">
            <x v="2"/>
          </reference>
        </references>
      </pivotArea>
    </format>
    <format dxfId="172">
      <pivotArea dataOnly="0" labelOnly="1" outline="0" fieldPosition="0">
        <references count="5">
          <reference field="1" count="1" selected="0">
            <x v="19"/>
          </reference>
          <reference field="2" count="1" selected="0">
            <x v="10"/>
          </reference>
          <reference field="4" count="1" selected="0">
            <x v="10"/>
          </reference>
          <reference field="6" count="1" selected="0">
            <x v="6"/>
          </reference>
          <reference field="7" count="1">
            <x v="5"/>
          </reference>
        </references>
      </pivotArea>
    </format>
    <format dxfId="171">
      <pivotArea dataOnly="0" labelOnly="1" outline="0" fieldPosition="0">
        <references count="5">
          <reference field="1" count="1" selected="0">
            <x v="20"/>
          </reference>
          <reference field="2" count="1" selected="0">
            <x v="0"/>
          </reference>
          <reference field="4" count="1" selected="0">
            <x v="0"/>
          </reference>
          <reference field="6" count="1" selected="0">
            <x v="2"/>
          </reference>
          <reference field="7" count="1">
            <x v="4"/>
          </reference>
        </references>
      </pivotArea>
    </format>
    <format dxfId="170">
      <pivotArea dataOnly="0" labelOnly="1" outline="0" fieldPosition="0">
        <references count="5">
          <reference field="1" count="1" selected="0">
            <x v="21"/>
          </reference>
          <reference field="2" count="1" selected="0">
            <x v="9"/>
          </reference>
          <reference field="4" count="1" selected="0">
            <x v="9"/>
          </reference>
          <reference field="6" count="1" selected="0">
            <x v="4"/>
          </reference>
          <reference field="7" count="1">
            <x v="3"/>
          </reference>
        </references>
      </pivotArea>
    </format>
    <format dxfId="169">
      <pivotArea type="all" dataOnly="0" outline="0" fieldPosition="0"/>
    </format>
    <format dxfId="168">
      <pivotArea field="1" type="button" dataOnly="0" labelOnly="1" outline="0" axis="axisRow" fieldPosition="0"/>
    </format>
    <format dxfId="167">
      <pivotArea dataOnly="0" labelOnly="1" outline="0" fieldPosition="0">
        <references count="1">
          <reference field="1" count="10">
            <x v="12"/>
            <x v="13"/>
            <x v="14"/>
            <x v="15"/>
            <x v="16"/>
            <x v="17"/>
            <x v="18"/>
            <x v="19"/>
            <x v="20"/>
            <x v="21"/>
          </reference>
        </references>
      </pivotArea>
    </format>
    <format dxfId="166">
      <pivotArea dataOnly="0" labelOnly="1" outline="0" fieldPosition="0">
        <references count="2">
          <reference field="1" count="1" selected="0">
            <x v="12"/>
          </reference>
          <reference field="2" count="1">
            <x v="0"/>
          </reference>
        </references>
      </pivotArea>
    </format>
    <format dxfId="165">
      <pivotArea dataOnly="0" labelOnly="1" outline="0" fieldPosition="0">
        <references count="3">
          <reference field="1" count="1" selected="0">
            <x v="12"/>
          </reference>
          <reference field="2" count="1" selected="0">
            <x v="0"/>
          </reference>
          <reference field="4" count="1">
            <x v="0"/>
          </reference>
        </references>
      </pivotArea>
    </format>
    <format dxfId="164">
      <pivotArea field="0" type="button" dataOnly="0" labelOnly="1" outline="0" axis="axisPage" fieldPosition="0"/>
    </format>
    <format dxfId="163">
      <pivotArea field="1" type="button" dataOnly="0" labelOnly="1" outline="0" axis="axisRow" fieldPosition="0"/>
    </format>
    <format dxfId="162">
      <pivotArea dataOnly="0" labelOnly="1" outline="0" fieldPosition="0">
        <references count="1">
          <reference field="1" count="0"/>
        </references>
      </pivotArea>
    </format>
    <format dxfId="161">
      <pivotArea type="all" dataOnly="0" outline="0" fieldPosition="0"/>
    </format>
    <format dxfId="160">
      <pivotArea field="1" type="button" dataOnly="0" labelOnly="1" outline="0" axis="axisRow" fieldPosition="0"/>
    </format>
    <format dxfId="159">
      <pivotArea field="2" type="button" dataOnly="0" labelOnly="1" outline="0" axis="axisRow" fieldPosition="1"/>
    </format>
    <format dxfId="158">
      <pivotArea field="4" type="button" dataOnly="0" labelOnly="1" outline="0" axis="axisRow" fieldPosition="3"/>
    </format>
    <format dxfId="157">
      <pivotArea field="6" type="button" dataOnly="0" labelOnly="1" outline="0" axis="axisRow" fieldPosition="4"/>
    </format>
    <format dxfId="156">
      <pivotArea field="7" type="button" dataOnly="0" labelOnly="1" outline="0" axis="axisRow" fieldPosition="5"/>
    </format>
    <format dxfId="155">
      <pivotArea field="8" type="button" dataOnly="0" labelOnly="1" outline="0" axis="axisRow" fieldPosition="6"/>
    </format>
    <format dxfId="154">
      <pivotArea dataOnly="0" labelOnly="1" outline="0" fieldPosition="0">
        <references count="1">
          <reference field="1" count="0"/>
        </references>
      </pivotArea>
    </format>
    <format dxfId="153">
      <pivotArea dataOnly="0" labelOnly="1" outline="0" fieldPosition="0">
        <references count="2">
          <reference field="1" count="1" selected="0">
            <x v="0"/>
          </reference>
          <reference field="2" count="1">
            <x v="9"/>
          </reference>
        </references>
      </pivotArea>
    </format>
    <format dxfId="152">
      <pivotArea dataOnly="0" labelOnly="1" outline="0" fieldPosition="0">
        <references count="2">
          <reference field="1" count="1" selected="0">
            <x v="1"/>
          </reference>
          <reference field="2" count="1">
            <x v="6"/>
          </reference>
        </references>
      </pivotArea>
    </format>
    <format dxfId="151">
      <pivotArea dataOnly="0" labelOnly="1" outline="0" fieldPosition="0">
        <references count="2">
          <reference field="1" count="1" selected="0">
            <x v="2"/>
          </reference>
          <reference field="2" count="1">
            <x v="7"/>
          </reference>
        </references>
      </pivotArea>
    </format>
    <format dxfId="150">
      <pivotArea dataOnly="0" labelOnly="1" outline="0" fieldPosition="0">
        <references count="2">
          <reference field="1" count="1" selected="0">
            <x v="3"/>
          </reference>
          <reference field="2" count="1">
            <x v="5"/>
          </reference>
        </references>
      </pivotArea>
    </format>
    <format dxfId="149">
      <pivotArea dataOnly="0" labelOnly="1" outline="0" fieldPosition="0">
        <references count="2">
          <reference field="1" count="1" selected="0">
            <x v="5"/>
          </reference>
          <reference field="2" count="1">
            <x v="7"/>
          </reference>
        </references>
      </pivotArea>
    </format>
    <format dxfId="148">
      <pivotArea dataOnly="0" labelOnly="1" outline="0" fieldPosition="0">
        <references count="2">
          <reference field="1" count="1" selected="0">
            <x v="7"/>
          </reference>
          <reference field="2" count="1">
            <x v="0"/>
          </reference>
        </references>
      </pivotArea>
    </format>
    <format dxfId="147">
      <pivotArea dataOnly="0" labelOnly="1" outline="0" fieldPosition="0">
        <references count="2">
          <reference field="1" count="1" selected="0">
            <x v="8"/>
          </reference>
          <reference field="2" count="1">
            <x v="4"/>
          </reference>
        </references>
      </pivotArea>
    </format>
    <format dxfId="146">
      <pivotArea dataOnly="0" labelOnly="1" outline="0" fieldPosition="0">
        <references count="2">
          <reference field="1" count="1" selected="0">
            <x v="9"/>
          </reference>
          <reference field="2" count="1">
            <x v="2"/>
          </reference>
        </references>
      </pivotArea>
    </format>
    <format dxfId="145">
      <pivotArea dataOnly="0" labelOnly="1" outline="0" fieldPosition="0">
        <references count="2">
          <reference field="1" count="1" selected="0">
            <x v="10"/>
          </reference>
          <reference field="2" count="1">
            <x v="9"/>
          </reference>
        </references>
      </pivotArea>
    </format>
    <format dxfId="144">
      <pivotArea dataOnly="0" labelOnly="1" outline="0" fieldPosition="0">
        <references count="2">
          <reference field="1" count="1" selected="0">
            <x v="11"/>
          </reference>
          <reference field="2" count="1">
            <x v="0"/>
          </reference>
        </references>
      </pivotArea>
    </format>
    <format dxfId="143">
      <pivotArea dataOnly="0" labelOnly="1" outline="0" fieldPosition="0">
        <references count="2">
          <reference field="1" count="1" selected="0">
            <x v="14"/>
          </reference>
          <reference field="2" count="1">
            <x v="8"/>
          </reference>
        </references>
      </pivotArea>
    </format>
    <format dxfId="142">
      <pivotArea dataOnly="0" labelOnly="1" outline="0" fieldPosition="0">
        <references count="2">
          <reference field="1" count="1" selected="0">
            <x v="15"/>
          </reference>
          <reference field="2" count="1">
            <x v="0"/>
          </reference>
        </references>
      </pivotArea>
    </format>
    <format dxfId="141">
      <pivotArea dataOnly="0" labelOnly="1" outline="0" fieldPosition="0">
        <references count="2">
          <reference field="1" count="1" selected="0">
            <x v="17"/>
          </reference>
          <reference field="2" count="1">
            <x v="3"/>
          </reference>
        </references>
      </pivotArea>
    </format>
    <format dxfId="140">
      <pivotArea dataOnly="0" labelOnly="1" outline="0" fieldPosition="0">
        <references count="2">
          <reference field="1" count="1" selected="0">
            <x v="18"/>
          </reference>
          <reference field="2" count="1">
            <x v="1"/>
          </reference>
        </references>
      </pivotArea>
    </format>
    <format dxfId="139">
      <pivotArea dataOnly="0" labelOnly="1" outline="0" fieldPosition="0">
        <references count="2">
          <reference field="1" count="1" selected="0">
            <x v="19"/>
          </reference>
          <reference field="2" count="1">
            <x v="10"/>
          </reference>
        </references>
      </pivotArea>
    </format>
    <format dxfId="138">
      <pivotArea dataOnly="0" labelOnly="1" outline="0" fieldPosition="0">
        <references count="2">
          <reference field="1" count="1" selected="0">
            <x v="20"/>
          </reference>
          <reference field="2" count="1">
            <x v="0"/>
          </reference>
        </references>
      </pivotArea>
    </format>
    <format dxfId="137">
      <pivotArea dataOnly="0" labelOnly="1" outline="0" fieldPosition="0">
        <references count="2">
          <reference field="1" count="1" selected="0">
            <x v="21"/>
          </reference>
          <reference field="2" count="1">
            <x v="9"/>
          </reference>
        </references>
      </pivotArea>
    </format>
    <format dxfId="136">
      <pivotArea dataOnly="0" labelOnly="1" outline="0" fieldPosition="0">
        <references count="3">
          <reference field="1" count="1" selected="0">
            <x v="0"/>
          </reference>
          <reference field="2" count="1" selected="0">
            <x v="9"/>
          </reference>
          <reference field="4" count="1">
            <x v="9"/>
          </reference>
        </references>
      </pivotArea>
    </format>
    <format dxfId="135">
      <pivotArea dataOnly="0" labelOnly="1" outline="0" fieldPosition="0">
        <references count="3">
          <reference field="1" count="1" selected="0">
            <x v="1"/>
          </reference>
          <reference field="2" count="1" selected="0">
            <x v="6"/>
          </reference>
          <reference field="4" count="1">
            <x v="6"/>
          </reference>
        </references>
      </pivotArea>
    </format>
    <format dxfId="134">
      <pivotArea dataOnly="0" labelOnly="1" outline="0" fieldPosition="0">
        <references count="3">
          <reference field="1" count="1" selected="0">
            <x v="2"/>
          </reference>
          <reference field="2" count="1" selected="0">
            <x v="7"/>
          </reference>
          <reference field="4" count="1">
            <x v="7"/>
          </reference>
        </references>
      </pivotArea>
    </format>
    <format dxfId="133">
      <pivotArea dataOnly="0" labelOnly="1" outline="0" fieldPosition="0">
        <references count="3">
          <reference field="1" count="1" selected="0">
            <x v="3"/>
          </reference>
          <reference field="2" count="1" selected="0">
            <x v="5"/>
          </reference>
          <reference field="4" count="1">
            <x v="5"/>
          </reference>
        </references>
      </pivotArea>
    </format>
    <format dxfId="132">
      <pivotArea dataOnly="0" labelOnly="1" outline="0" fieldPosition="0">
        <references count="3">
          <reference field="1" count="1" selected="0">
            <x v="5"/>
          </reference>
          <reference field="2" count="1" selected="0">
            <x v="7"/>
          </reference>
          <reference field="4" count="1">
            <x v="7"/>
          </reference>
        </references>
      </pivotArea>
    </format>
    <format dxfId="131">
      <pivotArea dataOnly="0" labelOnly="1" outline="0" fieldPosition="0">
        <references count="3">
          <reference field="1" count="1" selected="0">
            <x v="7"/>
          </reference>
          <reference field="2" count="1" selected="0">
            <x v="0"/>
          </reference>
          <reference field="4" count="1">
            <x v="0"/>
          </reference>
        </references>
      </pivotArea>
    </format>
    <format dxfId="130">
      <pivotArea dataOnly="0" labelOnly="1" outline="0" fieldPosition="0">
        <references count="3">
          <reference field="1" count="1" selected="0">
            <x v="8"/>
          </reference>
          <reference field="2" count="1" selected="0">
            <x v="4"/>
          </reference>
          <reference field="4" count="1">
            <x v="4"/>
          </reference>
        </references>
      </pivotArea>
    </format>
    <format dxfId="129">
      <pivotArea dataOnly="0" labelOnly="1" outline="0" fieldPosition="0">
        <references count="3">
          <reference field="1" count="1" selected="0">
            <x v="9"/>
          </reference>
          <reference field="2" count="1" selected="0">
            <x v="2"/>
          </reference>
          <reference field="4" count="1">
            <x v="2"/>
          </reference>
        </references>
      </pivotArea>
    </format>
    <format dxfId="128">
      <pivotArea dataOnly="0" labelOnly="1" outline="0" fieldPosition="0">
        <references count="3">
          <reference field="1" count="1" selected="0">
            <x v="10"/>
          </reference>
          <reference field="2" count="1" selected="0">
            <x v="9"/>
          </reference>
          <reference field="4" count="1">
            <x v="9"/>
          </reference>
        </references>
      </pivotArea>
    </format>
    <format dxfId="127">
      <pivotArea dataOnly="0" labelOnly="1" outline="0" fieldPosition="0">
        <references count="3">
          <reference field="1" count="1" selected="0">
            <x v="11"/>
          </reference>
          <reference field="2" count="1" selected="0">
            <x v="0"/>
          </reference>
          <reference field="4" count="1">
            <x v="0"/>
          </reference>
        </references>
      </pivotArea>
    </format>
    <format dxfId="126">
      <pivotArea dataOnly="0" labelOnly="1" outline="0" fieldPosition="0">
        <references count="3">
          <reference field="1" count="1" selected="0">
            <x v="14"/>
          </reference>
          <reference field="2" count="1" selected="0">
            <x v="8"/>
          </reference>
          <reference field="4" count="1">
            <x v="8"/>
          </reference>
        </references>
      </pivotArea>
    </format>
    <format dxfId="125">
      <pivotArea dataOnly="0" labelOnly="1" outline="0" fieldPosition="0">
        <references count="3">
          <reference field="1" count="1" selected="0">
            <x v="15"/>
          </reference>
          <reference field="2" count="1" selected="0">
            <x v="0"/>
          </reference>
          <reference field="4" count="1">
            <x v="0"/>
          </reference>
        </references>
      </pivotArea>
    </format>
    <format dxfId="124">
      <pivotArea dataOnly="0" labelOnly="1" outline="0" fieldPosition="0">
        <references count="3">
          <reference field="1" count="1" selected="0">
            <x v="17"/>
          </reference>
          <reference field="2" count="1" selected="0">
            <x v="3"/>
          </reference>
          <reference field="4" count="1">
            <x v="3"/>
          </reference>
        </references>
      </pivotArea>
    </format>
    <format dxfId="123">
      <pivotArea dataOnly="0" labelOnly="1" outline="0" fieldPosition="0">
        <references count="3">
          <reference field="1" count="1" selected="0">
            <x v="18"/>
          </reference>
          <reference field="2" count="1" selected="0">
            <x v="1"/>
          </reference>
          <reference field="4" count="1">
            <x v="1"/>
          </reference>
        </references>
      </pivotArea>
    </format>
    <format dxfId="122">
      <pivotArea dataOnly="0" labelOnly="1" outline="0" fieldPosition="0">
        <references count="3">
          <reference field="1" count="1" selected="0">
            <x v="19"/>
          </reference>
          <reference field="2" count="1" selected="0">
            <x v="10"/>
          </reference>
          <reference field="4" count="1">
            <x v="10"/>
          </reference>
        </references>
      </pivotArea>
    </format>
    <format dxfId="121">
      <pivotArea dataOnly="0" labelOnly="1" outline="0" fieldPosition="0">
        <references count="3">
          <reference field="1" count="1" selected="0">
            <x v="20"/>
          </reference>
          <reference field="2" count="1" selected="0">
            <x v="0"/>
          </reference>
          <reference field="4" count="1">
            <x v="0"/>
          </reference>
        </references>
      </pivotArea>
    </format>
    <format dxfId="120">
      <pivotArea dataOnly="0" labelOnly="1" outline="0" fieldPosition="0">
        <references count="3">
          <reference field="1" count="1" selected="0">
            <x v="21"/>
          </reference>
          <reference field="2" count="1" selected="0">
            <x v="9"/>
          </reference>
          <reference field="4" count="1">
            <x v="9"/>
          </reference>
        </references>
      </pivotArea>
    </format>
    <format dxfId="119">
      <pivotArea dataOnly="0" labelOnly="1" outline="0" fieldPosition="0">
        <references count="4">
          <reference field="1" count="1" selected="0">
            <x v="0"/>
          </reference>
          <reference field="2" count="1" selected="0">
            <x v="9"/>
          </reference>
          <reference field="4" count="1" selected="0">
            <x v="9"/>
          </reference>
          <reference field="6" count="1">
            <x v="14"/>
          </reference>
        </references>
      </pivotArea>
    </format>
    <format dxfId="118">
      <pivotArea dataOnly="0" labelOnly="1" outline="0" fieldPosition="0">
        <references count="4">
          <reference field="1" count="1" selected="0">
            <x v="2"/>
          </reference>
          <reference field="2" count="1" selected="0">
            <x v="7"/>
          </reference>
          <reference field="4" count="1" selected="0">
            <x v="7"/>
          </reference>
          <reference field="6" count="1">
            <x v="1"/>
          </reference>
        </references>
      </pivotArea>
    </format>
    <format dxfId="117">
      <pivotArea dataOnly="0" labelOnly="1" outline="0" fieldPosition="0">
        <references count="4">
          <reference field="1" count="1" selected="0">
            <x v="4"/>
          </reference>
          <reference field="2" count="1" selected="0">
            <x v="5"/>
          </reference>
          <reference field="4" count="1" selected="0">
            <x v="5"/>
          </reference>
          <reference field="6" count="1">
            <x v="9"/>
          </reference>
        </references>
      </pivotArea>
    </format>
    <format dxfId="116">
      <pivotArea dataOnly="0" labelOnly="1" outline="0" fieldPosition="0">
        <references count="4">
          <reference field="1" count="1" selected="0">
            <x v="5"/>
          </reference>
          <reference field="2" count="1" selected="0">
            <x v="7"/>
          </reference>
          <reference field="4" count="1" selected="0">
            <x v="7"/>
          </reference>
          <reference field="6" count="1">
            <x v="0"/>
          </reference>
        </references>
      </pivotArea>
    </format>
    <format dxfId="115">
      <pivotArea dataOnly="0" labelOnly="1" outline="0" fieldPosition="0">
        <references count="4">
          <reference field="1" count="1" selected="0">
            <x v="6"/>
          </reference>
          <reference field="2" count="1" selected="0">
            <x v="7"/>
          </reference>
          <reference field="4" count="1" selected="0">
            <x v="7"/>
          </reference>
          <reference field="6" count="1">
            <x v="5"/>
          </reference>
        </references>
      </pivotArea>
    </format>
    <format dxfId="114">
      <pivotArea dataOnly="0" labelOnly="1" outline="0" fieldPosition="0">
        <references count="4">
          <reference field="1" count="1" selected="0">
            <x v="7"/>
          </reference>
          <reference field="2" count="1" selected="0">
            <x v="0"/>
          </reference>
          <reference field="4" count="1" selected="0">
            <x v="0"/>
          </reference>
          <reference field="6" count="1">
            <x v="8"/>
          </reference>
        </references>
      </pivotArea>
    </format>
    <format dxfId="113">
      <pivotArea dataOnly="0" labelOnly="1" outline="0" fieldPosition="0">
        <references count="4">
          <reference field="1" count="1" selected="0">
            <x v="8"/>
          </reference>
          <reference field="2" count="1" selected="0">
            <x v="4"/>
          </reference>
          <reference field="4" count="1" selected="0">
            <x v="4"/>
          </reference>
          <reference field="6" count="1">
            <x v="1"/>
          </reference>
        </references>
      </pivotArea>
    </format>
    <format dxfId="112">
      <pivotArea dataOnly="0" labelOnly="1" outline="0" fieldPosition="0">
        <references count="4">
          <reference field="1" count="1" selected="0">
            <x v="9"/>
          </reference>
          <reference field="2" count="1" selected="0">
            <x v="2"/>
          </reference>
          <reference field="4" count="1" selected="0">
            <x v="2"/>
          </reference>
          <reference field="6" count="1">
            <x v="7"/>
          </reference>
        </references>
      </pivotArea>
    </format>
    <format dxfId="111">
      <pivotArea dataOnly="0" labelOnly="1" outline="0" fieldPosition="0">
        <references count="4">
          <reference field="1" count="1" selected="0">
            <x v="10"/>
          </reference>
          <reference field="2" count="1" selected="0">
            <x v="9"/>
          </reference>
          <reference field="4" count="1" selected="0">
            <x v="9"/>
          </reference>
          <reference field="6" count="1">
            <x v="5"/>
          </reference>
        </references>
      </pivotArea>
    </format>
    <format dxfId="110">
      <pivotArea dataOnly="0" labelOnly="1" outline="0" fieldPosition="0">
        <references count="4">
          <reference field="1" count="1" selected="0">
            <x v="11"/>
          </reference>
          <reference field="2" count="1" selected="0">
            <x v="0"/>
          </reference>
          <reference field="4" count="1" selected="0">
            <x v="0"/>
          </reference>
          <reference field="6" count="1">
            <x v="1"/>
          </reference>
        </references>
      </pivotArea>
    </format>
    <format dxfId="109">
      <pivotArea dataOnly="0" labelOnly="1" outline="0" fieldPosition="0">
        <references count="4">
          <reference field="1" count="1" selected="0">
            <x v="12"/>
          </reference>
          <reference field="2" count="1" selected="0">
            <x v="0"/>
          </reference>
          <reference field="4" count="1" selected="0">
            <x v="0"/>
          </reference>
          <reference field="6" count="1">
            <x v="12"/>
          </reference>
        </references>
      </pivotArea>
    </format>
    <format dxfId="108">
      <pivotArea dataOnly="0" labelOnly="1" outline="0" fieldPosition="0">
        <references count="4">
          <reference field="1" count="1" selected="0">
            <x v="13"/>
          </reference>
          <reference field="2" count="1" selected="0">
            <x v="0"/>
          </reference>
          <reference field="4" count="1" selected="0">
            <x v="0"/>
          </reference>
          <reference field="6" count="1">
            <x v="13"/>
          </reference>
        </references>
      </pivotArea>
    </format>
    <format dxfId="107">
      <pivotArea dataOnly="0" labelOnly="1" outline="0" fieldPosition="0">
        <references count="4">
          <reference field="1" count="1" selected="0">
            <x v="14"/>
          </reference>
          <reference field="2" count="1" selected="0">
            <x v="8"/>
          </reference>
          <reference field="4" count="1" selected="0">
            <x v="8"/>
          </reference>
          <reference field="6" count="1">
            <x v="3"/>
          </reference>
        </references>
      </pivotArea>
    </format>
    <format dxfId="106">
      <pivotArea dataOnly="0" labelOnly="1" outline="0" fieldPosition="0">
        <references count="4">
          <reference field="1" count="1" selected="0">
            <x v="15"/>
          </reference>
          <reference field="2" count="1" selected="0">
            <x v="0"/>
          </reference>
          <reference field="4" count="1" selected="0">
            <x v="0"/>
          </reference>
          <reference field="6" count="1">
            <x v="13"/>
          </reference>
        </references>
      </pivotArea>
    </format>
    <format dxfId="105">
      <pivotArea dataOnly="0" labelOnly="1" outline="0" fieldPosition="0">
        <references count="4">
          <reference field="1" count="1" selected="0">
            <x v="16"/>
          </reference>
          <reference field="2" count="1" selected="0">
            <x v="0"/>
          </reference>
          <reference field="4" count="1" selected="0">
            <x v="0"/>
          </reference>
          <reference field="6" count="1">
            <x v="10"/>
          </reference>
        </references>
      </pivotArea>
    </format>
    <format dxfId="104">
      <pivotArea dataOnly="0" labelOnly="1" outline="0" fieldPosition="0">
        <references count="4">
          <reference field="1" count="1" selected="0">
            <x v="17"/>
          </reference>
          <reference field="2" count="1" selected="0">
            <x v="3"/>
          </reference>
          <reference field="4" count="1" selected="0">
            <x v="3"/>
          </reference>
          <reference field="6" count="1">
            <x v="2"/>
          </reference>
        </references>
      </pivotArea>
    </format>
    <format dxfId="103">
      <pivotArea dataOnly="0" labelOnly="1" outline="0" fieldPosition="0">
        <references count="4">
          <reference field="1" count="1" selected="0">
            <x v="18"/>
          </reference>
          <reference field="2" count="1" selected="0">
            <x v="1"/>
          </reference>
          <reference field="4" count="1" selected="0">
            <x v="1"/>
          </reference>
          <reference field="6" count="1">
            <x v="11"/>
          </reference>
        </references>
      </pivotArea>
    </format>
    <format dxfId="102">
      <pivotArea dataOnly="0" labelOnly="1" outline="0" fieldPosition="0">
        <references count="4">
          <reference field="1" count="1" selected="0">
            <x v="19"/>
          </reference>
          <reference field="2" count="1" selected="0">
            <x v="10"/>
          </reference>
          <reference field="4" count="1" selected="0">
            <x v="10"/>
          </reference>
          <reference field="6" count="1">
            <x v="6"/>
          </reference>
        </references>
      </pivotArea>
    </format>
    <format dxfId="101">
      <pivotArea dataOnly="0" labelOnly="1" outline="0" fieldPosition="0">
        <references count="4">
          <reference field="1" count="1" selected="0">
            <x v="20"/>
          </reference>
          <reference field="2" count="1" selected="0">
            <x v="0"/>
          </reference>
          <reference field="4" count="1" selected="0">
            <x v="0"/>
          </reference>
          <reference field="6" count="1">
            <x v="2"/>
          </reference>
        </references>
      </pivotArea>
    </format>
    <format dxfId="100">
      <pivotArea dataOnly="0" labelOnly="1" outline="0" fieldPosition="0">
        <references count="4">
          <reference field="1" count="1" selected="0">
            <x v="21"/>
          </reference>
          <reference field="2" count="1" selected="0">
            <x v="9"/>
          </reference>
          <reference field="4" count="1" selected="0">
            <x v="9"/>
          </reference>
          <reference field="6" count="1">
            <x v="4"/>
          </reference>
        </references>
      </pivotArea>
    </format>
    <format dxfId="99">
      <pivotArea dataOnly="0" labelOnly="1" outline="0" fieldPosition="0">
        <references count="5">
          <reference field="1" count="1" selected="0">
            <x v="0"/>
          </reference>
          <reference field="2" count="1" selected="0">
            <x v="9"/>
          </reference>
          <reference field="4" count="1" selected="0">
            <x v="9"/>
          </reference>
          <reference field="6" count="1" selected="0">
            <x v="14"/>
          </reference>
          <reference field="7" count="1">
            <x v="3"/>
          </reference>
        </references>
      </pivotArea>
    </format>
    <format dxfId="98">
      <pivotArea dataOnly="0" labelOnly="1" outline="0" fieldPosition="0">
        <references count="5">
          <reference field="1" count="1" selected="0">
            <x v="2"/>
          </reference>
          <reference field="2" count="1" selected="0">
            <x v="7"/>
          </reference>
          <reference field="4" count="1" selected="0">
            <x v="7"/>
          </reference>
          <reference field="6" count="1" selected="0">
            <x v="1"/>
          </reference>
          <reference field="7" count="1">
            <x v="2"/>
          </reference>
        </references>
      </pivotArea>
    </format>
    <format dxfId="97">
      <pivotArea dataOnly="0" labelOnly="1" outline="0" fieldPosition="0">
        <references count="5">
          <reference field="1" count="1" selected="0">
            <x v="4"/>
          </reference>
          <reference field="2" count="1" selected="0">
            <x v="5"/>
          </reference>
          <reference field="4" count="1" selected="0">
            <x v="5"/>
          </reference>
          <reference field="6" count="1" selected="0">
            <x v="9"/>
          </reference>
          <reference field="7" count="1">
            <x v="5"/>
          </reference>
        </references>
      </pivotArea>
    </format>
    <format dxfId="96">
      <pivotArea dataOnly="0" labelOnly="1" outline="0" fieldPosition="0">
        <references count="5">
          <reference field="1" count="1" selected="0">
            <x v="5"/>
          </reference>
          <reference field="2" count="1" selected="0">
            <x v="7"/>
          </reference>
          <reference field="4" count="1" selected="0">
            <x v="7"/>
          </reference>
          <reference field="6" count="1" selected="0">
            <x v="0"/>
          </reference>
          <reference field="7" count="1">
            <x v="1"/>
          </reference>
        </references>
      </pivotArea>
    </format>
    <format dxfId="95">
      <pivotArea dataOnly="0" labelOnly="1" outline="0" fieldPosition="0">
        <references count="5">
          <reference field="1" count="1" selected="0">
            <x v="6"/>
          </reference>
          <reference field="2" count="1" selected="0">
            <x v="7"/>
          </reference>
          <reference field="4" count="1" selected="0">
            <x v="7"/>
          </reference>
          <reference field="6" count="1" selected="0">
            <x v="5"/>
          </reference>
          <reference field="7" count="1">
            <x v="3"/>
          </reference>
        </references>
      </pivotArea>
    </format>
    <format dxfId="94">
      <pivotArea dataOnly="0" labelOnly="1" outline="0" fieldPosition="0">
        <references count="5">
          <reference field="1" count="1" selected="0">
            <x v="7"/>
          </reference>
          <reference field="2" count="1" selected="0">
            <x v="0"/>
          </reference>
          <reference field="4" count="1" selected="0">
            <x v="0"/>
          </reference>
          <reference field="6" count="1" selected="0">
            <x v="8"/>
          </reference>
          <reference field="7" count="1">
            <x v="1"/>
          </reference>
        </references>
      </pivotArea>
    </format>
    <format dxfId="93">
      <pivotArea dataOnly="0" labelOnly="1" outline="0" fieldPosition="0">
        <references count="5">
          <reference field="1" count="1" selected="0">
            <x v="8"/>
          </reference>
          <reference field="2" count="1" selected="0">
            <x v="4"/>
          </reference>
          <reference field="4" count="1" selected="0">
            <x v="4"/>
          </reference>
          <reference field="6" count="1" selected="0">
            <x v="1"/>
          </reference>
          <reference field="7" count="1">
            <x v="2"/>
          </reference>
        </references>
      </pivotArea>
    </format>
    <format dxfId="92">
      <pivotArea dataOnly="0" labelOnly="1" outline="0" fieldPosition="0">
        <references count="5">
          <reference field="1" count="1" selected="0">
            <x v="9"/>
          </reference>
          <reference field="2" count="1" selected="0">
            <x v="2"/>
          </reference>
          <reference field="4" count="1" selected="0">
            <x v="2"/>
          </reference>
          <reference field="6" count="1" selected="0">
            <x v="7"/>
          </reference>
          <reference field="7" count="1">
            <x v="6"/>
          </reference>
        </references>
      </pivotArea>
    </format>
    <format dxfId="91">
      <pivotArea dataOnly="0" labelOnly="1" outline="0" fieldPosition="0">
        <references count="5">
          <reference field="1" count="1" selected="0">
            <x v="10"/>
          </reference>
          <reference field="2" count="1" selected="0">
            <x v="9"/>
          </reference>
          <reference field="4" count="1" selected="0">
            <x v="9"/>
          </reference>
          <reference field="6" count="1" selected="0">
            <x v="5"/>
          </reference>
          <reference field="7" count="1">
            <x v="3"/>
          </reference>
        </references>
      </pivotArea>
    </format>
    <format dxfId="90">
      <pivotArea dataOnly="0" labelOnly="1" outline="0" fieldPosition="0">
        <references count="5">
          <reference field="1" count="1" selected="0">
            <x v="11"/>
          </reference>
          <reference field="2" count="1" selected="0">
            <x v="0"/>
          </reference>
          <reference field="4" count="1" selected="0">
            <x v="0"/>
          </reference>
          <reference field="6" count="1" selected="0">
            <x v="1"/>
          </reference>
          <reference field="7" count="1">
            <x v="2"/>
          </reference>
        </references>
      </pivotArea>
    </format>
    <format dxfId="89">
      <pivotArea dataOnly="0" labelOnly="1" outline="0" fieldPosition="0">
        <references count="5">
          <reference field="1" count="1" selected="0">
            <x v="12"/>
          </reference>
          <reference field="2" count="1" selected="0">
            <x v="0"/>
          </reference>
          <reference field="4" count="1" selected="0">
            <x v="0"/>
          </reference>
          <reference field="6" count="1" selected="0">
            <x v="12"/>
          </reference>
          <reference field="7" count="1">
            <x v="1"/>
          </reference>
        </references>
      </pivotArea>
    </format>
    <format dxfId="88">
      <pivotArea dataOnly="0" labelOnly="1" outline="0" fieldPosition="0">
        <references count="5">
          <reference field="1" count="1" selected="0">
            <x v="13"/>
          </reference>
          <reference field="2" count="1" selected="0">
            <x v="0"/>
          </reference>
          <reference field="4" count="1" selected="0">
            <x v="0"/>
          </reference>
          <reference field="6" count="1" selected="0">
            <x v="13"/>
          </reference>
          <reference field="7" count="1">
            <x v="2"/>
          </reference>
        </references>
      </pivotArea>
    </format>
    <format dxfId="87">
      <pivotArea dataOnly="0" labelOnly="1" outline="0" fieldPosition="0">
        <references count="5">
          <reference field="1" count="1" selected="0">
            <x v="14"/>
          </reference>
          <reference field="2" count="1" selected="0">
            <x v="8"/>
          </reference>
          <reference field="4" count="1" selected="0">
            <x v="8"/>
          </reference>
          <reference field="6" count="1" selected="0">
            <x v="3"/>
          </reference>
          <reference field="7" count="1">
            <x v="3"/>
          </reference>
        </references>
      </pivotArea>
    </format>
    <format dxfId="86">
      <pivotArea dataOnly="0" labelOnly="1" outline="0" fieldPosition="0">
        <references count="5">
          <reference field="1" count="1" selected="0">
            <x v="15"/>
          </reference>
          <reference field="2" count="1" selected="0">
            <x v="0"/>
          </reference>
          <reference field="4" count="1" selected="0">
            <x v="0"/>
          </reference>
          <reference field="6" count="1" selected="0">
            <x v="13"/>
          </reference>
          <reference field="7" count="1">
            <x v="2"/>
          </reference>
        </references>
      </pivotArea>
    </format>
    <format dxfId="85">
      <pivotArea dataOnly="0" labelOnly="1" outline="0" fieldPosition="0">
        <references count="5">
          <reference field="1" count="1" selected="0">
            <x v="16"/>
          </reference>
          <reference field="2" count="1" selected="0">
            <x v="0"/>
          </reference>
          <reference field="4" count="1" selected="0">
            <x v="0"/>
          </reference>
          <reference field="6" count="1" selected="0">
            <x v="10"/>
          </reference>
          <reference field="7" count="1">
            <x v="0"/>
          </reference>
        </references>
      </pivotArea>
    </format>
    <format dxfId="84">
      <pivotArea dataOnly="0" labelOnly="1" outline="0" fieldPosition="0">
        <references count="5">
          <reference field="1" count="1" selected="0">
            <x v="17"/>
          </reference>
          <reference field="2" count="1" selected="0">
            <x v="3"/>
          </reference>
          <reference field="4" count="1" selected="0">
            <x v="3"/>
          </reference>
          <reference field="6" count="1" selected="0">
            <x v="2"/>
          </reference>
          <reference field="7" count="1">
            <x v="4"/>
          </reference>
        </references>
      </pivotArea>
    </format>
    <format dxfId="83">
      <pivotArea dataOnly="0" labelOnly="1" outline="0" fieldPosition="0">
        <references count="5">
          <reference field="1" count="1" selected="0">
            <x v="18"/>
          </reference>
          <reference field="2" count="1" selected="0">
            <x v="1"/>
          </reference>
          <reference field="4" count="1" selected="0">
            <x v="1"/>
          </reference>
          <reference field="6" count="1" selected="0">
            <x v="11"/>
          </reference>
          <reference field="7" count="1">
            <x v="2"/>
          </reference>
        </references>
      </pivotArea>
    </format>
    <format dxfId="82">
      <pivotArea dataOnly="0" labelOnly="1" outline="0" fieldPosition="0">
        <references count="5">
          <reference field="1" count="1" selected="0">
            <x v="19"/>
          </reference>
          <reference field="2" count="1" selected="0">
            <x v="10"/>
          </reference>
          <reference field="4" count="1" selected="0">
            <x v="10"/>
          </reference>
          <reference field="6" count="1" selected="0">
            <x v="6"/>
          </reference>
          <reference field="7" count="1">
            <x v="5"/>
          </reference>
        </references>
      </pivotArea>
    </format>
    <format dxfId="81">
      <pivotArea dataOnly="0" labelOnly="1" outline="0" fieldPosition="0">
        <references count="5">
          <reference field="1" count="1" selected="0">
            <x v="20"/>
          </reference>
          <reference field="2" count="1" selected="0">
            <x v="0"/>
          </reference>
          <reference field="4" count="1" selected="0">
            <x v="0"/>
          </reference>
          <reference field="6" count="1" selected="0">
            <x v="2"/>
          </reference>
          <reference field="7" count="1">
            <x v="4"/>
          </reference>
        </references>
      </pivotArea>
    </format>
    <format dxfId="80">
      <pivotArea dataOnly="0" labelOnly="1" outline="0" fieldPosition="0">
        <references count="5">
          <reference field="1" count="1" selected="0">
            <x v="21"/>
          </reference>
          <reference field="2" count="1" selected="0">
            <x v="9"/>
          </reference>
          <reference field="4" count="1" selected="0">
            <x v="9"/>
          </reference>
          <reference field="6" count="1" selected="0">
            <x v="4"/>
          </reference>
          <reference field="7" count="1">
            <x v="3"/>
          </reference>
        </references>
      </pivotArea>
    </format>
    <format dxfId="79">
      <pivotArea dataOnly="0" labelOnly="1" outline="0" fieldPosition="0">
        <references count="6">
          <reference field="1" count="1" selected="0">
            <x v="0"/>
          </reference>
          <reference field="2" count="1" selected="0">
            <x v="9"/>
          </reference>
          <reference field="4" count="1" selected="0">
            <x v="9"/>
          </reference>
          <reference field="6" count="1" selected="0">
            <x v="14"/>
          </reference>
          <reference field="7" count="1" selected="0">
            <x v="3"/>
          </reference>
          <reference field="8" count="1">
            <x v="12"/>
          </reference>
        </references>
      </pivotArea>
    </format>
    <format dxfId="78">
      <pivotArea dataOnly="0" labelOnly="1" outline="0" fieldPosition="0">
        <references count="6">
          <reference field="1" count="1" selected="0">
            <x v="1"/>
          </reference>
          <reference field="2" count="1" selected="0">
            <x v="6"/>
          </reference>
          <reference field="4" count="1" selected="0">
            <x v="6"/>
          </reference>
          <reference field="6" count="1" selected="0">
            <x v="14"/>
          </reference>
          <reference field="7" count="1" selected="0">
            <x v="3"/>
          </reference>
          <reference field="8" count="1">
            <x v="15"/>
          </reference>
        </references>
      </pivotArea>
    </format>
    <format dxfId="77">
      <pivotArea dataOnly="0" labelOnly="1" outline="0" fieldPosition="0">
        <references count="6">
          <reference field="1" count="1" selected="0">
            <x v="2"/>
          </reference>
          <reference field="2" count="1" selected="0">
            <x v="7"/>
          </reference>
          <reference field="4" count="1" selected="0">
            <x v="7"/>
          </reference>
          <reference field="6" count="1" selected="0">
            <x v="1"/>
          </reference>
          <reference field="7" count="1" selected="0">
            <x v="2"/>
          </reference>
          <reference field="8" count="1">
            <x v="0"/>
          </reference>
        </references>
      </pivotArea>
    </format>
    <format dxfId="76">
      <pivotArea dataOnly="0" labelOnly="1" outline="0" fieldPosition="0">
        <references count="6">
          <reference field="1" count="1" selected="0">
            <x v="4"/>
          </reference>
          <reference field="2" count="1" selected="0">
            <x v="5"/>
          </reference>
          <reference field="4" count="1" selected="0">
            <x v="5"/>
          </reference>
          <reference field="6" count="1" selected="0">
            <x v="9"/>
          </reference>
          <reference field="7" count="1" selected="0">
            <x v="5"/>
          </reference>
          <reference field="8" count="1">
            <x v="11"/>
          </reference>
        </references>
      </pivotArea>
    </format>
    <format dxfId="75">
      <pivotArea dataOnly="0" labelOnly="1" outline="0" fieldPosition="0">
        <references count="6">
          <reference field="1" count="1" selected="0">
            <x v="5"/>
          </reference>
          <reference field="2" count="1" selected="0">
            <x v="7"/>
          </reference>
          <reference field="4" count="1" selected="0">
            <x v="7"/>
          </reference>
          <reference field="6" count="1" selected="0">
            <x v="0"/>
          </reference>
          <reference field="7" count="1" selected="0">
            <x v="1"/>
          </reference>
          <reference field="8" count="1">
            <x v="5"/>
          </reference>
        </references>
      </pivotArea>
    </format>
    <format dxfId="74">
      <pivotArea dataOnly="0" labelOnly="1" outline="0" fieldPosition="0">
        <references count="6">
          <reference field="1" count="1" selected="0">
            <x v="6"/>
          </reference>
          <reference field="2" count="1" selected="0">
            <x v="7"/>
          </reference>
          <reference field="4" count="1" selected="0">
            <x v="7"/>
          </reference>
          <reference field="6" count="1" selected="0">
            <x v="5"/>
          </reference>
          <reference field="7" count="1" selected="0">
            <x v="3"/>
          </reference>
          <reference field="8" count="1">
            <x v="17"/>
          </reference>
        </references>
      </pivotArea>
    </format>
    <format dxfId="73">
      <pivotArea dataOnly="0" labelOnly="1" outline="0" fieldPosition="0">
        <references count="6">
          <reference field="1" count="1" selected="0">
            <x v="7"/>
          </reference>
          <reference field="2" count="1" selected="0">
            <x v="0"/>
          </reference>
          <reference field="4" count="1" selected="0">
            <x v="0"/>
          </reference>
          <reference field="6" count="1" selected="0">
            <x v="8"/>
          </reference>
          <reference field="7" count="1" selected="0">
            <x v="1"/>
          </reference>
          <reference field="8" count="1">
            <x v="2"/>
          </reference>
        </references>
      </pivotArea>
    </format>
    <format dxfId="72">
      <pivotArea dataOnly="0" labelOnly="1" outline="0" fieldPosition="0">
        <references count="6">
          <reference field="1" count="1" selected="0">
            <x v="8"/>
          </reference>
          <reference field="2" count="1" selected="0">
            <x v="4"/>
          </reference>
          <reference field="4" count="1" selected="0">
            <x v="4"/>
          </reference>
          <reference field="6" count="1" selected="0">
            <x v="1"/>
          </reference>
          <reference field="7" count="1" selected="0">
            <x v="2"/>
          </reference>
          <reference field="8" count="1">
            <x v="6"/>
          </reference>
        </references>
      </pivotArea>
    </format>
    <format dxfId="71">
      <pivotArea dataOnly="0" labelOnly="1" outline="0" fieldPosition="0">
        <references count="6">
          <reference field="1" count="1" selected="0">
            <x v="9"/>
          </reference>
          <reference field="2" count="1" selected="0">
            <x v="2"/>
          </reference>
          <reference field="4" count="1" selected="0">
            <x v="2"/>
          </reference>
          <reference field="6" count="1" selected="0">
            <x v="7"/>
          </reference>
          <reference field="7" count="1" selected="0">
            <x v="6"/>
          </reference>
          <reference field="8" count="1">
            <x v="2"/>
          </reference>
        </references>
      </pivotArea>
    </format>
    <format dxfId="70">
      <pivotArea dataOnly="0" labelOnly="1" outline="0" fieldPosition="0">
        <references count="6">
          <reference field="1" count="1" selected="0">
            <x v="10"/>
          </reference>
          <reference field="2" count="1" selected="0">
            <x v="9"/>
          </reference>
          <reference field="4" count="1" selected="0">
            <x v="9"/>
          </reference>
          <reference field="6" count="1" selected="0">
            <x v="5"/>
          </reference>
          <reference field="7" count="1" selected="0">
            <x v="3"/>
          </reference>
          <reference field="8" count="1">
            <x v="17"/>
          </reference>
        </references>
      </pivotArea>
    </format>
    <format dxfId="69">
      <pivotArea dataOnly="0" labelOnly="1" outline="0" fieldPosition="0">
        <references count="6">
          <reference field="1" count="1" selected="0">
            <x v="11"/>
          </reference>
          <reference field="2" count="1" selected="0">
            <x v="0"/>
          </reference>
          <reference field="4" count="1" selected="0">
            <x v="0"/>
          </reference>
          <reference field="6" count="1" selected="0">
            <x v="1"/>
          </reference>
          <reference field="7" count="1" selected="0">
            <x v="2"/>
          </reference>
          <reference field="8" count="1">
            <x v="8"/>
          </reference>
        </references>
      </pivotArea>
    </format>
    <format dxfId="68">
      <pivotArea dataOnly="0" labelOnly="1" outline="0" fieldPosition="0">
        <references count="6">
          <reference field="1" count="1" selected="0">
            <x v="12"/>
          </reference>
          <reference field="2" count="1" selected="0">
            <x v="0"/>
          </reference>
          <reference field="4" count="1" selected="0">
            <x v="0"/>
          </reference>
          <reference field="6" count="1" selected="0">
            <x v="12"/>
          </reference>
          <reference field="7" count="1" selected="0">
            <x v="1"/>
          </reference>
          <reference field="8" count="1">
            <x v="2"/>
          </reference>
        </references>
      </pivotArea>
    </format>
    <format dxfId="67">
      <pivotArea dataOnly="0" labelOnly="1" outline="0" fieldPosition="0">
        <references count="6">
          <reference field="1" count="1" selected="0">
            <x v="14"/>
          </reference>
          <reference field="2" count="1" selected="0">
            <x v="8"/>
          </reference>
          <reference field="4" count="1" selected="0">
            <x v="8"/>
          </reference>
          <reference field="6" count="1" selected="0">
            <x v="3"/>
          </reference>
          <reference field="7" count="1" selected="0">
            <x v="3"/>
          </reference>
          <reference field="8" count="1">
            <x v="12"/>
          </reference>
        </references>
      </pivotArea>
    </format>
    <format dxfId="66">
      <pivotArea dataOnly="0" labelOnly="1" outline="0" fieldPosition="0">
        <references count="6">
          <reference field="1" count="1" selected="0">
            <x v="15"/>
          </reference>
          <reference field="2" count="1" selected="0">
            <x v="0"/>
          </reference>
          <reference field="4" count="1" selected="0">
            <x v="0"/>
          </reference>
          <reference field="6" count="1" selected="0">
            <x v="13"/>
          </reference>
          <reference field="7" count="1" selected="0">
            <x v="2"/>
          </reference>
          <reference field="8" count="1">
            <x v="2"/>
          </reference>
        </references>
      </pivotArea>
    </format>
    <format dxfId="65">
      <pivotArea dataOnly="0" labelOnly="1" outline="0" fieldPosition="0">
        <references count="6">
          <reference field="1" count="1" selected="0">
            <x v="18"/>
          </reference>
          <reference field="2" count="1" selected="0">
            <x v="1"/>
          </reference>
          <reference field="4" count="1" selected="0">
            <x v="1"/>
          </reference>
          <reference field="6" count="1" selected="0">
            <x v="11"/>
          </reference>
          <reference field="7" count="1" selected="0">
            <x v="2"/>
          </reference>
          <reference field="8" count="1">
            <x v="16"/>
          </reference>
        </references>
      </pivotArea>
    </format>
    <format dxfId="64">
      <pivotArea dataOnly="0" labelOnly="1" outline="0" fieldPosition="0">
        <references count="6">
          <reference field="1" count="1" selected="0">
            <x v="19"/>
          </reference>
          <reference field="2" count="1" selected="0">
            <x v="10"/>
          </reference>
          <reference field="4" count="1" selected="0">
            <x v="10"/>
          </reference>
          <reference field="6" count="1" selected="0">
            <x v="6"/>
          </reference>
          <reference field="7" count="1" selected="0">
            <x v="5"/>
          </reference>
          <reference field="8" count="1">
            <x v="11"/>
          </reference>
        </references>
      </pivotArea>
    </format>
    <format dxfId="63">
      <pivotArea dataOnly="0" labelOnly="1" outline="0" fieldPosition="0">
        <references count="6">
          <reference field="1" count="1" selected="0">
            <x v="20"/>
          </reference>
          <reference field="2" count="1" selected="0">
            <x v="0"/>
          </reference>
          <reference field="4" count="1" selected="0">
            <x v="0"/>
          </reference>
          <reference field="6" count="1" selected="0">
            <x v="2"/>
          </reference>
          <reference field="7" count="1" selected="0">
            <x v="4"/>
          </reference>
          <reference field="8" count="1">
            <x v="2"/>
          </reference>
        </references>
      </pivotArea>
    </format>
    <format dxfId="62">
      <pivotArea dataOnly="0" labelOnly="1" outline="0" fieldPosition="0">
        <references count="6">
          <reference field="1" count="1" selected="0">
            <x v="21"/>
          </reference>
          <reference field="2" count="1" selected="0">
            <x v="9"/>
          </reference>
          <reference field="4" count="1" selected="0">
            <x v="9"/>
          </reference>
          <reference field="6" count="1" selected="0">
            <x v="4"/>
          </reference>
          <reference field="7" count="1" selected="0">
            <x v="3"/>
          </reference>
          <reference field="8" count="1">
            <x v="12"/>
          </reference>
        </references>
      </pivotArea>
    </format>
    <format dxfId="61">
      <pivotArea dataOnly="0" labelOnly="1" outline="0" fieldPosition="0">
        <references count="1">
          <reference field="6" count="0"/>
        </references>
      </pivotArea>
    </format>
    <format dxfId="60">
      <pivotArea dataOnly="0" labelOnly="1" outline="0" fieldPosition="0">
        <references count="4">
          <reference field="1" count="1" selected="0">
            <x v="0"/>
          </reference>
          <reference field="2" count="1" selected="0">
            <x v="9"/>
          </reference>
          <reference field="4" count="1">
            <x v="9"/>
          </reference>
          <reference field="5" count="1" selected="0">
            <x v="0"/>
          </reference>
        </references>
      </pivotArea>
    </format>
    <format dxfId="59">
      <pivotArea dataOnly="0" labelOnly="1" outline="0" fieldPosition="0">
        <references count="4">
          <reference field="1" count="1" selected="0">
            <x v="1"/>
          </reference>
          <reference field="2" count="1" selected="0">
            <x v="6"/>
          </reference>
          <reference field="4" count="1">
            <x v="6"/>
          </reference>
          <reference field="5" count="1" selected="0">
            <x v="0"/>
          </reference>
        </references>
      </pivotArea>
    </format>
    <format dxfId="58">
      <pivotArea dataOnly="0" labelOnly="1" outline="0" fieldPosition="0">
        <references count="4">
          <reference field="1" count="1" selected="0">
            <x v="2"/>
          </reference>
          <reference field="2" count="1" selected="0">
            <x v="7"/>
          </reference>
          <reference field="4" count="1">
            <x v="7"/>
          </reference>
          <reference field="5" count="1" selected="0">
            <x v="3"/>
          </reference>
        </references>
      </pivotArea>
    </format>
    <format dxfId="57">
      <pivotArea dataOnly="0" labelOnly="1" outline="0" fieldPosition="0">
        <references count="4">
          <reference field="1" count="1" selected="0">
            <x v="3"/>
          </reference>
          <reference field="2" count="1" selected="0">
            <x v="5"/>
          </reference>
          <reference field="4" count="1">
            <x v="5"/>
          </reference>
          <reference field="5" count="1" selected="0">
            <x v="4"/>
          </reference>
        </references>
      </pivotArea>
    </format>
    <format dxfId="56">
      <pivotArea dataOnly="0" labelOnly="1" outline="0" fieldPosition="0">
        <references count="4">
          <reference field="1" count="1" selected="0">
            <x v="5"/>
          </reference>
          <reference field="2" count="1" selected="0">
            <x v="7"/>
          </reference>
          <reference field="4" count="1">
            <x v="7"/>
          </reference>
          <reference field="5" count="1" selected="0">
            <x v="0"/>
          </reference>
        </references>
      </pivotArea>
    </format>
    <format dxfId="55">
      <pivotArea dataOnly="0" labelOnly="1" outline="0" fieldPosition="0">
        <references count="4">
          <reference field="1" count="1" selected="0">
            <x v="7"/>
          </reference>
          <reference field="2" count="1" selected="0">
            <x v="0"/>
          </reference>
          <reference field="4" count="1">
            <x v="0"/>
          </reference>
          <reference field="5" count="1" selected="0">
            <x v="10"/>
          </reference>
        </references>
      </pivotArea>
    </format>
    <format dxfId="54">
      <pivotArea dataOnly="0" labelOnly="1" outline="0" fieldPosition="0">
        <references count="4">
          <reference field="1" count="1" selected="0">
            <x v="8"/>
          </reference>
          <reference field="2" count="1" selected="0">
            <x v="4"/>
          </reference>
          <reference field="4" count="1">
            <x v="4"/>
          </reference>
          <reference field="5" count="1" selected="0">
            <x v="1"/>
          </reference>
        </references>
      </pivotArea>
    </format>
    <format dxfId="53">
      <pivotArea dataOnly="0" labelOnly="1" outline="0" fieldPosition="0">
        <references count="4">
          <reference field="1" count="1" selected="0">
            <x v="9"/>
          </reference>
          <reference field="2" count="1" selected="0">
            <x v="2"/>
          </reference>
          <reference field="4" count="1">
            <x v="2"/>
          </reference>
          <reference field="5" count="1" selected="0">
            <x v="7"/>
          </reference>
        </references>
      </pivotArea>
    </format>
    <format dxfId="52">
      <pivotArea dataOnly="0" labelOnly="1" outline="0" fieldPosition="0">
        <references count="4">
          <reference field="1" count="1" selected="0">
            <x v="10"/>
          </reference>
          <reference field="2" count="1" selected="0">
            <x v="9"/>
          </reference>
          <reference field="4" count="1">
            <x v="9"/>
          </reference>
          <reference field="5" count="1" selected="0">
            <x v="0"/>
          </reference>
        </references>
      </pivotArea>
    </format>
    <format dxfId="51">
      <pivotArea dataOnly="0" labelOnly="1" outline="0" fieldPosition="0">
        <references count="4">
          <reference field="1" count="1" selected="0">
            <x v="11"/>
          </reference>
          <reference field="2" count="1" selected="0">
            <x v="0"/>
          </reference>
          <reference field="4" count="1">
            <x v="0"/>
          </reference>
          <reference field="5" count="1" selected="0">
            <x v="2"/>
          </reference>
        </references>
      </pivotArea>
    </format>
    <format dxfId="50">
      <pivotArea dataOnly="0" labelOnly="1" outline="0" fieldPosition="0">
        <references count="4">
          <reference field="1" count="1" selected="0">
            <x v="14"/>
          </reference>
          <reference field="2" count="1" selected="0">
            <x v="8"/>
          </reference>
          <reference field="4" count="1">
            <x v="8"/>
          </reference>
          <reference field="5" count="1" selected="0">
            <x v="0"/>
          </reference>
        </references>
      </pivotArea>
    </format>
    <format dxfId="49">
      <pivotArea dataOnly="0" labelOnly="1" outline="0" fieldPosition="0">
        <references count="4">
          <reference field="1" count="1" selected="0">
            <x v="15"/>
          </reference>
          <reference field="2" count="1" selected="0">
            <x v="0"/>
          </reference>
          <reference field="4" count="1">
            <x v="0"/>
          </reference>
          <reference field="5" count="1" selected="0">
            <x v="6"/>
          </reference>
        </references>
      </pivotArea>
    </format>
    <format dxfId="48">
      <pivotArea dataOnly="0" labelOnly="1" outline="0" fieldPosition="0">
        <references count="4">
          <reference field="1" count="1" selected="0">
            <x v="17"/>
          </reference>
          <reference field="2" count="1" selected="0">
            <x v="3"/>
          </reference>
          <reference field="4" count="1">
            <x v="3"/>
          </reference>
          <reference field="5" count="1" selected="0">
            <x v="8"/>
          </reference>
        </references>
      </pivotArea>
    </format>
    <format dxfId="47">
      <pivotArea dataOnly="0" labelOnly="1" outline="0" fieldPosition="0">
        <references count="4">
          <reference field="1" count="1" selected="0">
            <x v="18"/>
          </reference>
          <reference field="2" count="1" selected="0">
            <x v="1"/>
          </reference>
          <reference field="4" count="1">
            <x v="1"/>
          </reference>
          <reference field="5" count="1" selected="0">
            <x v="2"/>
          </reference>
        </references>
      </pivotArea>
    </format>
    <format dxfId="46">
      <pivotArea dataOnly="0" labelOnly="1" outline="0" fieldPosition="0">
        <references count="4">
          <reference field="1" count="1" selected="0">
            <x v="19"/>
          </reference>
          <reference field="2" count="1" selected="0">
            <x v="10"/>
          </reference>
          <reference field="4" count="1">
            <x v="10"/>
          </reference>
          <reference field="5" count="1" selected="0">
            <x v="0"/>
          </reference>
        </references>
      </pivotArea>
    </format>
    <format dxfId="45">
      <pivotArea dataOnly="0" labelOnly="1" outline="0" fieldPosition="0">
        <references count="4">
          <reference field="1" count="1" selected="0">
            <x v="20"/>
          </reference>
          <reference field="2" count="1" selected="0">
            <x v="0"/>
          </reference>
          <reference field="4" count="1">
            <x v="0"/>
          </reference>
          <reference field="5" count="1" selected="0">
            <x v="9"/>
          </reference>
        </references>
      </pivotArea>
    </format>
    <format dxfId="44">
      <pivotArea dataOnly="0" labelOnly="1" outline="0" fieldPosition="0">
        <references count="4">
          <reference field="1" count="1" selected="0">
            <x v="21"/>
          </reference>
          <reference field="2" count="1" selected="0">
            <x v="9"/>
          </reference>
          <reference field="4" count="1">
            <x v="9"/>
          </reference>
          <reference field="5" count="1" selected="0">
            <x v="0"/>
          </reference>
        </references>
      </pivotArea>
    </format>
  </format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B92C9CF-9ED9-479E-A5D0-19F90BFF773E}" name="Tabela dinâmica3" cacheId="46"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chartFormat="9">
  <location ref="AP38:AR43" firstHeaderRow="1" firstDataRow="2" firstDataCol="1" rowPageCount="3" colPageCount="1"/>
  <pivotFields count="17">
    <pivotField axis="axisPage" multipleItemSelectionAllowed="1" showAll="0">
      <items count="5">
        <item h="1" x="1"/>
        <item x="0"/>
        <item x="2"/>
        <item x="3"/>
        <item t="default"/>
      </items>
    </pivotField>
    <pivotField dataField="1" showAll="0"/>
    <pivotField showAll="0"/>
    <pivotField showAll="0"/>
    <pivotField axis="axisPage" multipleItemSelectionAllowed="1" showAll="0">
      <items count="4">
        <item x="2"/>
        <item h="1" x="0"/>
        <item h="1" x="1"/>
        <item t="default"/>
      </items>
    </pivotField>
    <pivotField axis="axisPage" multipleItemSelectionAllowed="1" showAll="0">
      <items count="8">
        <item x="0"/>
        <item h="1" x="2"/>
        <item x="1"/>
        <item x="3"/>
        <item x="4"/>
        <item x="5"/>
        <item h="1" x="6"/>
        <item t="default"/>
      </items>
    </pivotField>
    <pivotField showAll="0"/>
    <pivotField showAll="0"/>
    <pivotField axis="axisRow" showAll="0">
      <items count="23">
        <item x="9"/>
        <item x="4"/>
        <item x="2"/>
        <item x="1"/>
        <item x="6"/>
        <item x="5"/>
        <item x="7"/>
        <item x="0"/>
        <item x="8"/>
        <item x="10"/>
        <item x="12"/>
        <item x="11"/>
        <item x="3"/>
        <item x="15"/>
        <item x="13"/>
        <item x="14"/>
        <item x="16"/>
        <item x="17"/>
        <item x="19"/>
        <item x="18"/>
        <item x="20"/>
        <item x="21"/>
        <item t="default"/>
      </items>
    </pivotField>
    <pivotField axis="axisCol" showAll="0">
      <items count="10">
        <item x="2"/>
        <item x="1"/>
        <item x="3"/>
        <item x="0"/>
        <item x="4"/>
        <item x="5"/>
        <item x="6"/>
        <item x="8"/>
        <item x="7"/>
        <item t="default"/>
      </items>
    </pivotField>
    <pivotField showAll="0"/>
    <pivotField showAll="0"/>
    <pivotField showAll="0"/>
    <pivotField showAll="0"/>
    <pivotField showAll="0"/>
    <pivotField numFmtId="2" showAll="0"/>
    <pivotField numFmtId="10" showAll="0"/>
  </pivotFields>
  <rowFields count="1">
    <field x="8"/>
  </rowFields>
  <rowItems count="4">
    <i>
      <x/>
    </i>
    <i>
      <x v="1"/>
    </i>
    <i>
      <x v="2"/>
    </i>
    <i t="grand">
      <x/>
    </i>
  </rowItems>
  <colFields count="1">
    <field x="9"/>
  </colFields>
  <colItems count="2">
    <i>
      <x/>
    </i>
    <i t="grand">
      <x/>
    </i>
  </colItems>
  <pageFields count="3">
    <pageField fld="4" hier="-1"/>
    <pageField fld="5" hier="-1"/>
    <pageField fld="0" hier="-1"/>
  </pageFields>
  <dataFields count="1">
    <dataField name="Contagem de WTG" fld="1" subtotal="count" baseField="0" baseItem="0"/>
  </dataFields>
  <formats count="12">
    <format dxfId="11">
      <pivotArea collapsedLevelsAreSubtotals="1" fieldPosition="0">
        <references count="1">
          <reference field="8" count="3">
            <x v="2"/>
            <x v="8"/>
            <x v="11"/>
          </reference>
        </references>
      </pivotArea>
    </format>
    <format dxfId="10">
      <pivotArea grandRow="1" outline="0" collapsedLevelsAreSubtotals="1" fieldPosition="0"/>
    </format>
    <format dxfId="9">
      <pivotArea dataOnly="0" labelOnly="1" fieldPosition="0">
        <references count="1">
          <reference field="8" count="3">
            <x v="2"/>
            <x v="8"/>
            <x v="11"/>
          </reference>
        </references>
      </pivotArea>
    </format>
    <format dxfId="8">
      <pivotArea dataOnly="0" labelOnly="1" grandRow="1" outline="0" fieldPosition="0"/>
    </format>
    <format dxfId="7">
      <pivotArea collapsedLevelsAreSubtotals="1" fieldPosition="0">
        <references count="1">
          <reference field="8" count="1">
            <x v="0"/>
          </reference>
        </references>
      </pivotArea>
    </format>
    <format dxfId="6">
      <pivotArea dataOnly="0" labelOnly="1" fieldPosition="0">
        <references count="1">
          <reference field="8" count="1">
            <x v="0"/>
          </reference>
        </references>
      </pivotArea>
    </format>
    <format dxfId="5">
      <pivotArea field="8" type="button" dataOnly="0" labelOnly="1" outline="0" axis="axisRow" fieldPosition="0"/>
    </format>
    <format dxfId="4">
      <pivotArea dataOnly="0" labelOnly="1" fieldPosition="0">
        <references count="1">
          <reference field="9" count="2">
            <x v="0"/>
            <x v="1"/>
          </reference>
        </references>
      </pivotArea>
    </format>
    <format dxfId="3">
      <pivotArea dataOnly="0" labelOnly="1" grandCol="1" outline="0" fieldPosition="0"/>
    </format>
    <format dxfId="2">
      <pivotArea type="origin" dataOnly="0" labelOnly="1" outline="0" fieldPosition="0"/>
    </format>
    <format dxfId="1">
      <pivotArea field="9" type="button" dataOnly="0" labelOnly="1" outline="0" axis="axisCol" fieldPosition="0"/>
    </format>
    <format dxfId="0">
      <pivotArea type="topRight" dataOnly="0" labelOnly="1" outline="0" fieldPosition="0"/>
    </format>
  </formats>
  <chartFormats count="10">
    <chartFormat chart="0" format="21" series="1">
      <pivotArea type="data" outline="0" fieldPosition="0">
        <references count="2">
          <reference field="4294967294" count="1" selected="0">
            <x v="0"/>
          </reference>
          <reference field="9" count="1" selected="0">
            <x v="0"/>
          </reference>
        </references>
      </pivotArea>
    </chartFormat>
    <chartFormat chart="0" format="22" series="1">
      <pivotArea type="data" outline="0" fieldPosition="0">
        <references count="2">
          <reference field="4294967294" count="1" selected="0">
            <x v="0"/>
          </reference>
          <reference field="9" count="1" selected="0">
            <x v="1"/>
          </reference>
        </references>
      </pivotArea>
    </chartFormat>
    <chartFormat chart="0" format="23" series="1">
      <pivotArea type="data" outline="0" fieldPosition="0">
        <references count="2">
          <reference field="4294967294" count="1" selected="0">
            <x v="0"/>
          </reference>
          <reference field="9" count="1" selected="0">
            <x v="4"/>
          </reference>
        </references>
      </pivotArea>
    </chartFormat>
    <chartFormat chart="0" format="24" series="1">
      <pivotArea type="data" outline="0" fieldPosition="0">
        <references count="2">
          <reference field="4294967294" count="1" selected="0">
            <x v="0"/>
          </reference>
          <reference field="9" count="1" selected="0">
            <x v="3"/>
          </reference>
        </references>
      </pivotArea>
    </chartFormat>
    <chartFormat chart="0" format="25" series="1">
      <pivotArea type="data" outline="0" fieldPosition="0">
        <references count="2">
          <reference field="4294967294" count="1" selected="0">
            <x v="0"/>
          </reference>
          <reference field="9" count="1" selected="0">
            <x v="2"/>
          </reference>
        </references>
      </pivotArea>
    </chartFormat>
    <chartFormat chart="0" format="26" series="1">
      <pivotArea type="data" outline="0" fieldPosition="0">
        <references count="1">
          <reference field="4294967294" count="1" selected="0">
            <x v="0"/>
          </reference>
        </references>
      </pivotArea>
    </chartFormat>
    <chartFormat chart="0" format="27" series="1">
      <pivotArea type="data" outline="0" fieldPosition="0">
        <references count="2">
          <reference field="4294967294" count="1" selected="0">
            <x v="0"/>
          </reference>
          <reference field="9" count="1" selected="0">
            <x v="5"/>
          </reference>
        </references>
      </pivotArea>
    </chartFormat>
    <chartFormat chart="0" format="28" series="1">
      <pivotArea type="data" outline="0" fieldPosition="0">
        <references count="2">
          <reference field="4294967294" count="1" selected="0">
            <x v="0"/>
          </reference>
          <reference field="9" count="1" selected="0">
            <x v="6"/>
          </reference>
        </references>
      </pivotArea>
    </chartFormat>
    <chartFormat chart="0" format="29" series="1">
      <pivotArea type="data" outline="0" fieldPosition="0">
        <references count="2">
          <reference field="4294967294" count="1" selected="0">
            <x v="0"/>
          </reference>
          <reference field="9" count="1" selected="0">
            <x v="7"/>
          </reference>
        </references>
      </pivotArea>
    </chartFormat>
    <chartFormat chart="0" format="30" series="1">
      <pivotArea type="data" outline="0" fieldPosition="0">
        <references count="2">
          <reference field="4294967294" count="1" selected="0">
            <x v="0"/>
          </reference>
          <reference field="9"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9410586-7BA8-48C8-A514-815C1E5B1388}" name="Tabela dinâmica2" cacheId="46"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chartFormat="12">
  <location ref="AJ38:AK40" firstHeaderRow="1" firstDataRow="2" firstDataCol="1" rowPageCount="3" colPageCount="1"/>
  <pivotFields count="17">
    <pivotField axis="axisPage" multipleItemSelectionAllowed="1" showAll="0">
      <items count="5">
        <item x="1"/>
        <item h="1" x="0"/>
        <item h="1" x="2"/>
        <item h="1" x="3"/>
        <item t="default"/>
      </items>
    </pivotField>
    <pivotField dataField="1" showAll="0"/>
    <pivotField showAll="0"/>
    <pivotField showAll="0"/>
    <pivotField axis="axisPage" multipleItemSelectionAllowed="1" showAll="0">
      <items count="4">
        <item x="2"/>
        <item h="1" x="0"/>
        <item h="1" x="1"/>
        <item t="default"/>
      </items>
    </pivotField>
    <pivotField axis="axisPage" multipleItemSelectionAllowed="1" showAll="0">
      <items count="8">
        <item x="0"/>
        <item h="1" x="2"/>
        <item h="1" x="1"/>
        <item h="1" x="3"/>
        <item h="1" x="4"/>
        <item h="1" x="5"/>
        <item h="1" x="6"/>
        <item t="default"/>
      </items>
    </pivotField>
    <pivotField showAll="0"/>
    <pivotField showAll="0"/>
    <pivotField axis="axisRow" showAll="0">
      <items count="23">
        <item x="9"/>
        <item x="4"/>
        <item x="2"/>
        <item x="1"/>
        <item x="6"/>
        <item x="5"/>
        <item x="7"/>
        <item x="0"/>
        <item x="8"/>
        <item x="10"/>
        <item x="12"/>
        <item x="11"/>
        <item x="3"/>
        <item x="13"/>
        <item x="14"/>
        <item x="15"/>
        <item x="16"/>
        <item x="17"/>
        <item x="19"/>
        <item x="18"/>
        <item x="20"/>
        <item x="21"/>
        <item t="default"/>
      </items>
    </pivotField>
    <pivotField axis="axisCol" showAll="0">
      <items count="10">
        <item x="2"/>
        <item x="1"/>
        <item x="3"/>
        <item x="0"/>
        <item x="4"/>
        <item x="5"/>
        <item x="6"/>
        <item x="8"/>
        <item x="7"/>
        <item t="default"/>
      </items>
    </pivotField>
    <pivotField showAll="0"/>
    <pivotField showAll="0"/>
    <pivotField showAll="0"/>
    <pivotField showAll="0"/>
    <pivotField showAll="0"/>
    <pivotField numFmtId="2" showAll="0"/>
    <pivotField numFmtId="10" showAll="0"/>
  </pivotFields>
  <rowFields count="1">
    <field x="8"/>
  </rowFields>
  <rowItems count="1">
    <i t="grand">
      <x/>
    </i>
  </rowItems>
  <colFields count="1">
    <field x="9"/>
  </colFields>
  <colItems count="1">
    <i t="grand">
      <x/>
    </i>
  </colItems>
  <pageFields count="3">
    <pageField fld="4" hier="-1"/>
    <pageField fld="5" hier="-1"/>
    <pageField fld="0" hier="-1"/>
  </pageFields>
  <dataFields count="1">
    <dataField name="Contagem de WTG" fld="1" subtotal="count" baseField="0" baseItem="0"/>
  </dataFields>
  <formats count="6">
    <format dxfId="17">
      <pivotArea outline="0" collapsedLevelsAreSubtotals="1" fieldPosition="0"/>
    </format>
    <format dxfId="16">
      <pivotArea dataOnly="0" labelOnly="1" grandRow="1" outline="0" fieldPosition="0"/>
    </format>
    <format dxfId="15">
      <pivotArea field="8" type="button" dataOnly="0" labelOnly="1" outline="0" axis="axisRow" fieldPosition="0"/>
    </format>
    <format dxfId="14">
      <pivotArea dataOnly="0" labelOnly="1" grandCol="1" outline="0" fieldPosition="0"/>
    </format>
    <format dxfId="13">
      <pivotArea type="origin" dataOnly="0" labelOnly="1" outline="0" fieldPosition="0"/>
    </format>
    <format dxfId="12">
      <pivotArea field="9" type="button" dataOnly="0" labelOnly="1" outline="0" axis="axisCol" fieldPosition="0"/>
    </format>
  </formats>
  <chartFormats count="9">
    <chartFormat chart="0" format="9" series="1">
      <pivotArea type="data" outline="0" fieldPosition="0">
        <references count="1">
          <reference field="4294967294" count="1" selected="0">
            <x v="0"/>
          </reference>
        </references>
      </pivotArea>
    </chartFormat>
    <chartFormat chart="0" format="10">
      <pivotArea type="data" outline="0" fieldPosition="0">
        <references count="2">
          <reference field="4294967294" count="1" selected="0">
            <x v="0"/>
          </reference>
          <reference field="8" count="1" selected="0">
            <x v="0"/>
          </reference>
        </references>
      </pivotArea>
    </chartFormat>
    <chartFormat chart="0" format="11">
      <pivotArea type="data" outline="0" fieldPosition="0">
        <references count="2">
          <reference field="4294967294" count="1" selected="0">
            <x v="0"/>
          </reference>
          <reference field="8" count="1" selected="0">
            <x v="2"/>
          </reference>
        </references>
      </pivotArea>
    </chartFormat>
    <chartFormat chart="0" format="12" series="1">
      <pivotArea type="data" outline="0" fieldPosition="0">
        <references count="2">
          <reference field="4294967294" count="1" selected="0">
            <x v="0"/>
          </reference>
          <reference field="9" count="1" selected="0">
            <x v="1"/>
          </reference>
        </references>
      </pivotArea>
    </chartFormat>
    <chartFormat chart="0" format="13" series="1">
      <pivotArea type="data" outline="0" fieldPosition="0">
        <references count="2">
          <reference field="4294967294" count="1" selected="0">
            <x v="0"/>
          </reference>
          <reference field="9" count="1" selected="0">
            <x v="0"/>
          </reference>
        </references>
      </pivotArea>
    </chartFormat>
    <chartFormat chart="0" format="14">
      <pivotArea type="data" outline="0" fieldPosition="0">
        <references count="3">
          <reference field="4294967294" count="1" selected="0">
            <x v="0"/>
          </reference>
          <reference field="8" count="1" selected="0">
            <x v="0"/>
          </reference>
          <reference field="9" count="1" selected="0">
            <x v="0"/>
          </reference>
        </references>
      </pivotArea>
    </chartFormat>
    <chartFormat chart="0" format="15">
      <pivotArea type="data" outline="0" fieldPosition="0">
        <references count="3">
          <reference field="4294967294" count="1" selected="0">
            <x v="0"/>
          </reference>
          <reference field="8" count="1" selected="0">
            <x v="2"/>
          </reference>
          <reference field="9" count="1" selected="0">
            <x v="0"/>
          </reference>
        </references>
      </pivotArea>
    </chartFormat>
    <chartFormat chart="0" format="16">
      <pivotArea type="data" outline="0" fieldPosition="0">
        <references count="3">
          <reference field="4294967294" count="1" selected="0">
            <x v="0"/>
          </reference>
          <reference field="8" count="1" selected="0">
            <x v="0"/>
          </reference>
          <reference field="9" count="1" selected="0">
            <x v="1"/>
          </reference>
        </references>
      </pivotArea>
    </chartFormat>
    <chartFormat chart="0" format="17">
      <pivotArea type="data" outline="0" fieldPosition="0">
        <references count="3">
          <reference field="4294967294" count="1" selected="0">
            <x v="0"/>
          </reference>
          <reference field="8" count="1" selected="0">
            <x v="2"/>
          </reference>
          <reference field="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728D0B8-F4F8-4B24-9C41-65E9D53FF4EA}" name="Tabela dinâmica5" cacheId="32"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chartFormat="24">
  <location ref="A3:B8" firstHeaderRow="1" firstDataRow="1" firstDataCol="1" rowPageCount="1" colPageCount="1"/>
  <pivotFields count="15">
    <pivotField axis="axisRow" showAll="0">
      <items count="5">
        <item x="1"/>
        <item x="0"/>
        <item x="2"/>
        <item x="3"/>
        <item t="default"/>
      </items>
    </pivotField>
    <pivotField showAll="0"/>
    <pivotField numFmtId="14" showAll="0"/>
    <pivotField showAll="0"/>
    <pivotField axis="axisPage" multipleItemSelectionAllowed="1" showAll="0">
      <items count="5">
        <item x="1"/>
        <item h="1" x="0"/>
        <item h="1" x="2"/>
        <item h="1" x="3"/>
        <item t="default"/>
      </items>
    </pivotField>
    <pivotField showAll="0"/>
    <pivotField numFmtId="14" showAll="0"/>
    <pivotField showAll="0"/>
    <pivotField showAll="0"/>
    <pivotField showAll="0"/>
    <pivotField showAll="0"/>
    <pivotField showAll="0"/>
    <pivotField showAll="0"/>
    <pivotField dataField="1" numFmtId="2" showAll="0"/>
    <pivotField numFmtId="10" showAll="0"/>
  </pivotFields>
  <rowFields count="1">
    <field x="0"/>
  </rowFields>
  <rowItems count="5">
    <i>
      <x/>
    </i>
    <i>
      <x v="1"/>
    </i>
    <i>
      <x v="2"/>
    </i>
    <i>
      <x v="3"/>
    </i>
    <i t="grand">
      <x/>
    </i>
  </rowItems>
  <colItems count="1">
    <i/>
  </colItems>
  <pageFields count="1">
    <pageField fld="4" hier="-1"/>
  </pageFields>
  <dataFields count="1">
    <dataField name="Soma de Horas paradas" fld="13"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2196939-CE77-4D4D-AA52-BE57F8546B20}" name="Tabela dinâmica6" cacheId="32"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chartFormat="7">
  <location ref="A3:B8" firstHeaderRow="1" firstDataRow="1" firstDataCol="1" rowPageCount="1" colPageCount="1"/>
  <pivotFields count="15">
    <pivotField axis="axisRow" showAll="0">
      <items count="5">
        <item x="1"/>
        <item x="0"/>
        <item x="2"/>
        <item x="3"/>
        <item t="default"/>
      </items>
    </pivotField>
    <pivotField showAll="0"/>
    <pivotField numFmtId="14" showAll="0"/>
    <pivotField showAll="0"/>
    <pivotField axis="axisPage" multipleItemSelectionAllowed="1" showAll="0">
      <items count="5">
        <item x="1"/>
        <item h="1" x="0"/>
        <item h="1" x="2"/>
        <item h="1" x="3"/>
        <item t="default"/>
      </items>
    </pivotField>
    <pivotField showAll="0"/>
    <pivotField numFmtId="14" showAll="0"/>
    <pivotField showAll="0"/>
    <pivotField showAll="0"/>
    <pivotField showAll="0"/>
    <pivotField showAll="0"/>
    <pivotField showAll="0"/>
    <pivotField showAll="0"/>
    <pivotField numFmtId="2" showAll="0"/>
    <pivotField dataField="1" numFmtId="10" showAll="0"/>
  </pivotFields>
  <rowFields count="1">
    <field x="0"/>
  </rowFields>
  <rowItems count="5">
    <i>
      <x/>
    </i>
    <i>
      <x v="1"/>
    </i>
    <i>
      <x v="2"/>
    </i>
    <i>
      <x v="3"/>
    </i>
    <i t="grand">
      <x/>
    </i>
  </rowItems>
  <colItems count="1">
    <i/>
  </colItems>
  <pageFields count="1">
    <pageField fld="4" hier="-1"/>
  </pageFields>
  <dataFields count="1">
    <dataField name="Soma de Indisponibilidade TB" fld="14" baseField="0" baseItem="0"/>
  </dataFields>
  <formats count="2">
    <format dxfId="43">
      <pivotArea outline="0" collapsedLevelsAreSubtotals="1" fieldPosition="0"/>
    </format>
    <format dxfId="42">
      <pivotArea dataOnly="0" labelOnly="1" outline="0" axis="axisValues" fieldPosition="0"/>
    </format>
  </formats>
  <chartFormats count="1">
    <chartFormat chart="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0BE35F6-8D54-4636-BE24-2AD80FA47623}" name="Tabela dinâmica7" cacheId="32"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chartFormat="5">
  <location ref="A3:B8" firstHeaderRow="1" firstDataRow="1" firstDataCol="1" rowPageCount="1" colPageCount="1"/>
  <pivotFields count="15">
    <pivotField axis="axisRow" showAll="0">
      <items count="5">
        <item x="1"/>
        <item x="0"/>
        <item x="2"/>
        <item x="3"/>
        <item t="default"/>
      </items>
    </pivotField>
    <pivotField dataField="1" showAll="0"/>
    <pivotField numFmtId="14" showAll="0"/>
    <pivotField showAll="0"/>
    <pivotField axis="axisPage" multipleItemSelectionAllowed="1" showAll="0">
      <items count="5">
        <item x="1"/>
        <item h="1" x="0"/>
        <item h="1" x="2"/>
        <item h="1" x="3"/>
        <item t="default"/>
      </items>
    </pivotField>
    <pivotField showAll="0"/>
    <pivotField numFmtId="14" showAll="0"/>
    <pivotField showAll="0"/>
    <pivotField showAll="0"/>
    <pivotField showAll="0"/>
    <pivotField showAll="0"/>
    <pivotField showAll="0"/>
    <pivotField showAll="0"/>
    <pivotField numFmtId="2" showAll="0"/>
    <pivotField numFmtId="10" showAll="0"/>
  </pivotFields>
  <rowFields count="1">
    <field x="0"/>
  </rowFields>
  <rowItems count="5">
    <i>
      <x/>
    </i>
    <i>
      <x v="1"/>
    </i>
    <i>
      <x v="2"/>
    </i>
    <i>
      <x v="3"/>
    </i>
    <i t="grand">
      <x/>
    </i>
  </rowItems>
  <colItems count="1">
    <i/>
  </colItems>
  <pageFields count="1">
    <pageField fld="4" hier="-1"/>
  </pageFields>
  <dataFields count="1">
    <dataField name="Contagem de WTG" fld="1" subtotal="count" baseField="0" baseItem="0"/>
  </dataFields>
  <chartFormats count="1">
    <chartFormat chart="0"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BB1A6F4-00AA-47F0-BF83-D7F8D0207A99}" name="Tabela dinâmica5" cacheId="41" applyNumberFormats="0" applyBorderFormats="0" applyFontFormats="0" applyPatternFormats="0" applyAlignmentFormats="0" applyWidthHeightFormats="1" dataCaption="Valores" updatedVersion="8" minRefreshableVersion="3" useAutoFormatting="1" rowGrandTotals="0" colGrandTotals="0" itemPrintTitles="1" createdVersion="8" indent="0" compact="0" compactData="0" multipleFieldFilters="0" chartFormat="63">
  <location ref="A3:C56" firstHeaderRow="1" firstDataRow="2" firstDataCol="1"/>
  <pivotFields count="14">
    <pivotField compact="0" outline="0" showAll="0" defaultSubtotal="0">
      <extLst>
        <ext xmlns:x14="http://schemas.microsoft.com/office/spreadsheetml/2009/9/main" uri="{2946ED86-A175-432a-8AC1-64E0C546D7DE}">
          <x14:pivotField fillDownLabels="1"/>
        </ext>
      </extLst>
    </pivotField>
    <pivotField axis="axisCol" compact="0" outline="0" showAll="0" defaultSubtotal="0">
      <items count="3">
        <item h="1" x="0"/>
        <item x="1"/>
        <item x="2"/>
      </items>
      <extLst>
        <ext xmlns:x14="http://schemas.microsoft.com/office/spreadsheetml/2009/9/main" uri="{2946ED86-A175-432a-8AC1-64E0C546D7DE}">
          <x14:pivotField fillDownLabels="1"/>
        </ext>
      </extLst>
    </pivotField>
    <pivotField axis="axisRow" compact="0" outline="0" showAll="0" sortType="ascending" defaultSubtotal="0">
      <items count="52">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0"/>
        <item x="1"/>
        <item x="2"/>
        <item x="3"/>
        <item x="4"/>
        <item x="5"/>
        <item x="6"/>
        <item x="7"/>
        <item x="8"/>
        <item x="9"/>
        <item x="10"/>
        <item x="11"/>
        <item x="12"/>
        <item x="13"/>
      </items>
      <extLst>
        <ext xmlns:x14="http://schemas.microsoft.com/office/spreadsheetml/2009/9/main" uri="{2946ED86-A175-432a-8AC1-64E0C546D7DE}">
          <x14:pivotField fillDownLabels="1"/>
        </ext>
      </extLst>
    </pivotField>
    <pivotField compact="0" numFmtId="14" outline="0" showAll="0" defaultSubtotal="0">
      <extLst>
        <ext xmlns:x14="http://schemas.microsoft.com/office/spreadsheetml/2009/9/main" uri="{2946ED86-A175-432a-8AC1-64E0C546D7DE}">
          <x14:pivotField fillDownLabels="1"/>
        </ext>
      </extLst>
    </pivotField>
    <pivotField compact="0" numFmtId="14" outline="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s>
  <rowFields count="1">
    <field x="2"/>
  </rowFields>
  <rowItems count="5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rowItems>
  <colFields count="1">
    <field x="1"/>
  </colFields>
  <colItems count="2">
    <i>
      <x v="1"/>
    </i>
    <i>
      <x v="2"/>
    </i>
  </colItems>
  <dataFields count="1">
    <dataField name="WTGs paradas" fld="7" baseField="2" baseItem="7"/>
  </dataFields>
  <chartFormats count="5">
    <chartFormat chart="15" format="39" series="1">
      <pivotArea type="data" outline="0" fieldPosition="0">
        <references count="1">
          <reference field="4294967294" count="1" selected="0">
            <x v="0"/>
          </reference>
        </references>
      </pivotArea>
    </chartFormat>
    <chartFormat chart="15" format="40" series="1">
      <pivotArea type="data" outline="0" fieldPosition="0">
        <references count="2">
          <reference field="4294967294" count="1" selected="0">
            <x v="0"/>
          </reference>
          <reference field="1" count="1" selected="0">
            <x v="1"/>
          </reference>
        </references>
      </pivotArea>
    </chartFormat>
    <chartFormat chart="15" format="41" series="1">
      <pivotArea type="data" outline="0" fieldPosition="0">
        <references count="2">
          <reference field="4294967294" count="1" selected="0">
            <x v="0"/>
          </reference>
          <reference field="1" count="1" selected="0">
            <x v="2"/>
          </reference>
        </references>
      </pivotArea>
    </chartFormat>
    <chartFormat chart="25" format="46" series="1">
      <pivotArea type="data" outline="0" fieldPosition="0">
        <references count="2">
          <reference field="4294967294" count="1" selected="0">
            <x v="0"/>
          </reference>
          <reference field="1" count="1" selected="0">
            <x v="1"/>
          </reference>
        </references>
      </pivotArea>
    </chartFormat>
    <chartFormat chart="25" format="47" series="1">
      <pivotArea type="data" outline="0" fieldPosition="0">
        <references count="2">
          <reference field="4294967294" count="1" selected="0">
            <x v="0"/>
          </reference>
          <reference field="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6ECD73C-6CFD-4D51-B68D-B79A4E5F662E}" name="Tabela dinâmica2" cacheId="38"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chartFormat="13">
  <location ref="AJ38:AK40" firstHeaderRow="1" firstDataRow="2" firstDataCol="1" rowPageCount="3" colPageCount="1"/>
  <pivotFields count="18">
    <pivotField axis="axisPage" multipleItemSelectionAllowed="1" showAll="0">
      <items count="3">
        <item x="1"/>
        <item h="1" x="0"/>
        <item t="default"/>
      </items>
    </pivotField>
    <pivotField dataField="1" showAll="0"/>
    <pivotField showAll="0"/>
    <pivotField showAll="0"/>
    <pivotField axis="axisPage" multipleItemSelectionAllowed="1" showAll="0">
      <items count="3">
        <item x="1"/>
        <item h="1" x="0"/>
        <item t="default"/>
      </items>
    </pivotField>
    <pivotField axis="axisPage" multipleItemSelectionAllowed="1" showAll="0">
      <items count="13">
        <item x="0"/>
        <item h="1" m="1" x="6"/>
        <item h="1" m="1" x="4"/>
        <item h="1" m="1" x="5"/>
        <item h="1" m="1" x="7"/>
        <item h="1" m="1" x="8"/>
        <item h="1" m="1" x="9"/>
        <item h="1" m="1" x="10"/>
        <item h="1" m="1" x="11"/>
        <item h="1" x="1"/>
        <item h="1" x="2"/>
        <item h="1" x="3"/>
        <item t="default"/>
      </items>
    </pivotField>
    <pivotField showAll="0"/>
    <pivotField showAll="0"/>
    <pivotField axis="axisRow" showAll="0">
      <items count="8">
        <item x="1"/>
        <item x="4"/>
        <item x="3"/>
        <item x="0"/>
        <item x="2"/>
        <item x="5"/>
        <item x="6"/>
        <item t="default"/>
      </items>
    </pivotField>
    <pivotField axis="axisCol" showAll="0">
      <items count="4">
        <item x="0"/>
        <item x="1"/>
        <item x="2"/>
        <item t="default"/>
      </items>
    </pivotField>
    <pivotField showAll="0"/>
    <pivotField showAll="0"/>
    <pivotField showAll="0"/>
    <pivotField showAll="0"/>
    <pivotField showAll="0"/>
    <pivotField numFmtId="2" showAll="0"/>
    <pivotField numFmtId="10" showAll="0"/>
    <pivotField showAll="0"/>
  </pivotFields>
  <rowFields count="1">
    <field x="8"/>
  </rowFields>
  <rowItems count="1">
    <i t="grand">
      <x/>
    </i>
  </rowItems>
  <colFields count="1">
    <field x="9"/>
  </colFields>
  <colItems count="1">
    <i t="grand">
      <x/>
    </i>
  </colItems>
  <pageFields count="3">
    <pageField fld="0" hier="-1"/>
    <pageField fld="4" hier="-1"/>
    <pageField fld="5" hier="-1"/>
  </pageFields>
  <dataFields count="1">
    <dataField name="Contagem de WTG" fld="1" subtotal="count" baseField="0" baseItem="0"/>
  </dataFields>
  <formats count="6">
    <format dxfId="29">
      <pivotArea outline="0" collapsedLevelsAreSubtotals="1" fieldPosition="0"/>
    </format>
    <format dxfId="28">
      <pivotArea dataOnly="0" labelOnly="1" grandRow="1" outline="0" fieldPosition="0"/>
    </format>
    <format dxfId="27">
      <pivotArea field="8" type="button" dataOnly="0" labelOnly="1" outline="0" axis="axisRow" fieldPosition="0"/>
    </format>
    <format dxfId="26">
      <pivotArea dataOnly="0" labelOnly="1" grandCol="1" outline="0" fieldPosition="0"/>
    </format>
    <format dxfId="25">
      <pivotArea type="origin" dataOnly="0" labelOnly="1" outline="0" fieldPosition="0"/>
    </format>
    <format dxfId="24">
      <pivotArea field="9" type="button" dataOnly="0" labelOnly="1" outline="0" axis="axisCol" fieldPosition="0"/>
    </format>
  </formats>
  <chartFormats count="12">
    <chartFormat chart="0" format="9" series="1">
      <pivotArea type="data" outline="0" fieldPosition="0">
        <references count="1">
          <reference field="4294967294" count="1" selected="0">
            <x v="0"/>
          </reference>
        </references>
      </pivotArea>
    </chartFormat>
    <chartFormat chart="0" format="10">
      <pivotArea type="data" outline="0" fieldPosition="0">
        <references count="2">
          <reference field="4294967294" count="1" selected="0">
            <x v="0"/>
          </reference>
          <reference field="8" count="1" selected="0">
            <x v="0"/>
          </reference>
        </references>
      </pivotArea>
    </chartFormat>
    <chartFormat chart="0" format="11">
      <pivotArea type="data" outline="0" fieldPosition="0">
        <references count="2">
          <reference field="4294967294" count="1" selected="0">
            <x v="0"/>
          </reference>
          <reference field="8" count="1" selected="0">
            <x v="2"/>
          </reference>
        </references>
      </pivotArea>
    </chartFormat>
    <chartFormat chart="0" format="12" series="1">
      <pivotArea type="data" outline="0" fieldPosition="0">
        <references count="2">
          <reference field="4294967294" count="1" selected="0">
            <x v="0"/>
          </reference>
          <reference field="9" count="1" selected="0">
            <x v="1"/>
          </reference>
        </references>
      </pivotArea>
    </chartFormat>
    <chartFormat chart="0" format="13" series="1">
      <pivotArea type="data" outline="0" fieldPosition="0">
        <references count="2">
          <reference field="4294967294" count="1" selected="0">
            <x v="0"/>
          </reference>
          <reference field="9" count="1" selected="0">
            <x v="0"/>
          </reference>
        </references>
      </pivotArea>
    </chartFormat>
    <chartFormat chart="0" format="14">
      <pivotArea type="data" outline="0" fieldPosition="0">
        <references count="3">
          <reference field="4294967294" count="1" selected="0">
            <x v="0"/>
          </reference>
          <reference field="8" count="1" selected="0">
            <x v="0"/>
          </reference>
          <reference field="9" count="1" selected="0">
            <x v="0"/>
          </reference>
        </references>
      </pivotArea>
    </chartFormat>
    <chartFormat chart="0" format="15">
      <pivotArea type="data" outline="0" fieldPosition="0">
        <references count="3">
          <reference field="4294967294" count="1" selected="0">
            <x v="0"/>
          </reference>
          <reference field="8" count="1" selected="0">
            <x v="2"/>
          </reference>
          <reference field="9" count="1" selected="0">
            <x v="0"/>
          </reference>
        </references>
      </pivotArea>
    </chartFormat>
    <chartFormat chart="0" format="16">
      <pivotArea type="data" outline="0" fieldPosition="0">
        <references count="3">
          <reference field="4294967294" count="1" selected="0">
            <x v="0"/>
          </reference>
          <reference field="8" count="1" selected="0">
            <x v="0"/>
          </reference>
          <reference field="9" count="1" selected="0">
            <x v="1"/>
          </reference>
        </references>
      </pivotArea>
    </chartFormat>
    <chartFormat chart="0" format="17">
      <pivotArea type="data" outline="0" fieldPosition="0">
        <references count="3">
          <reference field="4294967294" count="1" selected="0">
            <x v="0"/>
          </reference>
          <reference field="8" count="1" selected="0">
            <x v="2"/>
          </reference>
          <reference field="9" count="1" selected="0">
            <x v="1"/>
          </reference>
        </references>
      </pivotArea>
    </chartFormat>
    <chartFormat chart="12" format="18" series="1">
      <pivotArea type="data" outline="0" fieldPosition="0">
        <references count="1">
          <reference field="4294967294" count="1" selected="0">
            <x v="0"/>
          </reference>
        </references>
      </pivotArea>
    </chartFormat>
    <chartFormat chart="12" format="19" series="1">
      <pivotArea type="data" outline="0" fieldPosition="0">
        <references count="2">
          <reference field="4294967294" count="1" selected="0">
            <x v="0"/>
          </reference>
          <reference field="9" count="1" selected="0">
            <x v="1"/>
          </reference>
        </references>
      </pivotArea>
    </chartFormat>
    <chartFormat chart="12" format="20" series="1">
      <pivotArea type="data" outline="0" fieldPosition="0">
        <references count="2">
          <reference field="4294967294" count="1" selected="0">
            <x v="0"/>
          </reference>
          <reference field="9"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42F2E76-9F37-45D9-B073-3FE1FCF1587C}" name="Tabela dinâmica3" cacheId="38"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chartFormat="10">
  <location ref="AP38:AS43" firstHeaderRow="1" firstDataRow="2" firstDataCol="1" rowPageCount="3" colPageCount="1"/>
  <pivotFields count="18">
    <pivotField axis="axisPage" multipleItemSelectionAllowed="1" showAll="0">
      <items count="3">
        <item h="1" x="1"/>
        <item x="0"/>
        <item t="default"/>
      </items>
    </pivotField>
    <pivotField dataField="1" showAll="0"/>
    <pivotField showAll="0"/>
    <pivotField showAll="0"/>
    <pivotField axis="axisPage" multipleItemSelectionAllowed="1" showAll="0">
      <items count="3">
        <item x="1"/>
        <item h="1" x="0"/>
        <item t="default"/>
      </items>
    </pivotField>
    <pivotField axis="axisPage" multipleItemSelectionAllowed="1" showAll="0">
      <items count="13">
        <item x="0"/>
        <item m="1" x="6"/>
        <item m="1" x="4"/>
        <item m="1" x="5"/>
        <item m="1" x="7"/>
        <item m="1" x="8"/>
        <item m="1" x="9"/>
        <item m="1" x="10"/>
        <item m="1" x="11"/>
        <item x="1"/>
        <item x="2"/>
        <item x="3"/>
        <item t="default"/>
      </items>
    </pivotField>
    <pivotField showAll="0"/>
    <pivotField showAll="0"/>
    <pivotField axis="axisRow" showAll="0">
      <items count="8">
        <item x="1"/>
        <item x="4"/>
        <item x="3"/>
        <item x="0"/>
        <item x="2"/>
        <item x="5"/>
        <item x="6"/>
        <item t="default"/>
      </items>
    </pivotField>
    <pivotField axis="axisCol" showAll="0">
      <items count="4">
        <item x="0"/>
        <item x="1"/>
        <item x="2"/>
        <item t="default"/>
      </items>
    </pivotField>
    <pivotField showAll="0"/>
    <pivotField showAll="0"/>
    <pivotField showAll="0"/>
    <pivotField showAll="0"/>
    <pivotField showAll="0"/>
    <pivotField numFmtId="2" showAll="0"/>
    <pivotField numFmtId="10" showAll="0"/>
    <pivotField showAll="0"/>
  </pivotFields>
  <rowFields count="1">
    <field x="8"/>
  </rowFields>
  <rowItems count="4">
    <i>
      <x/>
    </i>
    <i>
      <x v="1"/>
    </i>
    <i>
      <x v="3"/>
    </i>
    <i t="grand">
      <x/>
    </i>
  </rowItems>
  <colFields count="1">
    <field x="9"/>
  </colFields>
  <colItems count="3">
    <i>
      <x/>
    </i>
    <i>
      <x v="1"/>
    </i>
    <i t="grand">
      <x/>
    </i>
  </colItems>
  <pageFields count="3">
    <pageField fld="4" hier="-1"/>
    <pageField fld="5" hier="-1"/>
    <pageField fld="0" hier="-1"/>
  </pageFields>
  <dataFields count="1">
    <dataField name="Contagem de WTG" fld="1" subtotal="count" baseField="0" baseItem="0"/>
  </dataFields>
  <formats count="12">
    <format dxfId="41">
      <pivotArea collapsedLevelsAreSubtotals="1" fieldPosition="0">
        <references count="1">
          <reference field="8" count="2">
            <x v="2"/>
            <x v="4"/>
          </reference>
        </references>
      </pivotArea>
    </format>
    <format dxfId="40">
      <pivotArea grandRow="1" outline="0" collapsedLevelsAreSubtotals="1" fieldPosition="0"/>
    </format>
    <format dxfId="39">
      <pivotArea dataOnly="0" labelOnly="1" fieldPosition="0">
        <references count="1">
          <reference field="8" count="2">
            <x v="2"/>
            <x v="4"/>
          </reference>
        </references>
      </pivotArea>
    </format>
    <format dxfId="38">
      <pivotArea dataOnly="0" labelOnly="1" grandRow="1" outline="0" fieldPosition="0"/>
    </format>
    <format dxfId="37">
      <pivotArea collapsedLevelsAreSubtotals="1" fieldPosition="0">
        <references count="1">
          <reference field="8" count="1">
            <x v="0"/>
          </reference>
        </references>
      </pivotArea>
    </format>
    <format dxfId="36">
      <pivotArea dataOnly="0" labelOnly="1" fieldPosition="0">
        <references count="1">
          <reference field="8" count="1">
            <x v="0"/>
          </reference>
        </references>
      </pivotArea>
    </format>
    <format dxfId="35">
      <pivotArea field="8" type="button" dataOnly="0" labelOnly="1" outline="0" axis="axisRow" fieldPosition="0"/>
    </format>
    <format dxfId="34">
      <pivotArea dataOnly="0" labelOnly="1" fieldPosition="0">
        <references count="1">
          <reference field="9" count="2">
            <x v="0"/>
            <x v="1"/>
          </reference>
        </references>
      </pivotArea>
    </format>
    <format dxfId="33">
      <pivotArea dataOnly="0" labelOnly="1" grandCol="1" outline="0" fieldPosition="0"/>
    </format>
    <format dxfId="32">
      <pivotArea type="origin" dataOnly="0" labelOnly="1" outline="0" fieldPosition="0"/>
    </format>
    <format dxfId="31">
      <pivotArea field="9" type="button" dataOnly="0" labelOnly="1" outline="0" axis="axisCol" fieldPosition="0"/>
    </format>
    <format dxfId="30">
      <pivotArea type="topRight" dataOnly="0" labelOnly="1" outline="0" fieldPosition="0"/>
    </format>
  </formats>
  <chartFormats count="8">
    <chartFormat chart="0" format="21" series="1">
      <pivotArea type="data" outline="0" fieldPosition="0">
        <references count="2">
          <reference field="4294967294" count="1" selected="0">
            <x v="0"/>
          </reference>
          <reference field="9" count="1" selected="0">
            <x v="0"/>
          </reference>
        </references>
      </pivotArea>
    </chartFormat>
    <chartFormat chart="0" format="22" series="1">
      <pivotArea type="data" outline="0" fieldPosition="0">
        <references count="2">
          <reference field="4294967294" count="1" selected="0">
            <x v="0"/>
          </reference>
          <reference field="9" count="1" selected="0">
            <x v="1"/>
          </reference>
        </references>
      </pivotArea>
    </chartFormat>
    <chartFormat chart="0" format="24" series="1">
      <pivotArea type="data" outline="0" fieldPosition="0">
        <references count="2">
          <reference field="4294967294" count="1" selected="0">
            <x v="0"/>
          </reference>
          <reference field="9" count="1" selected="0">
            <x v="2"/>
          </reference>
        </references>
      </pivotArea>
    </chartFormat>
    <chartFormat chart="0" format="26" series="1">
      <pivotArea type="data" outline="0" fieldPosition="0">
        <references count="1">
          <reference field="4294967294" count="1" selected="0">
            <x v="0"/>
          </reference>
        </references>
      </pivotArea>
    </chartFormat>
    <chartFormat chart="9" format="31" series="1">
      <pivotArea type="data" outline="0" fieldPosition="0">
        <references count="2">
          <reference field="4294967294" count="1" selected="0">
            <x v="0"/>
          </reference>
          <reference field="9" count="1" selected="0">
            <x v="0"/>
          </reference>
        </references>
      </pivotArea>
    </chartFormat>
    <chartFormat chart="9" format="32" series="1">
      <pivotArea type="data" outline="0" fieldPosition="0">
        <references count="2">
          <reference field="4294967294" count="1" selected="0">
            <x v="0"/>
          </reference>
          <reference field="9" count="1" selected="0">
            <x v="1"/>
          </reference>
        </references>
      </pivotArea>
    </chartFormat>
    <chartFormat chart="9" format="33" series="1">
      <pivotArea type="data" outline="0" fieldPosition="0">
        <references count="2">
          <reference field="4294967294" count="1" selected="0">
            <x v="0"/>
          </reference>
          <reference field="9" count="1" selected="0">
            <x v="2"/>
          </reference>
        </references>
      </pivotArea>
    </chartFormat>
    <chartFormat chart="9" format="3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6F51769F-8516-4677-B63C-0B1F6EE0E243}" name="Tabela dinâmica5" cacheId="49" applyNumberFormats="0" applyBorderFormats="0" applyFontFormats="0" applyPatternFormats="0" applyAlignmentFormats="0" applyWidthHeightFormats="1" dataCaption="Valores" updatedVersion="8" minRefreshableVersion="3" useAutoFormatting="1" rowGrandTotals="0" colGrandTotals="0" itemPrintTitles="1" createdVersion="8" indent="0" compact="0" compactData="0" multipleFieldFilters="0" chartFormat="25">
  <location ref="A3:B52" firstHeaderRow="1" firstDataRow="2" firstDataCol="1"/>
  <pivotFields count="13">
    <pivotField compact="0" outline="0" showAll="0" defaultSubtotal="0">
      <extLst>
        <ext xmlns:x14="http://schemas.microsoft.com/office/spreadsheetml/2009/9/main" uri="{2946ED86-A175-432a-8AC1-64E0C546D7DE}">
          <x14:pivotField fillDownLabels="1"/>
        </ext>
      </extLst>
    </pivotField>
    <pivotField axis="axisCol" compact="0" outline="0" showAll="0" defaultSubtotal="0">
      <items count="1">
        <item x="0"/>
      </items>
      <extLst>
        <ext xmlns:x14="http://schemas.microsoft.com/office/spreadsheetml/2009/9/main" uri="{2946ED86-A175-432a-8AC1-64E0C546D7DE}">
          <x14:pivotField fillDownLabels="1"/>
        </ext>
      </extLst>
    </pivotField>
    <pivotField axis="axisRow" compact="0" outline="0" showAll="0" sortType="ascending" defaultSubtotal="0">
      <items count="4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s>
      <extLst>
        <ext xmlns:x14="http://schemas.microsoft.com/office/spreadsheetml/2009/9/main" uri="{2946ED86-A175-432a-8AC1-64E0C546D7DE}">
          <x14:pivotField fillDownLabels="1"/>
        </ext>
      </extLst>
    </pivotField>
    <pivotField compact="0" numFmtId="14" outline="0" showAll="0" defaultSubtotal="0">
      <extLst>
        <ext xmlns:x14="http://schemas.microsoft.com/office/spreadsheetml/2009/9/main" uri="{2946ED86-A175-432a-8AC1-64E0C546D7DE}">
          <x14:pivotField fillDownLabels="1"/>
        </ext>
      </extLst>
    </pivotField>
    <pivotField compact="0" numFmtId="14" outline="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s>
  <rowFields count="1">
    <field x="2"/>
  </rowFields>
  <rowItems count="48">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rowItems>
  <colFields count="1">
    <field x="1"/>
  </colFields>
  <colItems count="1">
    <i>
      <x/>
    </i>
  </colItems>
  <dataFields count="1">
    <dataField name="Soma de Total" fld="7" baseField="0" baseItem="0"/>
  </dataFields>
  <chartFormats count="4">
    <chartFormat chart="15" format="38" series="1">
      <pivotArea type="data" outline="0" fieldPosition="0">
        <references count="2">
          <reference field="4294967294" count="1" selected="0">
            <x v="0"/>
          </reference>
          <reference field="1" count="1" selected="0">
            <x v="0"/>
          </reference>
        </references>
      </pivotArea>
    </chartFormat>
    <chartFormat chart="18" format="40" series="1">
      <pivotArea type="data" outline="0" fieldPosition="0">
        <references count="2">
          <reference field="4294967294" count="1" selected="0">
            <x v="0"/>
          </reference>
          <reference field="1" count="1" selected="0">
            <x v="0"/>
          </reference>
        </references>
      </pivotArea>
    </chartFormat>
    <chartFormat chart="19" format="42" series="1">
      <pivotArea type="data" outline="0" fieldPosition="0">
        <references count="2">
          <reference field="4294967294" count="1" selected="0">
            <x v="0"/>
          </reference>
          <reference field="1" count="1" selected="0">
            <x v="0"/>
          </reference>
        </references>
      </pivotArea>
    </chartFormat>
    <chartFormat chart="2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604F8D72-E27D-4980-8C0B-EECDC3A395CE}" name="Tabela dinâmica3" cacheId="34"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chartFormat="10">
  <location ref="AH35:AI37" firstHeaderRow="1" firstDataRow="2" firstDataCol="1" rowPageCount="2" colPageCount="1"/>
  <pivotFields count="17">
    <pivotField showAll="0"/>
    <pivotField dataField="1" showAll="0"/>
    <pivotField showAll="0"/>
    <pivotField showAll="0"/>
    <pivotField axis="axisPage" multipleItemSelectionAllowed="1" showAll="0">
      <items count="5">
        <item x="2"/>
        <item h="1" x="0"/>
        <item h="1" x="1"/>
        <item h="1" m="1" x="3"/>
        <item t="default"/>
      </items>
    </pivotField>
    <pivotField axis="axisPage" multipleItemSelectionAllowed="1" showAll="0">
      <items count="12">
        <item x="0"/>
        <item h="1" m="1" x="8"/>
        <item h="1" m="1" x="9"/>
        <item h="1" x="1"/>
        <item m="1" x="6"/>
        <item h="1" m="1" x="7"/>
        <item h="1" m="1" x="10"/>
        <item h="1" m="1" x="4"/>
        <item h="1" x="3"/>
        <item h="1" m="1" x="5"/>
        <item h="1" x="2"/>
        <item t="default"/>
      </items>
    </pivotField>
    <pivotField showAll="0"/>
    <pivotField showAll="0"/>
    <pivotField axis="axisRow" showAll="0">
      <items count="20">
        <item x="9"/>
        <item x="4"/>
        <item x="2"/>
        <item x="1"/>
        <item x="6"/>
        <item x="5"/>
        <item x="7"/>
        <item x="0"/>
        <item x="8"/>
        <item x="10"/>
        <item x="12"/>
        <item x="11"/>
        <item x="3"/>
        <item x="15"/>
        <item x="13"/>
        <item x="14"/>
        <item x="16"/>
        <item x="17"/>
        <item m="1" x="18"/>
        <item t="default"/>
      </items>
    </pivotField>
    <pivotField axis="axisCol" showAll="0">
      <items count="7">
        <item x="2"/>
        <item x="1"/>
        <item x="3"/>
        <item x="0"/>
        <item x="4"/>
        <item x="5"/>
        <item t="default"/>
      </items>
    </pivotField>
    <pivotField showAll="0"/>
    <pivotField showAll="0"/>
    <pivotField showAll="0"/>
    <pivotField showAll="0"/>
    <pivotField showAll="0"/>
    <pivotField numFmtId="2" showAll="0"/>
    <pivotField numFmtId="10" showAll="0"/>
  </pivotFields>
  <rowFields count="1">
    <field x="8"/>
  </rowFields>
  <rowItems count="1">
    <i t="grand">
      <x/>
    </i>
  </rowItems>
  <colFields count="1">
    <field x="9"/>
  </colFields>
  <colItems count="1">
    <i t="grand">
      <x/>
    </i>
  </colItems>
  <pageFields count="2">
    <pageField fld="4" hier="-1"/>
    <pageField fld="5" hier="-1"/>
  </pageFields>
  <dataFields count="1">
    <dataField name="Contagem de WTG" fld="1" subtotal="count" baseField="0" baseItem="0"/>
  </dataFields>
  <chartFormats count="10">
    <chartFormat chart="0" format="21" series="1">
      <pivotArea type="data" outline="0" fieldPosition="0">
        <references count="2">
          <reference field="4294967294" count="1" selected="0">
            <x v="0"/>
          </reference>
          <reference field="9" count="1" selected="0">
            <x v="0"/>
          </reference>
        </references>
      </pivotArea>
    </chartFormat>
    <chartFormat chart="0" format="22" series="1">
      <pivotArea type="data" outline="0" fieldPosition="0">
        <references count="2">
          <reference field="4294967294" count="1" selected="0">
            <x v="0"/>
          </reference>
          <reference field="9" count="1" selected="0">
            <x v="1"/>
          </reference>
        </references>
      </pivotArea>
    </chartFormat>
    <chartFormat chart="0" format="23" series="1">
      <pivotArea type="data" outline="0" fieldPosition="0">
        <references count="2">
          <reference field="4294967294" count="1" selected="0">
            <x v="0"/>
          </reference>
          <reference field="9" count="1" selected="0">
            <x v="4"/>
          </reference>
        </references>
      </pivotArea>
    </chartFormat>
    <chartFormat chart="0" format="24" series="1">
      <pivotArea type="data" outline="0" fieldPosition="0">
        <references count="2">
          <reference field="4294967294" count="1" selected="0">
            <x v="0"/>
          </reference>
          <reference field="9" count="1" selected="0">
            <x v="3"/>
          </reference>
        </references>
      </pivotArea>
    </chartFormat>
    <chartFormat chart="0" format="25" series="1">
      <pivotArea type="data" outline="0" fieldPosition="0">
        <references count="2">
          <reference field="4294967294" count="1" selected="0">
            <x v="0"/>
          </reference>
          <reference field="9" count="1" selected="0">
            <x v="2"/>
          </reference>
        </references>
      </pivotArea>
    </chartFormat>
    <chartFormat chart="0" format="26" series="1">
      <pivotArea type="data" outline="0" fieldPosition="0">
        <references count="1">
          <reference field="4294967294" count="1" selected="0">
            <x v="0"/>
          </reference>
        </references>
      </pivotArea>
    </chartFormat>
    <chartFormat chart="0" format="27" series="1">
      <pivotArea type="data" outline="0" fieldPosition="0">
        <references count="2">
          <reference field="4294967294" count="1" selected="0">
            <x v="0"/>
          </reference>
          <reference field="9" count="1" selected="0">
            <x v="5"/>
          </reference>
        </references>
      </pivotArea>
    </chartFormat>
    <chartFormat chart="9" format="28" series="1">
      <pivotArea type="data" outline="0" fieldPosition="0">
        <references count="2">
          <reference field="4294967294" count="1" selected="0">
            <x v="0"/>
          </reference>
          <reference field="9" count="1" selected="0">
            <x v="0"/>
          </reference>
        </references>
      </pivotArea>
    </chartFormat>
    <chartFormat chart="9" format="30" series="1">
      <pivotArea type="data" outline="0" fieldPosition="0">
        <references count="2">
          <reference field="4294967294" count="1" selected="0">
            <x v="0"/>
          </reference>
          <reference field="9" count="1" selected="0">
            <x v="1"/>
          </reference>
        </references>
      </pivotArea>
    </chartFormat>
    <chartFormat chart="9" format="3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B1D4F984-C403-411C-9EE3-1EB9C38B5BAA}" name="Tabela dinâmica2" cacheId="34"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chartFormat="13">
  <location ref="AB35:AC37" firstHeaderRow="1" firstDataRow="2" firstDataCol="1" rowPageCount="2" colPageCount="1"/>
  <pivotFields count="17">
    <pivotField showAll="0"/>
    <pivotField dataField="1" showAll="0"/>
    <pivotField showAll="0"/>
    <pivotField showAll="0"/>
    <pivotField axis="axisPage" multipleItemSelectionAllowed="1" showAll="0">
      <items count="5">
        <item x="2"/>
        <item h="1" x="0"/>
        <item h="1" x="1"/>
        <item h="1" m="1" x="3"/>
        <item t="default"/>
      </items>
    </pivotField>
    <pivotField axis="axisPage" multipleItemSelectionAllowed="1" showAll="0">
      <items count="12">
        <item x="0"/>
        <item h="1" m="1" x="8"/>
        <item h="1" m="1" x="9"/>
        <item h="1" x="1"/>
        <item h="1" m="1" x="6"/>
        <item m="1" x="7"/>
        <item h="1" m="1" x="10"/>
        <item h="1" m="1" x="4"/>
        <item h="1" x="3"/>
        <item h="1" m="1" x="5"/>
        <item h="1" x="2"/>
        <item t="default"/>
      </items>
    </pivotField>
    <pivotField showAll="0"/>
    <pivotField showAll="0"/>
    <pivotField axis="axisRow" showAll="0">
      <items count="20">
        <item x="9"/>
        <item x="4"/>
        <item x="2"/>
        <item x="1"/>
        <item x="6"/>
        <item x="5"/>
        <item x="7"/>
        <item x="0"/>
        <item x="8"/>
        <item x="10"/>
        <item x="12"/>
        <item x="11"/>
        <item x="3"/>
        <item x="13"/>
        <item x="14"/>
        <item x="15"/>
        <item x="16"/>
        <item x="17"/>
        <item m="1" x="18"/>
        <item t="default"/>
      </items>
    </pivotField>
    <pivotField axis="axisCol" showAll="0">
      <items count="7">
        <item x="2"/>
        <item x="1"/>
        <item x="3"/>
        <item x="0"/>
        <item x="4"/>
        <item x="5"/>
        <item t="default"/>
      </items>
    </pivotField>
    <pivotField showAll="0"/>
    <pivotField showAll="0"/>
    <pivotField showAll="0"/>
    <pivotField showAll="0"/>
    <pivotField showAll="0"/>
    <pivotField numFmtId="2" showAll="0"/>
    <pivotField numFmtId="10" showAll="0"/>
  </pivotFields>
  <rowFields count="1">
    <field x="8"/>
  </rowFields>
  <rowItems count="1">
    <i t="grand">
      <x/>
    </i>
  </rowItems>
  <colFields count="1">
    <field x="9"/>
  </colFields>
  <colItems count="1">
    <i t="grand">
      <x/>
    </i>
  </colItems>
  <pageFields count="2">
    <pageField fld="4" hier="-1"/>
    <pageField fld="5" hier="-1"/>
  </pageFields>
  <dataFields count="1">
    <dataField name="Contagem de WTG" fld="1" subtotal="count" baseField="0" baseItem="0"/>
  </dataFields>
  <chartFormats count="12">
    <chartFormat chart="0" format="9" series="1">
      <pivotArea type="data" outline="0" fieldPosition="0">
        <references count="1">
          <reference field="4294967294" count="1" selected="0">
            <x v="0"/>
          </reference>
        </references>
      </pivotArea>
    </chartFormat>
    <chartFormat chart="0" format="10">
      <pivotArea type="data" outline="0" fieldPosition="0">
        <references count="2">
          <reference field="4294967294" count="1" selected="0">
            <x v="0"/>
          </reference>
          <reference field="8" count="1" selected="0">
            <x v="0"/>
          </reference>
        </references>
      </pivotArea>
    </chartFormat>
    <chartFormat chart="0" format="11">
      <pivotArea type="data" outline="0" fieldPosition="0">
        <references count="2">
          <reference field="4294967294" count="1" selected="0">
            <x v="0"/>
          </reference>
          <reference field="8" count="1" selected="0">
            <x v="2"/>
          </reference>
        </references>
      </pivotArea>
    </chartFormat>
    <chartFormat chart="0" format="12" series="1">
      <pivotArea type="data" outline="0" fieldPosition="0">
        <references count="2">
          <reference field="4294967294" count="1" selected="0">
            <x v="0"/>
          </reference>
          <reference field="9" count="1" selected="0">
            <x v="1"/>
          </reference>
        </references>
      </pivotArea>
    </chartFormat>
    <chartFormat chart="0" format="13" series="1">
      <pivotArea type="data" outline="0" fieldPosition="0">
        <references count="2">
          <reference field="4294967294" count="1" selected="0">
            <x v="0"/>
          </reference>
          <reference field="9" count="1" selected="0">
            <x v="0"/>
          </reference>
        </references>
      </pivotArea>
    </chartFormat>
    <chartFormat chart="0" format="14">
      <pivotArea type="data" outline="0" fieldPosition="0">
        <references count="3">
          <reference field="4294967294" count="1" selected="0">
            <x v="0"/>
          </reference>
          <reference field="8" count="1" selected="0">
            <x v="0"/>
          </reference>
          <reference field="9" count="1" selected="0">
            <x v="0"/>
          </reference>
        </references>
      </pivotArea>
    </chartFormat>
    <chartFormat chart="0" format="15">
      <pivotArea type="data" outline="0" fieldPosition="0">
        <references count="3">
          <reference field="4294967294" count="1" selected="0">
            <x v="0"/>
          </reference>
          <reference field="8" count="1" selected="0">
            <x v="2"/>
          </reference>
          <reference field="9" count="1" selected="0">
            <x v="0"/>
          </reference>
        </references>
      </pivotArea>
    </chartFormat>
    <chartFormat chart="0" format="16">
      <pivotArea type="data" outline="0" fieldPosition="0">
        <references count="3">
          <reference field="4294967294" count="1" selected="0">
            <x v="0"/>
          </reference>
          <reference field="8" count="1" selected="0">
            <x v="0"/>
          </reference>
          <reference field="9" count="1" selected="0">
            <x v="1"/>
          </reference>
        </references>
      </pivotArea>
    </chartFormat>
    <chartFormat chart="0" format="17">
      <pivotArea type="data" outline="0" fieldPosition="0">
        <references count="3">
          <reference field="4294967294" count="1" selected="0">
            <x v="0"/>
          </reference>
          <reference field="8" count="1" selected="0">
            <x v="2"/>
          </reference>
          <reference field="9" count="1" selected="0">
            <x v="1"/>
          </reference>
        </references>
      </pivotArea>
    </chartFormat>
    <chartFormat chart="12" format="18" series="1">
      <pivotArea type="data" outline="0" fieldPosition="0">
        <references count="2">
          <reference field="4294967294" count="1" selected="0">
            <x v="0"/>
          </reference>
          <reference field="9" count="1" selected="0">
            <x v="0"/>
          </reference>
        </references>
      </pivotArea>
    </chartFormat>
    <chartFormat chart="12" format="20" series="1">
      <pivotArea type="data" outline="0" fieldPosition="0">
        <references count="2">
          <reference field="4294967294" count="1" selected="0">
            <x v="0"/>
          </reference>
          <reference field="9" count="1" selected="0">
            <x v="1"/>
          </reference>
        </references>
      </pivotArea>
    </chartFormat>
    <chartFormat chart="12" format="2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95028881-DFC1-4254-9D95-42C69BF918DB}" name="Tabela dinâmica35" cacheId="33"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A3:J18" firstHeaderRow="0" firstDataRow="1" firstDataCol="1" rowPageCount="1" colPageCount="1"/>
  <pivotFields count="11">
    <pivotField axis="axisPage" multipleItemSelectionAllowed="1" showAll="0">
      <items count="5">
        <item x="0"/>
        <item x="1"/>
        <item x="2"/>
        <item x="3"/>
        <item t="default"/>
      </items>
    </pivotField>
    <pivotField axis="axisRow" showAll="0">
      <items count="15">
        <item x="9"/>
        <item x="10"/>
        <item x="4"/>
        <item x="2"/>
        <item x="12"/>
        <item x="13"/>
        <item x="11"/>
        <item x="3"/>
        <item x="1"/>
        <item x="6"/>
        <item x="5"/>
        <item x="7"/>
        <item x="0"/>
        <item x="8"/>
        <item t="default"/>
      </items>
    </pivotField>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s>
  <rowFields count="1">
    <field x="1"/>
  </rowFields>
  <rowItems count="15">
    <i>
      <x/>
    </i>
    <i>
      <x v="1"/>
    </i>
    <i>
      <x v="2"/>
    </i>
    <i>
      <x v="3"/>
    </i>
    <i>
      <x v="4"/>
    </i>
    <i>
      <x v="5"/>
    </i>
    <i>
      <x v="6"/>
    </i>
    <i>
      <x v="7"/>
    </i>
    <i>
      <x v="8"/>
    </i>
    <i>
      <x v="9"/>
    </i>
    <i>
      <x v="10"/>
    </i>
    <i>
      <x v="11"/>
    </i>
    <i>
      <x v="12"/>
    </i>
    <i>
      <x v="13"/>
    </i>
    <i t="grand">
      <x/>
    </i>
  </rowItems>
  <colFields count="1">
    <field x="-2"/>
  </colFields>
  <colItems count="9">
    <i>
      <x/>
    </i>
    <i i="1">
      <x v="1"/>
    </i>
    <i i="2">
      <x v="2"/>
    </i>
    <i i="3">
      <x v="3"/>
    </i>
    <i i="4">
      <x v="4"/>
    </i>
    <i i="5">
      <x v="5"/>
    </i>
    <i i="6">
      <x v="6"/>
    </i>
    <i i="7">
      <x v="7"/>
    </i>
    <i i="8">
      <x v="8"/>
    </i>
  </colItems>
  <pageFields count="1">
    <pageField fld="0" hier="-1"/>
  </pageFields>
  <dataFields count="9">
    <dataField name="Soma de jan-25" fld="2" baseField="0" baseItem="0"/>
    <dataField name="Soma de fev-25" fld="3" baseField="0" baseItem="0"/>
    <dataField name="Soma de mar-25" fld="4" baseField="0" baseItem="0"/>
    <dataField name="Soma de abr-25" fld="5" baseField="0" baseItem="0"/>
    <dataField name="Soma de mai-25" fld="6" baseField="0" baseItem="0"/>
    <dataField name="Soma de jun-25" fld="7" baseField="0" baseItem="0"/>
    <dataField name="Soma de jul-25" fld="8" baseField="0" baseItem="0"/>
    <dataField name="Soma de ago-25" fld="9" baseField="0" baseItem="0"/>
    <dataField name="Soma de set-25"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çãodeDados_Site" xr10:uid="{1ADFF29D-AEA6-4A41-9349-9B35BE79F0AE}" sourceName="Site">
  <pivotTables>
    <pivotTable tabId="3" name="Tabela dinâmica4"/>
  </pivotTables>
  <data>
    <tabular pivotCacheId="876344688">
      <items count="4">
        <i x="2" s="1"/>
        <i x="0"/>
        <i x="1"/>
        <i x="3"/>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çãodeDados_Site1" xr10:uid="{EDBA1A18-0EEA-4491-97D6-C7A3DC2F2D79}" sourceName="Site">
  <data>
    <tabular pivotCacheId="876344688">
      <items count="4">
        <i x="2"/>
        <i x="0" s="1"/>
        <i x="1"/>
        <i x="3"/>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te" xr10:uid="{9441DEF6-0DC2-495E-9C49-2DE11C946D7D}" cache="SegmentaçãodeDados_Site" caption="Site" style="SlicerStyleDark3" rowHeight="247650"/>
  <slicer name="Site 1" xr10:uid="{F3D9D4E8-E811-4F4F-A951-2E55009267A0}" cache="SegmentaçãodeDados_Site1" caption="Site" rowHeight="247650"/>
</slicers>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pivotTable" Target="../pivotTables/pivotTable3.xml"/><Relationship Id="rId1" Type="http://schemas.openxmlformats.org/officeDocument/2006/relationships/pivotTable" Target="../pivotTables/pivotTable2.xml"/><Relationship Id="rId4"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8.x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10.xml.rels><?xml version="1.0" encoding="UTF-8" standalone="yes"?>
<Relationships xmlns="http://schemas.openxmlformats.org/package/2006/relationships"><Relationship Id="rId3" Type="http://schemas.openxmlformats.org/officeDocument/2006/relationships/drawing" Target="../drawings/drawing9.xml"/><Relationship Id="rId2" Type="http://schemas.openxmlformats.org/officeDocument/2006/relationships/pivotTable" Target="../pivotTables/pivotTable9.xml"/><Relationship Id="rId1" Type="http://schemas.openxmlformats.org/officeDocument/2006/relationships/pivotTable" Target="../pivotTables/pivotTable8.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3.bin"/></Relationships>
</file>

<file path=xl/worksheets/_rels/sheet12.xml.rels><?xml version="1.0" encoding="UTF-8" standalone="yes"?>
<Relationships xmlns="http://schemas.openxmlformats.org/package/2006/relationships"><Relationship Id="rId1" Type="http://schemas.openxmlformats.org/officeDocument/2006/relationships/pivotTable" Target="../pivotTables/pivotTable10.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4.xml.rels><?xml version="1.0" encoding="UTF-8" standalone="yes"?>
<Relationships xmlns="http://schemas.openxmlformats.org/package/2006/relationships"><Relationship Id="rId3" Type="http://schemas.openxmlformats.org/officeDocument/2006/relationships/drawing" Target="../drawings/drawing12.xml"/><Relationship Id="rId2" Type="http://schemas.openxmlformats.org/officeDocument/2006/relationships/pivotTable" Target="../pivotTables/pivotTable12.xml"/><Relationship Id="rId1" Type="http://schemas.openxmlformats.org/officeDocument/2006/relationships/pivotTable" Target="../pivotTables/pivotTable11.xml"/></Relationships>
</file>

<file path=xl/worksheets/_rels/sheet16.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18.xml.rels><?xml version="1.0" encoding="UTF-8" standalone="yes"?>
<Relationships xmlns="http://schemas.openxmlformats.org/package/2006/relationships"><Relationship Id="rId1" Type="http://schemas.openxmlformats.org/officeDocument/2006/relationships/pivotTable" Target="../pivotTables/pivotTable1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8119A7-67E4-403E-87D4-77C921DA03AE}">
  <sheetPr codeName="Planilha13"/>
  <dimension ref="B2:R67"/>
  <sheetViews>
    <sheetView zoomScale="90" zoomScaleNormal="90" workbookViewId="0">
      <selection activeCell="F39" sqref="F39"/>
    </sheetView>
  </sheetViews>
  <sheetFormatPr defaultRowHeight="15" x14ac:dyDescent="0.25"/>
  <cols>
    <col min="1" max="1" width="2.7109375" customWidth="1"/>
    <col min="2" max="2" width="16.7109375" customWidth="1"/>
    <col min="3" max="3" width="13.85546875" customWidth="1"/>
    <col min="4" max="4" width="10.28515625" customWidth="1"/>
    <col min="5" max="6" width="18.5703125" customWidth="1"/>
    <col min="7" max="7" width="51.85546875" customWidth="1"/>
    <col min="8" max="9" width="14.7109375" customWidth="1"/>
    <col min="10" max="10" width="18.5703125" customWidth="1"/>
    <col min="11" max="11" width="9.28515625" customWidth="1"/>
    <col min="12" max="12" width="18.5703125" customWidth="1"/>
    <col min="14" max="18" width="0" hidden="1" customWidth="1"/>
  </cols>
  <sheetData>
    <row r="2" spans="2:18" ht="34.9" customHeight="1" x14ac:dyDescent="0.4">
      <c r="B2" s="171" t="s">
        <v>0</v>
      </c>
      <c r="C2" s="171"/>
      <c r="D2" s="171"/>
      <c r="E2" s="171"/>
      <c r="F2" s="171"/>
      <c r="G2" s="171"/>
      <c r="H2" s="171"/>
      <c r="I2" s="171"/>
      <c r="J2" s="171"/>
      <c r="K2" s="171"/>
      <c r="L2" s="171"/>
      <c r="N2" s="165" t="s">
        <v>1</v>
      </c>
      <c r="O2" s="165"/>
      <c r="P2" s="165"/>
      <c r="Q2" s="165"/>
      <c r="R2" s="165"/>
    </row>
    <row r="3" spans="2:18" ht="22.15" customHeight="1" x14ac:dyDescent="0.25">
      <c r="B3" s="172" t="str">
        <f ca="1">"Consolidado Essentia + Auren | Data: "&amp;DAY(TODAY())&amp;"/"&amp;MONTH(TODAY())&amp;"/"&amp;YEAR(TODAY())</f>
        <v>Consolidado Essentia + Auren | Data: 25/9/2026</v>
      </c>
      <c r="C3" s="172"/>
      <c r="D3" s="172"/>
      <c r="E3" s="172"/>
      <c r="F3" s="172"/>
      <c r="G3" s="172"/>
      <c r="H3" s="172"/>
      <c r="I3" s="172"/>
      <c r="J3" s="172"/>
      <c r="K3" s="172"/>
      <c r="L3" s="172"/>
      <c r="N3" s="151" t="s">
        <v>2</v>
      </c>
      <c r="O3" s="151" t="s">
        <v>3</v>
      </c>
      <c r="P3" s="151">
        <v>2025</v>
      </c>
      <c r="Q3" s="151">
        <v>2026</v>
      </c>
      <c r="R3" s="151" t="s">
        <v>4</v>
      </c>
    </row>
    <row r="4" spans="2:18" x14ac:dyDescent="0.25">
      <c r="N4" t="s">
        <v>5</v>
      </c>
      <c r="O4">
        <v>21</v>
      </c>
      <c r="P4">
        <f>IFERROR(INDEX(Historic!$H:$H,MATCH("2025W"&amp;TEXT(O4,"00"),Historic!$A:$A,0)),0)</f>
        <v>11</v>
      </c>
      <c r="Q4">
        <f>IFERROR(INDEX(Historic!$H:$H,MATCH("2026W"&amp;TEXT(O4,"00"),Historic!$A:$A,0)),0)</f>
        <v>6</v>
      </c>
      <c r="R4">
        <f t="shared" ref="R4:R15" si="0">IFERROR(Q4-P4,0)</f>
        <v>-5</v>
      </c>
    </row>
    <row r="5" spans="2:18" ht="25.9" customHeight="1" x14ac:dyDescent="0.3">
      <c r="B5" s="173" t="s">
        <v>6</v>
      </c>
      <c r="C5" s="173"/>
      <c r="D5" s="173"/>
      <c r="E5" s="173"/>
      <c r="F5" s="173"/>
      <c r="G5" s="173"/>
      <c r="H5" s="173"/>
      <c r="I5" s="173"/>
      <c r="J5" s="173"/>
      <c r="K5" s="173"/>
      <c r="L5" s="173"/>
      <c r="N5" t="s">
        <v>7</v>
      </c>
      <c r="O5">
        <v>22</v>
      </c>
      <c r="P5">
        <f>IFERROR(INDEX(Historic!$H:$H,MATCH("2025W"&amp;TEXT(O5,"00"),Historic!$A:$A,0)),0)</f>
        <v>12</v>
      </c>
      <c r="Q5">
        <f>IFERROR(INDEX(Historic!$H:$H,MATCH("2026W"&amp;TEXT(O5,"00"),Historic!$A:$A,0)),0)</f>
        <v>2</v>
      </c>
      <c r="R5">
        <f t="shared" si="0"/>
        <v>-10</v>
      </c>
    </row>
    <row r="6" spans="2:18" x14ac:dyDescent="0.25">
      <c r="N6" t="s">
        <v>8</v>
      </c>
      <c r="O6">
        <v>23</v>
      </c>
      <c r="P6">
        <f>IFERROR(INDEX(Historic!$H:$H,MATCH("2025W"&amp;TEXT(O6,"00"),Historic!$A:$A,0)),0)</f>
        <v>11</v>
      </c>
      <c r="Q6">
        <f>IFERROR(INDEX(Historic!$H:$H,MATCH("2026W"&amp;TEXT(O6,"00"),Historic!$A:$A,0)),0)</f>
        <v>4</v>
      </c>
      <c r="R6">
        <f t="shared" si="0"/>
        <v>-7</v>
      </c>
    </row>
    <row r="7" spans="2:18" x14ac:dyDescent="0.25">
      <c r="B7" s="156" t="s">
        <v>9</v>
      </c>
      <c r="C7" s="156" t="s">
        <v>10</v>
      </c>
      <c r="D7" s="156" t="s">
        <v>11</v>
      </c>
      <c r="E7" s="156" t="s">
        <v>12</v>
      </c>
      <c r="G7" s="174" t="s">
        <v>13</v>
      </c>
      <c r="H7" s="174"/>
      <c r="I7" s="175"/>
      <c r="N7" t="s">
        <v>14</v>
      </c>
      <c r="O7">
        <v>24</v>
      </c>
      <c r="P7">
        <f>IFERROR(INDEX(Historic!$H:$H,MATCH("2025W"&amp;TEXT(O7,"00"),Historic!$A:$A,0)),0)</f>
        <v>11</v>
      </c>
      <c r="Q7">
        <f>IFERROR(INDEX(Historic!$H:$H,MATCH("2026W"&amp;TEXT(O7,"00"),Historic!$A:$A,0)),0)</f>
        <v>3</v>
      </c>
      <c r="R7">
        <f t="shared" si="0"/>
        <v>-8</v>
      </c>
    </row>
    <row r="8" spans="2:18" x14ac:dyDescent="0.25">
      <c r="B8" s="2" t="s">
        <v>15</v>
      </c>
      <c r="C8" s="2">
        <f ca="1">COUNTIFS('Fonte de Dados - Essentia'!$E$4:$E$222,"Parada",'Fonte de Dados - Essentia'!$F$4:$F$222,"&gt;=7")</f>
        <v>1</v>
      </c>
      <c r="D8" s="2">
        <f ca="1">COUNTIFS('Fonte de Dados - Auren'!$E$6:$E$50,"Parada",'Fonte de Dados - Auren'!$F$6:$F$50,"&gt;=7")</f>
        <v>3</v>
      </c>
      <c r="E8" s="2">
        <f ca="1">C8+D8</f>
        <v>4</v>
      </c>
      <c r="G8" s="2" t="s">
        <v>16</v>
      </c>
      <c r="H8" s="158">
        <f ca="1">COUNTIFS('Fonte de Dados - Essentia'!$E$4:$E$222,"Parada",'Fonte de Dados - Essentia'!$F$4:$F$222,"&gt;=7",'Fonte de Dados - Essentia'!$I$4:$I$222,"*Gerador*")+COUNTIFS('Fonte de Dados - Auren'!$E$6:$E$50,"Parada",'Fonte de Dados - Auren'!$F$6:$F$50,"&gt;=7",'Fonte de Dados - Auren'!$I$6:$I$50,"*Gerador*")</f>
        <v>0</v>
      </c>
      <c r="N8" t="s">
        <v>17</v>
      </c>
      <c r="O8">
        <v>25</v>
      </c>
      <c r="P8">
        <f>IFERROR(INDEX(Historic!$H:$H,MATCH("2025W"&amp;TEXT(O8,"00"),Historic!$A:$A,0)),0)</f>
        <v>17</v>
      </c>
      <c r="Q8">
        <f>IFERROR(INDEX(Historic!$H:$H,MATCH("2026W"&amp;TEXT(O8,"00"),Historic!$A:$A,0)),0)</f>
        <v>4</v>
      </c>
      <c r="R8">
        <f t="shared" si="0"/>
        <v>-13</v>
      </c>
    </row>
    <row r="9" spans="2:18" x14ac:dyDescent="0.25">
      <c r="B9" s="2" t="s">
        <v>18</v>
      </c>
      <c r="C9" s="53">
        <f ca="1">IFERROR(AVERAGEIFS('Fonte de Dados - Essentia'!$F$4:$F$222,'Fonte de Dados - Essentia'!$E$4:$E$222,"Parada",'Fonte de Dados - Essentia'!$F$4:$F$222,"&gt;=7"),0)</f>
        <v>78</v>
      </c>
      <c r="D9" s="53">
        <f ca="1">IFERROR(AVERAGEIFS('Fonte de Dados - Auren'!$F$6:$F$50,'Fonte de Dados - Auren'!$E$6:$E$50,"Parada",'Fonte de Dados - Auren'!$F$6:$F$50,"&gt;=7"),0)</f>
        <v>62</v>
      </c>
      <c r="E9" s="53">
        <f ca="1">IFERROR((C9*C8+D9*D8)/E8,0)</f>
        <v>66</v>
      </c>
      <c r="G9" s="2" t="s">
        <v>19</v>
      </c>
      <c r="H9" s="158">
        <f ca="1">COUNTIFS('Fonte de Dados - Essentia'!$E$4:$E$222,"Parada",'Fonte de Dados - Essentia'!$F$4:$F$222,"&gt;=7",'Fonte de Dados - Essentia'!$I$4:$I$222,"*Pitch Bearing*")+COUNTIFS('Fonte de Dados - Auren'!$E$6:$E$50,"Parada",'Fonte de Dados - Auren'!$F$6:$F$50,"&gt;=7",'Fonte de Dados - Auren'!$I$6:$I$50,"*Pitch Bearing*")</f>
        <v>1</v>
      </c>
      <c r="N9" t="s">
        <v>20</v>
      </c>
      <c r="O9">
        <v>26</v>
      </c>
      <c r="P9">
        <f>IFERROR(INDEX(Historic!$H:$H,MATCH("2025W"&amp;TEXT(O9,"00"),Historic!$A:$A,0)),0)</f>
        <v>18</v>
      </c>
      <c r="Q9">
        <f>IFERROR(INDEX(Historic!$H:$H,MATCH("2026W"&amp;TEXT(O9,"00"),Historic!$A:$A,0)),0)</f>
        <v>3</v>
      </c>
      <c r="R9">
        <f t="shared" si="0"/>
        <v>-15</v>
      </c>
    </row>
    <row r="10" spans="2:18" x14ac:dyDescent="0.25">
      <c r="G10" s="2" t="s">
        <v>21</v>
      </c>
      <c r="H10" s="158">
        <f ca="1">COUNTIFS('Fonte de Dados - Essentia'!$E$4:$E$222,"Parada",'Fonte de Dados - Essentia'!$F$4:$F$222,"&gt;=7",'Fonte de Dados - Essentia'!$I$4:$I$222,"*Blade*")+COUNTIFS('Fonte de Dados - Auren'!$E$6:$E$50,"Parada",'Fonte de Dados - Auren'!$F$6:$F$50,"&gt;=7",'Fonte de Dados - Auren'!$I$6:$I$50,"*Blade*")</f>
        <v>2</v>
      </c>
      <c r="N10" t="s">
        <v>22</v>
      </c>
      <c r="O10">
        <v>27</v>
      </c>
      <c r="P10">
        <f>IFERROR(INDEX(Historic!$H:$H,MATCH("2025W"&amp;TEXT(O10,"00"),Historic!$A:$A,0)),0)</f>
        <v>18</v>
      </c>
      <c r="Q10">
        <f>IFERROR(INDEX(Historic!$H:$H,MATCH("2026W"&amp;TEXT(O10,"00"),Historic!$A:$A,0)),0)</f>
        <v>2</v>
      </c>
      <c r="R10">
        <f t="shared" si="0"/>
        <v>-16</v>
      </c>
    </row>
    <row r="11" spans="2:18" x14ac:dyDescent="0.25">
      <c r="G11" s="2" t="s">
        <v>23</v>
      </c>
      <c r="H11" s="158">
        <f ca="1">COUNTIFS('Fonte de Dados - Essentia'!$E$4:$E$222,"Parada",'Fonte de Dados - Essentia'!$F$4:$F$222,"&gt;=7",'Fonte de Dados - Essentia'!$I$4:$I$222,"*Main Bearing*")+COUNTIFS('Fonte de Dados - Auren'!$E$6:$E$50,"Parada",'Fonte de Dados - Auren'!$F$6:$F$50,"&gt;=7",'Fonte de Dados - Auren'!$I$6:$I$50,"*Main Bearing*")</f>
        <v>0</v>
      </c>
      <c r="N11" t="s">
        <v>24</v>
      </c>
      <c r="O11">
        <v>28</v>
      </c>
      <c r="P11">
        <f>IFERROR(INDEX(Historic!$H:$H,MATCH("2025W"&amp;TEXT(O11,"00"),Historic!$A:$A,0)),0)</f>
        <v>16</v>
      </c>
      <c r="Q11">
        <f>IFERROR(INDEX(Historic!$H:$H,MATCH("2026W"&amp;TEXT(O11,"00"),Historic!$A:$A,0)),0)</f>
        <v>2</v>
      </c>
      <c r="R11">
        <f t="shared" si="0"/>
        <v>-14</v>
      </c>
    </row>
    <row r="12" spans="2:18" x14ac:dyDescent="0.25">
      <c r="G12" s="2" t="s">
        <v>25</v>
      </c>
      <c r="H12" s="158">
        <f ca="1">COUNTIFS('Fonte de Dados - Essentia'!$E$4:$E$222,"Parada",'Fonte de Dados - Essentia'!$F$4:$F$222,"&gt;=7",'Fonte de Dados - Essentia'!$I$4:$I$222,"*Yaw Drive*")+COUNTIFS('Fonte de Dados - Auren'!$E$6:$E$50,"Parada",'Fonte de Dados - Auren'!$F$6:$F$50,"&gt;=7",'Fonte de Dados - Auren'!$I$6:$I$50,"*Yaw Drive*")</f>
        <v>0</v>
      </c>
      <c r="N12" t="s">
        <v>26</v>
      </c>
      <c r="O12">
        <v>29</v>
      </c>
      <c r="P12">
        <f>IFERROR(INDEX(Historic!$H:$H,MATCH("2025W"&amp;TEXT(O12,"00"),Historic!$A:$A,0)),0)</f>
        <v>12</v>
      </c>
      <c r="Q12">
        <f>IFERROR(INDEX(Historic!$H:$H,MATCH("2026W"&amp;TEXT(O12,"00"),Historic!$A:$A,0)),0)</f>
        <v>4</v>
      </c>
      <c r="R12">
        <f t="shared" si="0"/>
        <v>-8</v>
      </c>
    </row>
    <row r="13" spans="2:18" x14ac:dyDescent="0.25">
      <c r="G13" s="2" t="s">
        <v>27</v>
      </c>
      <c r="H13" s="158">
        <f ca="1">COUNTIFS('Fonte de Dados - Essentia'!$E$4:$E$222,"Parada",'Fonte de Dados - Essentia'!$F$4:$F$222,"&gt;=7",'Fonte de Dados - Essentia'!$I$4:$I$222,"*Gearbox*")+COUNTIFS('Fonte de Dados - Auren'!$E$6:$E$50,"Parada",'Fonte de Dados - Auren'!$F$6:$F$50,"&gt;=7",'Fonte de Dados - Auren'!$I$6:$I$50,"*Gearbox*")</f>
        <v>1</v>
      </c>
      <c r="N13" t="s">
        <v>28</v>
      </c>
      <c r="O13">
        <v>30</v>
      </c>
      <c r="P13">
        <f>IFERROR(INDEX(Historic!$H:$H,MATCH("2025W"&amp;TEXT(O13,"00"),Historic!$A:$A,0)),0)</f>
        <v>10</v>
      </c>
      <c r="Q13">
        <f>IFERROR(INDEX(Historic!$H:$H,MATCH("2026W"&amp;TEXT(O13,"00"),Historic!$A:$A,0)),0)</f>
        <v>4</v>
      </c>
      <c r="R13">
        <f t="shared" si="0"/>
        <v>-6</v>
      </c>
    </row>
    <row r="14" spans="2:18" x14ac:dyDescent="0.25">
      <c r="N14" t="s">
        <v>29</v>
      </c>
      <c r="O14">
        <v>31</v>
      </c>
      <c r="P14">
        <f>IFERROR(INDEX(Historic!$H:$H,MATCH("2025W"&amp;TEXT(O14,"00"),Historic!$A:$A,0)),0)</f>
        <v>7</v>
      </c>
      <c r="Q14">
        <f>IFERROR(INDEX(Historic!$H:$H,MATCH("2026W"&amp;TEXT(O14,"00"),Historic!$A:$A,0)),0)</f>
        <v>3</v>
      </c>
      <c r="R14">
        <f t="shared" si="0"/>
        <v>-4</v>
      </c>
    </row>
    <row r="15" spans="2:18" ht="25.9" customHeight="1" x14ac:dyDescent="0.3">
      <c r="B15" s="176" t="s">
        <v>30</v>
      </c>
      <c r="C15" s="176"/>
      <c r="D15" s="176"/>
      <c r="E15" s="176"/>
      <c r="F15" s="176"/>
      <c r="G15" s="176"/>
      <c r="H15" s="176"/>
      <c r="I15" s="176"/>
      <c r="J15" s="176"/>
      <c r="K15" s="176"/>
      <c r="L15" s="176"/>
      <c r="N15" t="s">
        <v>31</v>
      </c>
      <c r="O15">
        <v>32</v>
      </c>
      <c r="P15">
        <f>IFERROR(INDEX(Historic!$H:$H,MATCH("2025W"&amp;TEXT(O15,"00"),Historic!$A:$A,0)),0)</f>
        <v>8</v>
      </c>
      <c r="Q15">
        <f>IFERROR(INDEX(Historic!$H:$H,MATCH("2026W"&amp;TEXT(O15,"00"),Historic!$A:$A,0)),0)</f>
        <v>6</v>
      </c>
      <c r="R15">
        <f t="shared" si="0"/>
        <v>-2</v>
      </c>
    </row>
    <row r="17" spans="2:12" x14ac:dyDescent="0.25">
      <c r="I17" s="169" t="s">
        <v>32</v>
      </c>
      <c r="J17" s="169"/>
      <c r="K17" s="169"/>
      <c r="L17" s="169"/>
    </row>
    <row r="18" spans="2:12" x14ac:dyDescent="0.25">
      <c r="I18" s="157" t="s">
        <v>33</v>
      </c>
      <c r="J18" s="157" t="s">
        <v>34</v>
      </c>
      <c r="K18" s="157" t="s">
        <v>35</v>
      </c>
      <c r="L18" s="157" t="s">
        <v>36</v>
      </c>
    </row>
    <row r="19" spans="2:12" x14ac:dyDescent="0.25">
      <c r="I19" s="2" t="str" cm="1">
        <f t="array" aca="1" ref="I19:L22" ca="1">IFERROR(_xlfn.TAKE(_xlfn._xlws.SORT(_xlfn.VSTACK(_xlfn._xlws.FILTER(CHOOSE({1,2,3,4},'Fonte de Dados - Essentia'!$B$4:$B$222,'Fonte de Dados - Essentia'!$A$4:$A$222,'Fonte de Dados - Essentia'!$F$4:$F$222,'Fonte de Dados - Essentia'!$I$4:$I$222),('Fonte de Dados - Essentia'!$E$4:$E$222="Parada")*('Fonte de Dados - Essentia'!$F$4:$F$222&gt;=7)),_xlfn._xlws.FILTER(CHOOSE({1,2,3,4},'Fonte de Dados - Auren'!$B$6:$B$50,'Fonte de Dados - Auren'!$A$6:$A$50,'Fonte de Dados - Auren'!$F$6:$F$50,'Fonte de Dados - Auren'!$I$6:$I$50),('Fonte de Dados - Auren'!$E$6:$E$50="Parada")*('Fonte de Dados - Auren'!$F$6:$F$50&gt;=7))),3,-1),5),"—")</f>
        <v>EBR07-12</v>
      </c>
      <c r="J19" s="2" t="str">
        <f ca="1"/>
        <v>Caetés</v>
      </c>
      <c r="K19" s="2">
        <f ca="1"/>
        <v>101</v>
      </c>
      <c r="L19" s="2" t="str">
        <f ca="1"/>
        <v>Blade</v>
      </c>
    </row>
    <row r="20" spans="2:12" x14ac:dyDescent="0.25">
      <c r="I20" s="2" t="str">
        <f ca="1"/>
        <v>JOA12-03</v>
      </c>
      <c r="J20" s="2" t="str">
        <f ca="1"/>
        <v>Chapada I</v>
      </c>
      <c r="K20" s="2">
        <f ca="1"/>
        <v>78</v>
      </c>
      <c r="L20" s="2" t="str">
        <f ca="1"/>
        <v>Blade</v>
      </c>
    </row>
    <row r="21" spans="2:12" x14ac:dyDescent="0.25">
      <c r="I21" s="2" t="str">
        <f ca="1"/>
        <v>EBR06-08</v>
      </c>
      <c r="J21" s="2" t="str">
        <f ca="1"/>
        <v>Caetés</v>
      </c>
      <c r="K21" s="2">
        <f ca="1"/>
        <v>63</v>
      </c>
      <c r="L21" s="2" t="str">
        <f ca="1"/>
        <v>Pitch Bearing</v>
      </c>
    </row>
    <row r="22" spans="2:12" x14ac:dyDescent="0.25">
      <c r="I22" s="2" t="str">
        <f ca="1"/>
        <v>EBR05-13</v>
      </c>
      <c r="J22" s="2" t="str">
        <f ca="1"/>
        <v>Caetés</v>
      </c>
      <c r="K22" s="2">
        <f ca="1"/>
        <v>22</v>
      </c>
      <c r="L22" s="2" t="str">
        <f ca="1"/>
        <v>Gearbox</v>
      </c>
    </row>
    <row r="23" spans="2:12" x14ac:dyDescent="0.25">
      <c r="I23" s="2"/>
      <c r="J23" s="2"/>
      <c r="K23" s="2"/>
      <c r="L23" s="2"/>
    </row>
    <row r="32" spans="2:12" ht="24" customHeight="1" x14ac:dyDescent="0.25">
      <c r="B32" s="166" t="s">
        <v>37</v>
      </c>
      <c r="C32" s="166"/>
      <c r="D32" s="166"/>
      <c r="E32" s="166"/>
      <c r="F32" s="166"/>
      <c r="G32" s="166"/>
      <c r="H32" s="166"/>
      <c r="I32" s="166"/>
      <c r="J32" s="166"/>
      <c r="K32" s="166"/>
      <c r="L32" s="166"/>
    </row>
    <row r="33" spans="2:12" x14ac:dyDescent="0.25">
      <c r="B33" s="154" t="str">
        <f ca="1">"(" &amp; C8 &amp; " unidades)"</f>
        <v>(1 unidades)</v>
      </c>
    </row>
    <row r="35" spans="2:12" x14ac:dyDescent="0.25">
      <c r="B35" s="152" t="s">
        <v>34</v>
      </c>
      <c r="C35" s="152" t="s">
        <v>33</v>
      </c>
      <c r="D35" s="152" t="s">
        <v>38</v>
      </c>
      <c r="E35" s="152" t="s">
        <v>36</v>
      </c>
      <c r="F35" s="152" t="s">
        <v>39</v>
      </c>
      <c r="G35" s="152" t="s">
        <v>40</v>
      </c>
      <c r="H35" s="152"/>
    </row>
    <row r="36" spans="2:12" ht="64.900000000000006" customHeight="1" x14ac:dyDescent="0.25">
      <c r="B36" t="str" cm="1">
        <f t="array" aca="1" ref="B36:G36" ca="1">IFERROR(_xlfn._xlws.SORT(_xlfn._xlws.FILTER(CHOOSE({1,2,3,4,5,6},'Fonte de Dados - Essentia'!$A$4:$A$222,'Fonte de Dados - Essentia'!$B$4:$B$222,'Fonte de Dados - Essentia'!$F$4:$F$222,'Fonte de Dados - Essentia'!$I$4:$I$222,'Fonte de Dados - Essentia'!$J$4:$J$222,'Fonte de Dados - Essentia'!$K$4:$K$222),('Fonte de Dados - Essentia'!$E$4:$E$222="Parada")*('Fonte de Dados - Essentia'!$F$4:$F$222&gt;=7)),3,-1),"Nenhuma turbina parada ≥7 dias")</f>
        <v>Chapada I</v>
      </c>
      <c r="C36" t="str">
        <f ca="1"/>
        <v>JOA12-03</v>
      </c>
      <c r="D36">
        <f ca="1"/>
        <v>78</v>
      </c>
      <c r="E36" t="str">
        <f ca="1"/>
        <v>Blade</v>
      </c>
      <c r="F36" s="6" t="str">
        <f ca="1"/>
        <v>MCE</v>
      </c>
      <c r="G36" s="6" t="str">
        <f ca="1"/>
        <v>Nenhuma turbina parada ≥7 dias</v>
      </c>
    </row>
    <row r="37" spans="2:12" ht="64.900000000000006" customHeight="1" x14ac:dyDescent="0.25">
      <c r="F37" s="6"/>
      <c r="G37" s="6"/>
    </row>
    <row r="38" spans="2:12" ht="64.900000000000006" customHeight="1" x14ac:dyDescent="0.25">
      <c r="F38" s="6"/>
      <c r="G38" s="6"/>
    </row>
    <row r="39" spans="2:12" ht="64.900000000000006" customHeight="1" x14ac:dyDescent="0.25">
      <c r="F39" s="6"/>
      <c r="G39" s="6"/>
    </row>
    <row r="40" spans="2:12" ht="64.900000000000006" customHeight="1" x14ac:dyDescent="0.25">
      <c r="F40" s="6"/>
      <c r="G40" s="6"/>
    </row>
    <row r="41" spans="2:12" ht="64.900000000000006" customHeight="1" x14ac:dyDescent="0.25">
      <c r="F41" s="6"/>
      <c r="G41" s="6"/>
    </row>
    <row r="42" spans="2:12" ht="64.900000000000006" customHeight="1" x14ac:dyDescent="0.25">
      <c r="F42" s="6"/>
      <c r="G42" s="6"/>
    </row>
    <row r="43" spans="2:12" ht="64.900000000000006" customHeight="1" x14ac:dyDescent="0.25">
      <c r="F43" s="6"/>
      <c r="G43" s="6"/>
    </row>
    <row r="44" spans="2:12" ht="64.900000000000006" customHeight="1" x14ac:dyDescent="0.25">
      <c r="F44" s="6"/>
      <c r="G44" s="6"/>
    </row>
    <row r="45" spans="2:12" ht="64.900000000000006" customHeight="1" x14ac:dyDescent="0.25">
      <c r="F45" s="6"/>
      <c r="G45" s="6"/>
    </row>
    <row r="46" spans="2:12" ht="49.9" customHeight="1" x14ac:dyDescent="0.25">
      <c r="F46" s="6"/>
      <c r="G46" s="6"/>
    </row>
    <row r="47" spans="2:12" ht="49.9" customHeight="1" x14ac:dyDescent="0.25">
      <c r="F47" s="6"/>
      <c r="G47" s="6"/>
    </row>
    <row r="48" spans="2:12" ht="49.9" customHeight="1" x14ac:dyDescent="0.25">
      <c r="B48" s="167" t="s">
        <v>41</v>
      </c>
      <c r="C48" s="167"/>
      <c r="D48" s="167"/>
      <c r="E48" s="167"/>
      <c r="F48" s="168"/>
      <c r="G48" s="168"/>
      <c r="H48" s="167"/>
      <c r="I48" s="167"/>
      <c r="J48" s="167"/>
      <c r="K48" s="167"/>
      <c r="L48" s="167"/>
    </row>
    <row r="49" spans="2:8" ht="49.9" customHeight="1" x14ac:dyDescent="0.25">
      <c r="B49" s="154" t="str">
        <f ca="1">"(" &amp; D8 &amp; " unidades)"</f>
        <v>(3 unidades)</v>
      </c>
      <c r="F49" s="6"/>
      <c r="G49" s="6"/>
    </row>
    <row r="50" spans="2:8" ht="49.9" customHeight="1" x14ac:dyDescent="0.25">
      <c r="F50" s="6"/>
      <c r="G50" s="6"/>
    </row>
    <row r="51" spans="2:8" x14ac:dyDescent="0.25">
      <c r="B51" s="153" t="s">
        <v>34</v>
      </c>
      <c r="C51" s="153" t="s">
        <v>33</v>
      </c>
      <c r="D51" s="153" t="s">
        <v>38</v>
      </c>
      <c r="E51" s="153" t="s">
        <v>36</v>
      </c>
      <c r="F51" s="155" t="s">
        <v>39</v>
      </c>
      <c r="G51" s="155" t="s">
        <v>40</v>
      </c>
      <c r="H51" s="153"/>
    </row>
    <row r="52" spans="2:8" ht="64.900000000000006" customHeight="1" x14ac:dyDescent="0.25">
      <c r="B52" t="str" cm="1">
        <f t="array" aca="1" ref="B52:G54" ca="1">IFERROR(_xlfn._xlws.SORT(_xlfn._xlws.FILTER(CHOOSE({1,2,3,4,5,6},'Fonte de Dados - Auren'!$A$6:$A$50,'Fonte de Dados - Auren'!$B$6:$B$50,'Fonte de Dados - Auren'!$F$6:$F$50,'Fonte de Dados - Auren'!$I$6:$I$50,'Fonte de Dados - Auren'!$J$6:$J$50,'Fonte de Dados - Auren'!$K$6:$K$50),('Fonte de Dados - Auren'!$E$6:$E$50="Parada")*('Fonte de Dados - Auren'!$F$6:$F$50&gt;=7)),3,-1),"Nenhuma turbina parada ≥7 dias")</f>
        <v>Caetés</v>
      </c>
      <c r="C52" t="str">
        <f ca="1"/>
        <v>EBR07-12</v>
      </c>
      <c r="D52">
        <f ca="1"/>
        <v>101</v>
      </c>
      <c r="E52" t="str">
        <f ca="1"/>
        <v>Blade</v>
      </c>
      <c r="F52" s="6" t="str">
        <f ca="1"/>
        <v>UPTOWER REPAIR</v>
      </c>
      <c r="G52" s="6" t="str">
        <f ca="1"/>
        <v xml:space="preserve">16/07: Máquina parada para reparo de blades. Responsabilidade Auren.
23/07: Reparo em andamento. 
30/07: Sem previsão de retorno ainda.
10/09: Auren finalizando o reparo. </v>
      </c>
    </row>
    <row r="53" spans="2:8" ht="64.900000000000006" customHeight="1" x14ac:dyDescent="0.25">
      <c r="B53" t="str">
        <f ca="1"/>
        <v>Caetés</v>
      </c>
      <c r="C53" t="str">
        <f ca="1"/>
        <v>EBR06-08</v>
      </c>
      <c r="D53">
        <f ca="1"/>
        <v>63</v>
      </c>
      <c r="E53" t="str">
        <f ca="1"/>
        <v>Pitch Bearing</v>
      </c>
      <c r="F53" s="6" t="str">
        <f ca="1"/>
        <v>MCE</v>
      </c>
      <c r="G53" s="6" t="str">
        <f ca="1"/>
        <v xml:space="preserve">30/07: Falha no pitch bearing devido a danos internos. Previsão de retorno no início de set/26.
13/08: Auren se planejando para realização da troca.
10/09: Troca será feita com o time de Field Services. </v>
      </c>
    </row>
    <row r="54" spans="2:8" ht="64.900000000000006" customHeight="1" x14ac:dyDescent="0.25">
      <c r="B54" t="str">
        <f ca="1"/>
        <v>Caetés</v>
      </c>
      <c r="C54" t="str">
        <f ca="1"/>
        <v>EBR05-13</v>
      </c>
      <c r="D54">
        <f ca="1"/>
        <v>22</v>
      </c>
      <c r="E54" t="str">
        <f ca="1"/>
        <v>Gearbox</v>
      </c>
      <c r="F54" s="6" t="str">
        <f ca="1"/>
        <v>MCE</v>
      </c>
      <c r="G54" s="6" t="str">
        <f ca="1"/>
        <v xml:space="preserve">10/09: Houve o colapso da gearbox.
17/09: Auren mobilizando para troca. Previsão de finalização da atividade na semana que vem. Atividade será realizada com Liftra. </v>
      </c>
    </row>
    <row r="55" spans="2:8" ht="64.900000000000006" customHeight="1" x14ac:dyDescent="0.25">
      <c r="F55" s="6"/>
      <c r="G55" s="6"/>
    </row>
    <row r="56" spans="2:8" ht="64.900000000000006" customHeight="1" x14ac:dyDescent="0.25">
      <c r="F56" s="6"/>
      <c r="G56" s="6"/>
    </row>
    <row r="57" spans="2:8" ht="64.900000000000006" customHeight="1" x14ac:dyDescent="0.25">
      <c r="F57" s="6"/>
      <c r="G57" s="6"/>
    </row>
    <row r="58" spans="2:8" ht="64.900000000000006" customHeight="1" x14ac:dyDescent="0.25">
      <c r="F58" s="6"/>
      <c r="G58" s="6"/>
    </row>
    <row r="59" spans="2:8" ht="49.9" customHeight="1" x14ac:dyDescent="0.25">
      <c r="F59" s="6"/>
      <c r="G59" s="6"/>
    </row>
    <row r="60" spans="2:8" ht="49.9" customHeight="1" x14ac:dyDescent="0.25">
      <c r="F60" s="6"/>
      <c r="G60" s="6"/>
    </row>
    <row r="61" spans="2:8" ht="49.9" customHeight="1" x14ac:dyDescent="0.25">
      <c r="F61" s="6"/>
      <c r="G61" s="6"/>
    </row>
    <row r="62" spans="2:8" ht="49.9" customHeight="1" x14ac:dyDescent="0.25">
      <c r="F62" s="6"/>
      <c r="G62" s="6"/>
    </row>
    <row r="63" spans="2:8" ht="49.9" customHeight="1" x14ac:dyDescent="0.25">
      <c r="F63" s="6"/>
      <c r="G63" s="6"/>
    </row>
    <row r="64" spans="2:8" ht="49.9" customHeight="1" x14ac:dyDescent="0.25">
      <c r="F64" s="6"/>
      <c r="G64" s="6"/>
    </row>
    <row r="65" spans="2:12" ht="49.9" customHeight="1" x14ac:dyDescent="0.25">
      <c r="F65" s="6"/>
      <c r="G65" s="6"/>
    </row>
    <row r="67" spans="2:12" x14ac:dyDescent="0.25">
      <c r="B67" s="170" t="s">
        <v>42</v>
      </c>
      <c r="C67" s="170"/>
      <c r="D67" s="170"/>
      <c r="E67" s="170"/>
      <c r="F67" s="170"/>
      <c r="G67" s="170"/>
      <c r="H67" s="170"/>
      <c r="I67" s="170"/>
      <c r="J67" s="170"/>
      <c r="K67" s="170"/>
      <c r="L67" s="170"/>
    </row>
  </sheetData>
  <mergeCells count="10">
    <mergeCell ref="N2:R2"/>
    <mergeCell ref="B32:L32"/>
    <mergeCell ref="B48:L48"/>
    <mergeCell ref="I17:L17"/>
    <mergeCell ref="B67:L67"/>
    <mergeCell ref="B2:L2"/>
    <mergeCell ref="B3:L3"/>
    <mergeCell ref="B5:L5"/>
    <mergeCell ref="G7:I7"/>
    <mergeCell ref="B15:L15"/>
  </mergeCells>
  <conditionalFormatting sqref="D36:D50">
    <cfRule type="cellIs" dxfId="23" priority="1" operator="greaterThan">
      <formula>20</formula>
    </cfRule>
  </conditionalFormatting>
  <conditionalFormatting sqref="D52:D65">
    <cfRule type="cellIs" dxfId="22" priority="2" operator="greaterThan">
      <formula>20</formula>
    </cfRule>
  </conditionalFormatting>
  <conditionalFormatting sqref="K19:K23">
    <cfRule type="cellIs" dxfId="21" priority="3" operator="greaterThan">
      <formula>20</formula>
    </cfRule>
  </conditionalFormatting>
  <pageMargins left="4.1666666666666666E-3" right="4.1666666666666666E-3" top="6.9444444444444441E-3" bottom="4.1666666666666666E-3" header="0.31496062000000002" footer="0.31496062000000002"/>
  <pageSetup paperSize="9" scale="55" orientation="landscape" horizontalDpi="0" verticalDpi="0" copies="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83370F-A9CA-4187-80AA-B12B67C5C36B}">
  <sheetPr codeName="Planilha1"/>
  <dimension ref="A1:L28"/>
  <sheetViews>
    <sheetView showGridLines="0" zoomScale="70" zoomScaleNormal="70" workbookViewId="0">
      <selection activeCell="D13" sqref="D13"/>
    </sheetView>
  </sheetViews>
  <sheetFormatPr defaultColWidth="8.7109375" defaultRowHeight="15" x14ac:dyDescent="0.25"/>
  <cols>
    <col min="1" max="1" width="8.7109375" customWidth="1"/>
    <col min="2" max="2" width="17.7109375" customWidth="1"/>
    <col min="3" max="3" width="8.7109375" customWidth="1"/>
    <col min="4" max="4" width="11.28515625" style="7" bestFit="1" customWidth="1"/>
    <col min="5" max="5" width="16.42578125" style="1" customWidth="1"/>
    <col min="6" max="6" width="20.7109375" style="1" bestFit="1" customWidth="1"/>
    <col min="7" max="7" width="13.7109375" style="1" customWidth="1"/>
    <col min="8" max="8" width="52.28515625" style="1" customWidth="1"/>
    <col min="9" max="9" width="26" style="6" bestFit="1" customWidth="1"/>
    <col min="10" max="10" width="71" style="7" bestFit="1" customWidth="1"/>
    <col min="11" max="11" width="19.28515625" style="8" bestFit="1" customWidth="1"/>
    <col min="12" max="12" width="15.7109375" bestFit="1" customWidth="1"/>
  </cols>
  <sheetData>
    <row r="1" spans="1:12" x14ac:dyDescent="0.25">
      <c r="A1" s="177" t="s">
        <v>43</v>
      </c>
      <c r="B1" s="177"/>
      <c r="C1" s="177"/>
      <c r="D1" s="177"/>
      <c r="E1" s="177"/>
      <c r="F1" s="177"/>
      <c r="G1" s="177"/>
      <c r="H1" s="177"/>
      <c r="I1" s="177"/>
      <c r="J1" s="177"/>
      <c r="K1" s="177"/>
      <c r="L1" s="177"/>
    </row>
    <row r="2" spans="1:12" x14ac:dyDescent="0.25">
      <c r="A2" s="177"/>
      <c r="B2" s="177"/>
      <c r="C2" s="177"/>
      <c r="D2" s="177"/>
      <c r="E2" s="177"/>
      <c r="F2" s="177"/>
      <c r="G2" s="177"/>
      <c r="H2" s="177"/>
      <c r="I2" s="177"/>
      <c r="J2" s="177"/>
      <c r="K2" s="177"/>
      <c r="L2" s="177"/>
    </row>
    <row r="3" spans="1:12" x14ac:dyDescent="0.25">
      <c r="D3" s="5"/>
      <c r="E3"/>
      <c r="F3"/>
      <c r="G3"/>
      <c r="H3"/>
      <c r="I3"/>
    </row>
    <row r="4" spans="1:12" hidden="1" x14ac:dyDescent="0.25">
      <c r="D4" s="9" t="s">
        <v>34</v>
      </c>
      <c r="E4" s="14" t="s">
        <v>44</v>
      </c>
    </row>
    <row r="6" spans="1:12" x14ac:dyDescent="0.25">
      <c r="D6" s="9" t="s">
        <v>33</v>
      </c>
      <c r="E6" s="10" t="s">
        <v>45</v>
      </c>
      <c r="F6" s="16" t="s">
        <v>46</v>
      </c>
      <c r="G6" s="10" t="s">
        <v>47</v>
      </c>
      <c r="H6" s="10" t="s">
        <v>48</v>
      </c>
      <c r="I6" s="10" t="s">
        <v>49</v>
      </c>
      <c r="J6" s="11" t="s">
        <v>40</v>
      </c>
      <c r="K6"/>
    </row>
    <row r="7" spans="1:12" ht="30" x14ac:dyDescent="0.25">
      <c r="D7" s="12" t="s">
        <v>50</v>
      </c>
      <c r="E7" s="3">
        <v>45609</v>
      </c>
      <c r="F7" s="3">
        <v>45610</v>
      </c>
      <c r="G7" s="18">
        <v>1</v>
      </c>
      <c r="H7" s="15" t="s">
        <v>51</v>
      </c>
      <c r="I7" s="2" t="s">
        <v>52</v>
      </c>
      <c r="J7" s="2" t="s">
        <v>53</v>
      </c>
      <c r="K7"/>
    </row>
    <row r="8" spans="1:12" ht="30" x14ac:dyDescent="0.25">
      <c r="D8" s="12" t="s">
        <v>54</v>
      </c>
      <c r="E8" s="3">
        <v>45606</v>
      </c>
      <c r="F8" s="3">
        <v>45610</v>
      </c>
      <c r="G8" s="18">
        <v>4</v>
      </c>
      <c r="H8" s="15" t="s">
        <v>51</v>
      </c>
      <c r="I8" s="2" t="s">
        <v>52</v>
      </c>
      <c r="J8" s="2" t="s">
        <v>55</v>
      </c>
      <c r="K8"/>
    </row>
    <row r="9" spans="1:12" x14ac:dyDescent="0.25">
      <c r="D9" s="12" t="s">
        <v>56</v>
      </c>
      <c r="E9" s="3">
        <v>45607</v>
      </c>
      <c r="F9" s="3">
        <v>45623</v>
      </c>
      <c r="G9" s="18">
        <v>3</v>
      </c>
      <c r="H9" s="15" t="s">
        <v>57</v>
      </c>
      <c r="I9" s="2" t="s">
        <v>16</v>
      </c>
      <c r="J9" s="2" t="s">
        <v>58</v>
      </c>
      <c r="K9"/>
    </row>
    <row r="10" spans="1:12" x14ac:dyDescent="0.25">
      <c r="D10" s="12" t="s">
        <v>59</v>
      </c>
      <c r="E10" s="3">
        <v>45601</v>
      </c>
      <c r="F10" s="3">
        <v>45630</v>
      </c>
      <c r="G10" s="18">
        <v>9</v>
      </c>
      <c r="H10" s="15" t="s">
        <v>57</v>
      </c>
      <c r="I10" s="2" t="s">
        <v>16</v>
      </c>
      <c r="J10" s="2" t="s">
        <v>58</v>
      </c>
      <c r="K10"/>
    </row>
    <row r="11" spans="1:12" x14ac:dyDescent="0.25">
      <c r="D11"/>
      <c r="E11"/>
      <c r="F11"/>
      <c r="G11"/>
      <c r="H11"/>
      <c r="I11"/>
      <c r="J11"/>
      <c r="K11"/>
    </row>
    <row r="12" spans="1:12" x14ac:dyDescent="0.25">
      <c r="D12"/>
      <c r="E12"/>
      <c r="F12"/>
      <c r="G12"/>
      <c r="H12"/>
      <c r="I12"/>
      <c r="J12"/>
      <c r="K12"/>
    </row>
    <row r="13" spans="1:12" x14ac:dyDescent="0.25">
      <c r="D13"/>
      <c r="E13"/>
      <c r="F13"/>
      <c r="G13"/>
      <c r="H13"/>
      <c r="I13"/>
      <c r="J13"/>
      <c r="K13"/>
    </row>
    <row r="14" spans="1:12" x14ac:dyDescent="0.25">
      <c r="D14"/>
      <c r="E14"/>
      <c r="F14"/>
      <c r="G14"/>
      <c r="H14"/>
      <c r="I14"/>
      <c r="J14"/>
      <c r="K14"/>
    </row>
    <row r="15" spans="1:12" x14ac:dyDescent="0.25">
      <c r="D15"/>
      <c r="E15"/>
      <c r="F15"/>
      <c r="G15"/>
      <c r="H15"/>
      <c r="I15"/>
      <c r="J15"/>
      <c r="K15"/>
    </row>
    <row r="16" spans="1:12" x14ac:dyDescent="0.25">
      <c r="D16"/>
      <c r="E16"/>
      <c r="F16"/>
      <c r="G16"/>
      <c r="H16"/>
      <c r="I16"/>
      <c r="J16"/>
      <c r="K16"/>
    </row>
    <row r="17" customFormat="1" x14ac:dyDescent="0.25"/>
    <row r="18" customFormat="1" x14ac:dyDescent="0.25"/>
    <row r="19" customFormat="1" x14ac:dyDescent="0.25"/>
    <row r="20" customFormat="1" x14ac:dyDescent="0.25"/>
    <row r="21" customFormat="1" x14ac:dyDescent="0.25"/>
    <row r="22" customFormat="1" x14ac:dyDescent="0.25"/>
    <row r="23" customFormat="1" x14ac:dyDescent="0.25"/>
    <row r="24" customFormat="1" x14ac:dyDescent="0.25"/>
    <row r="25" customFormat="1" x14ac:dyDescent="0.25"/>
    <row r="26" customFormat="1" x14ac:dyDescent="0.25"/>
    <row r="27" customFormat="1" x14ac:dyDescent="0.25"/>
    <row r="28" customFormat="1" x14ac:dyDescent="0.25"/>
  </sheetData>
  <mergeCells count="1">
    <mergeCell ref="A1:L2"/>
  </mergeCells>
  <conditionalFormatting sqref="G7:G28">
    <cfRule type="colorScale" priority="1">
      <colorScale>
        <cfvo type="min"/>
        <cfvo type="percentile" val="50"/>
        <cfvo type="max"/>
        <color theme="9" tint="0.39997558519241921"/>
        <color rgb="FFFFEB84"/>
        <color rgb="FFFF0000"/>
      </colorScale>
    </cfRule>
  </conditionalFormatting>
  <pageMargins left="0.511811024" right="0.511811024" top="0.78740157499999996" bottom="0.78740157499999996" header="0.31496062000000002" footer="0.31496062000000002"/>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1A4CD9-CE31-4E8B-AA7E-BDD2C29E8695}">
  <sheetPr codeName="Planilha2">
    <tabColor rgb="FF004976"/>
  </sheetPr>
  <dimension ref="I1:AS69"/>
  <sheetViews>
    <sheetView showGridLines="0" showRowColHeaders="0" zoomScale="80" zoomScaleNormal="80" workbookViewId="0">
      <selection activeCell="Y32" sqref="Y32"/>
    </sheetView>
  </sheetViews>
  <sheetFormatPr defaultRowHeight="15" x14ac:dyDescent="0.25"/>
  <cols>
    <col min="9" max="9" width="17.7109375" customWidth="1"/>
    <col min="10" max="13" width="19.28515625" customWidth="1"/>
    <col min="34" max="34" width="76.7109375" customWidth="1"/>
    <col min="36" max="36" width="18.7109375" bestFit="1" customWidth="1"/>
    <col min="37" max="37" width="20.140625" bestFit="1" customWidth="1"/>
    <col min="38" max="38" width="10.42578125" bestFit="1" customWidth="1"/>
    <col min="39" max="39" width="10.7109375" bestFit="1" customWidth="1"/>
    <col min="42" max="42" width="18.7109375" bestFit="1" customWidth="1"/>
    <col min="43" max="43" width="20.140625" bestFit="1" customWidth="1"/>
    <col min="44" max="44" width="10.7109375" bestFit="1" customWidth="1"/>
    <col min="45" max="45" width="10.42578125" bestFit="1" customWidth="1"/>
    <col min="46" max="46" width="10" bestFit="1" customWidth="1"/>
    <col min="47" max="47" width="8.42578125" bestFit="1" customWidth="1"/>
    <col min="48" max="48" width="10.42578125" bestFit="1" customWidth="1"/>
  </cols>
  <sheetData>
    <row r="1" spans="9:15" s="56" customFormat="1" x14ac:dyDescent="0.25">
      <c r="I1" s="178" t="s">
        <v>60</v>
      </c>
      <c r="J1" s="178"/>
      <c r="K1" s="178"/>
      <c r="L1" s="178"/>
      <c r="M1" s="178"/>
      <c r="N1" s="178"/>
      <c r="O1" s="178"/>
    </row>
    <row r="2" spans="9:15" s="56" customFormat="1" x14ac:dyDescent="0.25">
      <c r="I2" s="178"/>
      <c r="J2" s="178"/>
      <c r="K2" s="178"/>
      <c r="L2" s="178"/>
      <c r="M2" s="178"/>
      <c r="N2" s="178"/>
      <c r="O2" s="178"/>
    </row>
    <row r="3" spans="9:15" s="56" customFormat="1" x14ac:dyDescent="0.25">
      <c r="I3" s="178"/>
      <c r="J3" s="178"/>
      <c r="K3" s="178"/>
      <c r="L3" s="178"/>
      <c r="M3" s="178"/>
      <c r="N3" s="178"/>
      <c r="O3" s="178"/>
    </row>
    <row r="4" spans="9:15" s="57" customFormat="1" x14ac:dyDescent="0.25"/>
    <row r="5" spans="9:15" s="57" customFormat="1" x14ac:dyDescent="0.25"/>
    <row r="6" spans="9:15" s="57" customFormat="1" x14ac:dyDescent="0.25"/>
    <row r="7" spans="9:15" s="57" customFormat="1" x14ac:dyDescent="0.25"/>
    <row r="8" spans="9:15" s="57" customFormat="1" x14ac:dyDescent="0.25"/>
    <row r="9" spans="9:15" s="57" customFormat="1" x14ac:dyDescent="0.25"/>
    <row r="10" spans="9:15" s="57" customFormat="1" x14ac:dyDescent="0.25"/>
    <row r="11" spans="9:15" s="57" customFormat="1" x14ac:dyDescent="0.25"/>
    <row r="12" spans="9:15" s="57" customFormat="1" x14ac:dyDescent="0.25"/>
    <row r="13" spans="9:15" s="57" customFormat="1" x14ac:dyDescent="0.25"/>
    <row r="14" spans="9:15" s="57" customFormat="1" x14ac:dyDescent="0.25"/>
    <row r="15" spans="9:15" s="57" customFormat="1" x14ac:dyDescent="0.25"/>
    <row r="16" spans="9:15" s="57" customFormat="1" x14ac:dyDescent="0.25"/>
    <row r="17" s="57" customFormat="1" x14ac:dyDescent="0.25"/>
    <row r="18" s="57" customFormat="1" x14ac:dyDescent="0.25"/>
    <row r="19" s="57" customFormat="1" x14ac:dyDescent="0.25"/>
    <row r="20" s="57" customFormat="1" x14ac:dyDescent="0.25"/>
    <row r="21" s="57" customFormat="1" x14ac:dyDescent="0.25"/>
    <row r="22" s="57" customFormat="1" x14ac:dyDescent="0.25"/>
    <row r="23" s="57" customFormat="1" x14ac:dyDescent="0.25"/>
    <row r="24" s="57" customFormat="1" x14ac:dyDescent="0.25"/>
    <row r="25" s="57" customFormat="1" x14ac:dyDescent="0.25"/>
    <row r="26" s="57" customFormat="1" x14ac:dyDescent="0.25"/>
    <row r="27" s="57" customFormat="1" x14ac:dyDescent="0.25"/>
    <row r="28" s="57" customFormat="1" x14ac:dyDescent="0.25"/>
    <row r="29" s="57" customFormat="1" x14ac:dyDescent="0.25"/>
    <row r="30" s="57" customFormat="1" x14ac:dyDescent="0.25"/>
    <row r="31" s="57" customFormat="1" x14ac:dyDescent="0.25"/>
    <row r="32" s="57" customFormat="1" x14ac:dyDescent="0.25"/>
    <row r="33" spans="9:45" s="57" customFormat="1" x14ac:dyDescent="0.25"/>
    <row r="34" spans="9:45" s="57" customFormat="1" x14ac:dyDescent="0.25">
      <c r="J34" s="181" t="s">
        <v>61</v>
      </c>
      <c r="K34" s="181"/>
      <c r="L34" s="181"/>
      <c r="M34" s="181"/>
      <c r="AJ34" s="4" t="s">
        <v>62</v>
      </c>
      <c r="AK34" t="s">
        <v>63</v>
      </c>
      <c r="AP34" s="4" t="s">
        <v>62</v>
      </c>
      <c r="AQ34" t="s">
        <v>63</v>
      </c>
    </row>
    <row r="35" spans="9:45" s="57" customFormat="1" ht="46.5" x14ac:dyDescent="0.25">
      <c r="I35" s="60" t="s">
        <v>64</v>
      </c>
      <c r="J35" s="182">
        <f ca="1">COUNTIFS('Fonte de Dados - Essentia'!E:E,"Parada",'Fonte de Dados - Essentia'!F:F,"&gt;=7")</f>
        <v>4</v>
      </c>
      <c r="K35" s="182"/>
      <c r="L35" s="182"/>
      <c r="M35" s="182"/>
      <c r="AJ35" s="4" t="s">
        <v>47</v>
      </c>
      <c r="AK35" t="s">
        <v>65</v>
      </c>
      <c r="AP35" s="4" t="s">
        <v>47</v>
      </c>
      <c r="AQ35" t="s">
        <v>66</v>
      </c>
    </row>
    <row r="36" spans="9:45" s="57" customFormat="1" ht="21" x14ac:dyDescent="0.25">
      <c r="I36" s="61" t="s">
        <v>67</v>
      </c>
      <c r="J36" s="180">
        <f ca="1">J35/347</f>
        <v>1.1527377521613832E-2</v>
      </c>
      <c r="K36" s="180"/>
      <c r="L36" s="180"/>
      <c r="M36" s="180"/>
      <c r="AJ36" s="4" t="s">
        <v>34</v>
      </c>
      <c r="AK36" t="s">
        <v>44</v>
      </c>
      <c r="AP36" s="4" t="s">
        <v>34</v>
      </c>
      <c r="AQ36" t="s">
        <v>66</v>
      </c>
    </row>
    <row r="37" spans="9:45" s="57" customFormat="1" x14ac:dyDescent="0.25"/>
    <row r="38" spans="9:45" s="57" customFormat="1" ht="18.75" x14ac:dyDescent="0.3">
      <c r="J38" s="183" t="s">
        <v>68</v>
      </c>
      <c r="K38" s="183"/>
      <c r="L38" s="184" t="s">
        <v>69</v>
      </c>
      <c r="M38" s="184"/>
      <c r="AJ38" s="57" t="s">
        <v>70</v>
      </c>
      <c r="AK38" s="57" t="s">
        <v>71</v>
      </c>
      <c r="AL38"/>
      <c r="AP38" s="57" t="s">
        <v>70</v>
      </c>
      <c r="AQ38" s="57" t="s">
        <v>71</v>
      </c>
      <c r="AS38"/>
    </row>
    <row r="39" spans="9:45" s="57" customFormat="1" ht="41.65" customHeight="1" x14ac:dyDescent="0.25">
      <c r="I39" s="60" t="s">
        <v>64</v>
      </c>
      <c r="J39" s="185">
        <f ca="1">COUNTIFS('Fonte de Dados - Essentia'!A:A,"Asa Branca",'Fonte de Dados - Essentia'!E:E,"Parada",'Fonte de Dados - Essentia'!F:F,"&gt;=7")</f>
        <v>0</v>
      </c>
      <c r="K39" s="185"/>
      <c r="L39" s="185">
        <f ca="1">COUNTIFS('Fonte de Dados - Essentia'!E:E,"Parada",'Fonte de Dados - Essentia'!A:A,"Chapada I",'Fonte de Dados - Essentia'!F:F,"&gt;=7")+COUNTIFS('Fonte de Dados - Essentia'!E:E,"Parada",'Fonte de Dados - Essentia'!A:A,"Chapada II",'Fonte de Dados - Essentia'!F:F,"&gt;=7")+COUNTIFS('Fonte de Dados - Essentia'!E:E,"Parada",'Fonte de Dados - Essentia'!A:A,"Chapada III",'Fonte de Dados - Essentia'!F:F,"&gt;=7")</f>
        <v>4</v>
      </c>
      <c r="M39" s="185"/>
      <c r="AJ39" s="57" t="s">
        <v>72</v>
      </c>
      <c r="AK39" s="57" t="s">
        <v>73</v>
      </c>
      <c r="AL39"/>
      <c r="AP39" s="57" t="s">
        <v>72</v>
      </c>
      <c r="AQ39" s="57" t="s">
        <v>74</v>
      </c>
      <c r="AR39" s="57" t="s">
        <v>73</v>
      </c>
      <c r="AS39"/>
    </row>
    <row r="40" spans="9:45" s="57" customFormat="1" ht="15.75" x14ac:dyDescent="0.25">
      <c r="I40" s="61" t="s">
        <v>67</v>
      </c>
      <c r="J40" s="179">
        <f ca="1">J39/100</f>
        <v>0</v>
      </c>
      <c r="K40" s="179"/>
      <c r="L40" s="179">
        <f ca="1">L39/247</f>
        <v>1.6194331983805668E-2</v>
      </c>
      <c r="M40" s="179"/>
      <c r="AJ40" s="58" t="s">
        <v>73</v>
      </c>
      <c r="AL40"/>
      <c r="AP40" s="58" t="s">
        <v>21</v>
      </c>
      <c r="AQ40" s="57">
        <v>1</v>
      </c>
      <c r="AR40" s="57">
        <v>1</v>
      </c>
      <c r="AS40"/>
    </row>
    <row r="41" spans="9:45" s="57" customFormat="1" x14ac:dyDescent="0.25">
      <c r="J41" s="59"/>
      <c r="K41" s="59"/>
      <c r="L41" s="59"/>
      <c r="M41" s="59"/>
      <c r="AJ41"/>
      <c r="AK41"/>
      <c r="AL41"/>
      <c r="AP41" s="24" t="s">
        <v>27</v>
      </c>
      <c r="AQ41">
        <v>2</v>
      </c>
      <c r="AR41">
        <v>2</v>
      </c>
      <c r="AS41"/>
    </row>
    <row r="42" spans="9:45" s="57" customFormat="1" x14ac:dyDescent="0.25">
      <c r="AP42" s="58" t="s">
        <v>16</v>
      </c>
      <c r="AQ42" s="57">
        <v>1</v>
      </c>
      <c r="AR42" s="57">
        <v>1</v>
      </c>
      <c r="AS42"/>
    </row>
    <row r="43" spans="9:45" s="57" customFormat="1" x14ac:dyDescent="0.25">
      <c r="AP43" s="58" t="s">
        <v>73</v>
      </c>
      <c r="AQ43" s="57">
        <v>4</v>
      </c>
      <c r="AR43" s="57">
        <v>4</v>
      </c>
      <c r="AS43"/>
    </row>
    <row r="44" spans="9:45" s="57" customFormat="1" x14ac:dyDescent="0.25">
      <c r="AP44"/>
      <c r="AQ44"/>
      <c r="AR44"/>
      <c r="AS44"/>
    </row>
    <row r="45" spans="9:45" s="57" customFormat="1" x14ac:dyDescent="0.25">
      <c r="AP45"/>
      <c r="AQ45"/>
      <c r="AR45"/>
      <c r="AS45"/>
    </row>
    <row r="46" spans="9:45" s="57" customFormat="1" x14ac:dyDescent="0.25"/>
    <row r="47" spans="9:45" s="57" customFormat="1" x14ac:dyDescent="0.25"/>
    <row r="48" spans="9:45" s="57" customFormat="1" x14ac:dyDescent="0.25"/>
    <row r="49" s="57" customFormat="1" x14ac:dyDescent="0.25"/>
    <row r="50" s="57" customFormat="1" x14ac:dyDescent="0.25"/>
    <row r="51" s="57" customFormat="1" x14ac:dyDescent="0.25"/>
    <row r="52" s="57" customFormat="1" x14ac:dyDescent="0.25"/>
    <row r="53" s="57" customFormat="1" x14ac:dyDescent="0.25"/>
    <row r="54" s="57" customFormat="1" x14ac:dyDescent="0.25"/>
    <row r="55" s="57" customFormat="1" x14ac:dyDescent="0.25"/>
    <row r="56" s="57" customFormat="1" x14ac:dyDescent="0.25"/>
    <row r="57" s="57" customFormat="1" x14ac:dyDescent="0.25"/>
    <row r="58" s="57" customFormat="1" x14ac:dyDescent="0.25"/>
    <row r="59" s="57" customFormat="1" x14ac:dyDescent="0.25"/>
    <row r="60" s="57" customFormat="1" x14ac:dyDescent="0.25"/>
    <row r="61" s="57" customFormat="1" x14ac:dyDescent="0.25"/>
    <row r="62" s="57" customFormat="1" x14ac:dyDescent="0.25"/>
    <row r="63" s="57" customFormat="1" x14ac:dyDescent="0.25"/>
    <row r="64" s="57" customFormat="1" x14ac:dyDescent="0.25"/>
    <row r="65" s="57" customFormat="1" x14ac:dyDescent="0.25"/>
    <row r="66" s="57" customFormat="1" x14ac:dyDescent="0.25"/>
    <row r="67" s="57" customFormat="1" x14ac:dyDescent="0.25"/>
    <row r="68" s="57" customFormat="1" x14ac:dyDescent="0.25"/>
    <row r="69" s="57" customFormat="1" x14ac:dyDescent="0.25"/>
  </sheetData>
  <mergeCells count="10">
    <mergeCell ref="I1:O3"/>
    <mergeCell ref="J40:K40"/>
    <mergeCell ref="L40:M40"/>
    <mergeCell ref="J36:M36"/>
    <mergeCell ref="J34:M34"/>
    <mergeCell ref="J35:M35"/>
    <mergeCell ref="J38:K38"/>
    <mergeCell ref="L38:M38"/>
    <mergeCell ref="J39:K39"/>
    <mergeCell ref="L39:M39"/>
  </mergeCells>
  <conditionalFormatting sqref="J39:K39">
    <cfRule type="dataBar" priority="3">
      <dataBar>
        <cfvo type="num" val="0"/>
        <cfvo type="num" val="100"/>
        <color rgb="FFFF555A"/>
      </dataBar>
      <extLst>
        <ext xmlns:x14="http://schemas.microsoft.com/office/spreadsheetml/2009/9/main" uri="{B025F937-C7B1-47D3-B67F-A62EFF666E3E}">
          <x14:id>{0764F795-0392-498A-8031-B278D45EF8FA}</x14:id>
        </ext>
      </extLst>
    </cfRule>
  </conditionalFormatting>
  <conditionalFormatting sqref="J35:M35">
    <cfRule type="dataBar" priority="1">
      <dataBar>
        <cfvo type="num" val="0"/>
        <cfvo type="num" val="347"/>
        <color rgb="FFFF555A"/>
      </dataBar>
      <extLst>
        <ext xmlns:x14="http://schemas.microsoft.com/office/spreadsheetml/2009/9/main" uri="{B025F937-C7B1-47D3-B67F-A62EFF666E3E}">
          <x14:id>{76D7364A-2E44-48DD-A157-28B086E60B85}</x14:id>
        </ext>
      </extLst>
    </cfRule>
  </conditionalFormatting>
  <conditionalFormatting sqref="L39:M39">
    <cfRule type="dataBar" priority="2">
      <dataBar>
        <cfvo type="num" val="0"/>
        <cfvo type="num" val="247"/>
        <color rgb="FFFF555A"/>
      </dataBar>
      <extLst>
        <ext xmlns:x14="http://schemas.microsoft.com/office/spreadsheetml/2009/9/main" uri="{B025F937-C7B1-47D3-B67F-A62EFF666E3E}">
          <x14:id>{B8CF98A6-EB62-47CF-AC21-F5AAC0D24176}</x14:id>
        </ext>
      </extLst>
    </cfRule>
  </conditionalFormatting>
  <pageMargins left="0.511811024" right="0.511811024" top="0.78740157499999996" bottom="0.78740157499999996" header="0.31496062000000002" footer="0.31496062000000002"/>
  <pageSetup orientation="portrait" r:id="rId3"/>
  <drawing r:id="rId4"/>
  <extLst>
    <ext xmlns:x14="http://schemas.microsoft.com/office/spreadsheetml/2009/9/main" uri="{78C0D931-6437-407d-A8EE-F0AAD7539E65}">
      <x14:conditionalFormattings>
        <x14:conditionalFormatting xmlns:xm="http://schemas.microsoft.com/office/excel/2006/main">
          <x14:cfRule type="dataBar" id="{0764F795-0392-498A-8031-B278D45EF8FA}">
            <x14:dataBar minLength="0" maxLength="100" border="1" negativeBarBorderColorSameAsPositive="0">
              <x14:cfvo type="num">
                <xm:f>0</xm:f>
              </x14:cfvo>
              <x14:cfvo type="num">
                <xm:f>100</xm:f>
              </x14:cfvo>
              <x14:borderColor rgb="FFFF555A"/>
              <x14:negativeFillColor rgb="FFFF0000"/>
              <x14:negativeBorderColor rgb="FFFF0000"/>
              <x14:axisColor rgb="FF000000"/>
            </x14:dataBar>
          </x14:cfRule>
          <xm:sqref>J39:K39</xm:sqref>
        </x14:conditionalFormatting>
        <x14:conditionalFormatting xmlns:xm="http://schemas.microsoft.com/office/excel/2006/main">
          <x14:cfRule type="dataBar" id="{76D7364A-2E44-48DD-A157-28B086E60B85}">
            <x14:dataBar minLength="0" maxLength="100" border="1" negativeBarBorderColorSameAsPositive="0">
              <x14:cfvo type="num">
                <xm:f>0</xm:f>
              </x14:cfvo>
              <x14:cfvo type="num">
                <xm:f>347</xm:f>
              </x14:cfvo>
              <x14:borderColor rgb="FFFF555A"/>
              <x14:negativeFillColor rgb="FFFF0000"/>
              <x14:negativeBorderColor rgb="FFFF0000"/>
              <x14:axisColor rgb="FF000000"/>
            </x14:dataBar>
          </x14:cfRule>
          <xm:sqref>J35:M35</xm:sqref>
        </x14:conditionalFormatting>
        <x14:conditionalFormatting xmlns:xm="http://schemas.microsoft.com/office/excel/2006/main">
          <x14:cfRule type="dataBar" id="{B8CF98A6-EB62-47CF-AC21-F5AAC0D24176}">
            <x14:dataBar minLength="0" maxLength="100" border="1" negativeBarBorderColorSameAsPositive="0">
              <x14:cfvo type="num">
                <xm:f>0</xm:f>
              </x14:cfvo>
              <x14:cfvo type="num">
                <xm:f>247</xm:f>
              </x14:cfvo>
              <x14:borderColor rgb="FFFF555A"/>
              <x14:negativeFillColor rgb="FFFF0000"/>
              <x14:negativeBorderColor rgb="FFFF0000"/>
              <x14:axisColor rgb="FF000000"/>
            </x14:dataBar>
          </x14:cfRule>
          <xm:sqref>L39:M39</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82FB56-5B82-4AE9-8B52-344B3F9C4D03}">
  <sheetPr codeName="Planilha3"/>
  <dimension ref="A1:B8"/>
  <sheetViews>
    <sheetView workbookViewId="0">
      <selection activeCell="B5" sqref="B5"/>
    </sheetView>
  </sheetViews>
  <sheetFormatPr defaultRowHeight="15" x14ac:dyDescent="0.25"/>
  <cols>
    <col min="1" max="1" width="17.7109375" bestFit="1" customWidth="1"/>
    <col min="2" max="2" width="21.7109375" bestFit="1" customWidth="1"/>
    <col min="3" max="3" width="16.28515625" bestFit="1" customWidth="1"/>
  </cols>
  <sheetData>
    <row r="1" spans="1:2" x14ac:dyDescent="0.25">
      <c r="A1" s="4" t="s">
        <v>62</v>
      </c>
      <c r="B1" t="s">
        <v>63</v>
      </c>
    </row>
    <row r="3" spans="1:2" x14ac:dyDescent="0.25">
      <c r="A3" s="4" t="s">
        <v>72</v>
      </c>
      <c r="B3" t="s">
        <v>76</v>
      </c>
    </row>
    <row r="4" spans="1:2" x14ac:dyDescent="0.25">
      <c r="A4" s="24" t="s">
        <v>44</v>
      </c>
      <c r="B4">
        <v>0</v>
      </c>
    </row>
    <row r="5" spans="1:2" x14ac:dyDescent="0.25">
      <c r="A5" s="24" t="s">
        <v>77</v>
      </c>
      <c r="B5">
        <v>1440</v>
      </c>
    </row>
    <row r="6" spans="1:2" x14ac:dyDescent="0.25">
      <c r="A6" s="24" t="s">
        <v>78</v>
      </c>
      <c r="B6">
        <v>1704</v>
      </c>
    </row>
    <row r="7" spans="1:2" x14ac:dyDescent="0.25">
      <c r="A7" s="24" t="s">
        <v>79</v>
      </c>
      <c r="B7">
        <v>1080</v>
      </c>
    </row>
    <row r="8" spans="1:2" x14ac:dyDescent="0.25">
      <c r="A8" s="24" t="s">
        <v>73</v>
      </c>
      <c r="B8">
        <v>4224</v>
      </c>
    </row>
  </sheetData>
  <pageMargins left="0.511811024" right="0.511811024" top="0.78740157499999996" bottom="0.78740157499999996" header="0.31496062000000002" footer="0.31496062000000002"/>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D73B67-2253-434E-BB1D-251FD69D6A44}">
  <sheetPr codeName="Planilha4"/>
  <dimension ref="A1:B8"/>
  <sheetViews>
    <sheetView workbookViewId="0">
      <selection activeCell="A5" sqref="A5"/>
    </sheetView>
  </sheetViews>
  <sheetFormatPr defaultRowHeight="15" x14ac:dyDescent="0.25"/>
  <cols>
    <col min="1" max="1" width="17.7109375" bestFit="1" customWidth="1"/>
    <col min="2" max="2" width="27.28515625" style="25" bestFit="1" customWidth="1"/>
  </cols>
  <sheetData>
    <row r="1" spans="1:2" x14ac:dyDescent="0.25">
      <c r="A1" s="4" t="s">
        <v>62</v>
      </c>
      <c r="B1" t="s">
        <v>63</v>
      </c>
    </row>
    <row r="3" spans="1:2" x14ac:dyDescent="0.25">
      <c r="A3" s="4" t="s">
        <v>72</v>
      </c>
      <c r="B3" s="26" t="s">
        <v>80</v>
      </c>
    </row>
    <row r="4" spans="1:2" x14ac:dyDescent="0.25">
      <c r="A4" s="24" t="s">
        <v>44</v>
      </c>
      <c r="B4" s="26">
        <v>0</v>
      </c>
    </row>
    <row r="5" spans="1:2" x14ac:dyDescent="0.25">
      <c r="A5" s="24" t="s">
        <v>77</v>
      </c>
      <c r="B5" s="26">
        <v>6.066734074823053E-3</v>
      </c>
    </row>
    <row r="6" spans="1:2" x14ac:dyDescent="0.25">
      <c r="A6" s="24" t="s">
        <v>78</v>
      </c>
      <c r="B6" s="26">
        <v>8.2558139534883723E-3</v>
      </c>
    </row>
    <row r="7" spans="1:2" x14ac:dyDescent="0.25">
      <c r="A7" s="24" t="s">
        <v>79</v>
      </c>
      <c r="B7" s="26">
        <v>1.6351744186046513E-2</v>
      </c>
    </row>
    <row r="8" spans="1:2" x14ac:dyDescent="0.25">
      <c r="A8" s="24" t="s">
        <v>73</v>
      </c>
      <c r="B8" s="26">
        <v>3.067429221435794E-2</v>
      </c>
    </row>
  </sheetData>
  <pageMargins left="0.511811024" right="0.511811024" top="0.78740157499999996" bottom="0.78740157499999996" header="0.31496062000000002" footer="0.31496062000000002"/>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D086F0-E698-4320-B6E8-C00D3382C1EB}">
  <sheetPr codeName="Planilha5"/>
  <dimension ref="A1:B8"/>
  <sheetViews>
    <sheetView workbookViewId="0">
      <selection activeCell="B16" sqref="B16"/>
    </sheetView>
  </sheetViews>
  <sheetFormatPr defaultRowHeight="15" x14ac:dyDescent="0.25"/>
  <cols>
    <col min="1" max="1" width="17.7109375" bestFit="1" customWidth="1"/>
    <col min="2" max="2" width="17.42578125" bestFit="1" customWidth="1"/>
  </cols>
  <sheetData>
    <row r="1" spans="1:2" x14ac:dyDescent="0.25">
      <c r="A1" s="4" t="s">
        <v>62</v>
      </c>
      <c r="B1" t="s">
        <v>63</v>
      </c>
    </row>
    <row r="3" spans="1:2" x14ac:dyDescent="0.25">
      <c r="A3" s="4" t="s">
        <v>72</v>
      </c>
      <c r="B3" t="s">
        <v>70</v>
      </c>
    </row>
    <row r="4" spans="1:2" x14ac:dyDescent="0.25">
      <c r="A4" s="24" t="s">
        <v>44</v>
      </c>
      <c r="B4">
        <v>2</v>
      </c>
    </row>
    <row r="5" spans="1:2" x14ac:dyDescent="0.25">
      <c r="A5" s="24" t="s">
        <v>77</v>
      </c>
      <c r="B5">
        <v>9</v>
      </c>
    </row>
    <row r="6" spans="1:2" x14ac:dyDescent="0.25">
      <c r="A6" s="24" t="s">
        <v>78</v>
      </c>
      <c r="B6">
        <v>2</v>
      </c>
    </row>
    <row r="7" spans="1:2" x14ac:dyDescent="0.25">
      <c r="A7" s="24" t="s">
        <v>79</v>
      </c>
      <c r="B7">
        <v>1</v>
      </c>
    </row>
    <row r="8" spans="1:2" x14ac:dyDescent="0.25">
      <c r="A8" s="24" t="s">
        <v>73</v>
      </c>
      <c r="B8">
        <v>14</v>
      </c>
    </row>
  </sheetData>
  <pageMargins left="0.511811024" right="0.511811024" top="0.78740157499999996" bottom="0.78740157499999996" header="0.31496062000000002" footer="0.31496062000000002"/>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7123D2-8105-4128-A4BE-C471EE1E4C9F}">
  <sheetPr codeName="Planilha6" filterMode="1"/>
  <dimension ref="A1:N119"/>
  <sheetViews>
    <sheetView zoomScale="85" zoomScaleNormal="85" workbookViewId="0">
      <pane ySplit="1" topLeftCell="A81" activePane="bottomLeft" state="frozen"/>
      <selection pane="bottomLeft" activeCell="F106" sqref="F106"/>
    </sheetView>
  </sheetViews>
  <sheetFormatPr defaultRowHeight="15" x14ac:dyDescent="0.25"/>
  <cols>
    <col min="1" max="1" width="13.7109375" bestFit="1" customWidth="1"/>
    <col min="2" max="2" width="7.28515625" bestFit="1" customWidth="1"/>
    <col min="3" max="3" width="8.28515625" bestFit="1" customWidth="1"/>
    <col min="4" max="4" width="11.42578125" bestFit="1" customWidth="1"/>
    <col min="5" max="5" width="10.42578125" bestFit="1" customWidth="1"/>
    <col min="6" max="6" width="6.7109375" bestFit="1" customWidth="1"/>
    <col min="7" max="7" width="7.28515625" bestFit="1" customWidth="1"/>
    <col min="8" max="8" width="7.28515625" customWidth="1"/>
    <col min="9" max="9" width="19.28515625" bestFit="1" customWidth="1"/>
    <col min="10" max="10" width="8.5703125" bestFit="1" customWidth="1"/>
    <col min="11" max="11" width="20.5703125" style="54" bestFit="1" customWidth="1"/>
    <col min="12" max="12" width="15.140625" style="54" bestFit="1" customWidth="1"/>
    <col min="13" max="13" width="8.5703125" bestFit="1" customWidth="1"/>
  </cols>
  <sheetData>
    <row r="1" spans="1:14" x14ac:dyDescent="0.25">
      <c r="A1" s="34" t="s">
        <v>81</v>
      </c>
      <c r="B1" s="34" t="s">
        <v>82</v>
      </c>
      <c r="C1" s="34" t="s">
        <v>83</v>
      </c>
      <c r="D1" s="34" t="s">
        <v>84</v>
      </c>
      <c r="E1" s="34" t="s">
        <v>85</v>
      </c>
      <c r="F1" s="34" t="s">
        <v>86</v>
      </c>
      <c r="G1" s="34" t="s">
        <v>87</v>
      </c>
      <c r="H1" s="34" t="s">
        <v>12</v>
      </c>
      <c r="I1" s="34" t="s">
        <v>88</v>
      </c>
      <c r="J1" s="34" t="s">
        <v>89</v>
      </c>
      <c r="K1" s="34" t="s">
        <v>90</v>
      </c>
      <c r="L1" s="34" t="s">
        <v>91</v>
      </c>
      <c r="M1" s="34" t="s">
        <v>92</v>
      </c>
      <c r="N1" s="150" t="s">
        <v>93</v>
      </c>
    </row>
    <row r="2" spans="1:14" hidden="1" x14ac:dyDescent="0.25">
      <c r="A2" s="2" t="s">
        <v>94</v>
      </c>
      <c r="B2" s="2" t="str">
        <f t="shared" ref="B2:B33" si="0">LEFT(A2,4)</f>
        <v>2024</v>
      </c>
      <c r="C2" s="2" t="str">
        <f t="shared" ref="C2:C33" si="1">RIGHT(A2,2)</f>
        <v>39</v>
      </c>
      <c r="D2" s="3">
        <v>45558</v>
      </c>
      <c r="E2" s="3">
        <f>D2+6</f>
        <v>45564</v>
      </c>
      <c r="F2" s="2">
        <v>0</v>
      </c>
      <c r="G2" s="2">
        <v>8</v>
      </c>
      <c r="H2" s="2">
        <f t="shared" ref="H2:H33" si="2">F2+G2</f>
        <v>8</v>
      </c>
      <c r="I2" s="2">
        <f>COUNTIF('Fonte de Dados - Essentia'!C4:C46,"&lt;=45564")</f>
        <v>0</v>
      </c>
      <c r="J2" s="2">
        <f>SUM(F2:G2)</f>
        <v>8</v>
      </c>
      <c r="K2" s="53">
        <f>SUM(F2:G2)/M2</f>
        <v>8</v>
      </c>
      <c r="L2" s="53">
        <f>AVERAGE(H2)</f>
        <v>8</v>
      </c>
      <c r="M2" s="2">
        <v>1</v>
      </c>
      <c r="N2" t="s">
        <v>95</v>
      </c>
    </row>
    <row r="3" spans="1:14" hidden="1" x14ac:dyDescent="0.25">
      <c r="A3" s="2" t="s">
        <v>96</v>
      </c>
      <c r="B3" s="2" t="str">
        <f t="shared" si="0"/>
        <v>2024</v>
      </c>
      <c r="C3" s="2" t="str">
        <f t="shared" si="1"/>
        <v>40</v>
      </c>
      <c r="D3" s="3">
        <f>D2+7</f>
        <v>45565</v>
      </c>
      <c r="E3" s="3">
        <f t="shared" ref="E3:E43" si="3">D3+6</f>
        <v>45571</v>
      </c>
      <c r="F3" s="2">
        <v>0</v>
      </c>
      <c r="G3" s="2">
        <v>8</v>
      </c>
      <c r="H3" s="2">
        <f t="shared" si="2"/>
        <v>8</v>
      </c>
      <c r="I3" s="2">
        <f>COUNTIF('Fonte de Dados - Essentia'!C:C,"&lt;=45571")</f>
        <v>8</v>
      </c>
      <c r="J3" s="2">
        <f t="shared" ref="J3:J16" si="4">SUM(F3:G3)</f>
        <v>8</v>
      </c>
      <c r="K3" s="53">
        <f>SUM(F2:G3)/M3</f>
        <v>8</v>
      </c>
      <c r="L3" s="53">
        <f>AVERAGE($H$2:H3)</f>
        <v>8</v>
      </c>
      <c r="M3" s="2">
        <v>2</v>
      </c>
    </row>
    <row r="4" spans="1:14" hidden="1" x14ac:dyDescent="0.25">
      <c r="A4" s="2" t="s">
        <v>97</v>
      </c>
      <c r="B4" s="2" t="str">
        <f t="shared" si="0"/>
        <v>2024</v>
      </c>
      <c r="C4" s="2" t="str">
        <f t="shared" si="1"/>
        <v>41</v>
      </c>
      <c r="D4" s="3">
        <f t="shared" ref="D4:D22" si="5">D3+7</f>
        <v>45572</v>
      </c>
      <c r="E4" s="3">
        <f t="shared" si="3"/>
        <v>45578</v>
      </c>
      <c r="F4" s="2">
        <v>0</v>
      </c>
      <c r="G4" s="2">
        <v>9</v>
      </c>
      <c r="H4" s="2">
        <f t="shared" si="2"/>
        <v>9</v>
      </c>
      <c r="I4" s="2">
        <f>COUNTIF('Fonte de Dados - Essentia'!C:C,"&lt;=45578")</f>
        <v>8</v>
      </c>
      <c r="J4" s="2">
        <f t="shared" si="4"/>
        <v>9</v>
      </c>
      <c r="K4" s="53">
        <f>SUM(F2:G4)/M4</f>
        <v>8.3333333333333339</v>
      </c>
      <c r="L4" s="53">
        <f>AVERAGE($H$2:H4)</f>
        <v>8.3333333333333339</v>
      </c>
      <c r="M4" s="2">
        <v>3</v>
      </c>
    </row>
    <row r="5" spans="1:14" hidden="1" x14ac:dyDescent="0.25">
      <c r="A5" s="2" t="s">
        <v>98</v>
      </c>
      <c r="B5" s="2" t="str">
        <f t="shared" si="0"/>
        <v>2024</v>
      </c>
      <c r="C5" s="2" t="str">
        <f t="shared" si="1"/>
        <v>42</v>
      </c>
      <c r="D5" s="3">
        <f t="shared" si="5"/>
        <v>45579</v>
      </c>
      <c r="E5" s="3">
        <f t="shared" si="3"/>
        <v>45585</v>
      </c>
      <c r="F5" s="2">
        <v>0</v>
      </c>
      <c r="G5" s="2">
        <v>9</v>
      </c>
      <c r="H5" s="2">
        <f t="shared" si="2"/>
        <v>9</v>
      </c>
      <c r="I5" s="2">
        <f>COUNTIF('Fonte de Dados - Essentia'!C:C,"&lt;=45585")</f>
        <v>9</v>
      </c>
      <c r="J5" s="2">
        <f t="shared" si="4"/>
        <v>9</v>
      </c>
      <c r="K5" s="53">
        <f>SUM(F2:G5)/M5</f>
        <v>8.5</v>
      </c>
      <c r="L5" s="53">
        <f>AVERAGE($H$2:H5)</f>
        <v>8.5</v>
      </c>
      <c r="M5" s="2">
        <v>4</v>
      </c>
    </row>
    <row r="6" spans="1:14" hidden="1" x14ac:dyDescent="0.25">
      <c r="A6" s="2" t="s">
        <v>99</v>
      </c>
      <c r="B6" s="2" t="str">
        <f t="shared" si="0"/>
        <v>2024</v>
      </c>
      <c r="C6" s="2" t="str">
        <f t="shared" si="1"/>
        <v>43</v>
      </c>
      <c r="D6" s="3">
        <f t="shared" si="5"/>
        <v>45586</v>
      </c>
      <c r="E6" s="3">
        <f t="shared" si="3"/>
        <v>45592</v>
      </c>
      <c r="F6" s="2">
        <v>0</v>
      </c>
      <c r="G6" s="2">
        <v>10</v>
      </c>
      <c r="H6" s="2">
        <f t="shared" si="2"/>
        <v>10</v>
      </c>
      <c r="I6" s="2">
        <f>COUNTIF('Fonte de Dados - Essentia'!C:C,"&lt;=45592")</f>
        <v>9</v>
      </c>
      <c r="J6" s="2">
        <f t="shared" si="4"/>
        <v>10</v>
      </c>
      <c r="K6" s="53">
        <f>SUM(F2:G6)/M6</f>
        <v>8.8000000000000007</v>
      </c>
      <c r="L6" s="53">
        <f>AVERAGE($H$2:H6)</f>
        <v>8.8000000000000007</v>
      </c>
      <c r="M6" s="2">
        <v>5</v>
      </c>
    </row>
    <row r="7" spans="1:14" hidden="1" x14ac:dyDescent="0.25">
      <c r="A7" s="2" t="s">
        <v>100</v>
      </c>
      <c r="B7" s="2" t="str">
        <f t="shared" si="0"/>
        <v>2024</v>
      </c>
      <c r="C7" s="2" t="str">
        <f t="shared" si="1"/>
        <v>44</v>
      </c>
      <c r="D7" s="3">
        <f t="shared" si="5"/>
        <v>45593</v>
      </c>
      <c r="E7" s="3">
        <f t="shared" si="3"/>
        <v>45599</v>
      </c>
      <c r="F7" s="2">
        <v>1</v>
      </c>
      <c r="G7" s="2">
        <v>12</v>
      </c>
      <c r="H7" s="2">
        <f t="shared" si="2"/>
        <v>13</v>
      </c>
      <c r="I7" s="2">
        <f>COUNTIF('Fonte de Dados - Essentia'!C:C,"&lt;=45599")</f>
        <v>10</v>
      </c>
      <c r="J7" s="2">
        <f t="shared" si="4"/>
        <v>13</v>
      </c>
      <c r="K7" s="53">
        <f>SUM(F2:G7)/M7</f>
        <v>9.5</v>
      </c>
      <c r="L7" s="53">
        <f>AVERAGE($H$2:H7)</f>
        <v>9.5</v>
      </c>
      <c r="M7" s="2">
        <v>6</v>
      </c>
    </row>
    <row r="8" spans="1:14" hidden="1" x14ac:dyDescent="0.25">
      <c r="A8" s="2" t="s">
        <v>101</v>
      </c>
      <c r="B8" s="2" t="str">
        <f t="shared" si="0"/>
        <v>2024</v>
      </c>
      <c r="C8" s="2" t="str">
        <f t="shared" si="1"/>
        <v>45</v>
      </c>
      <c r="D8" s="3">
        <f t="shared" si="5"/>
        <v>45600</v>
      </c>
      <c r="E8" s="3">
        <f t="shared" si="3"/>
        <v>45606</v>
      </c>
      <c r="F8" s="2">
        <v>3</v>
      </c>
      <c r="G8" s="2">
        <v>15</v>
      </c>
      <c r="H8" s="2">
        <f t="shared" si="2"/>
        <v>18</v>
      </c>
      <c r="I8" s="2">
        <f>COUNTIF('Fonte de Dados - Essentia'!C:C,"&lt;=45606")</f>
        <v>14</v>
      </c>
      <c r="J8" s="2">
        <f t="shared" si="4"/>
        <v>18</v>
      </c>
      <c r="K8" s="53">
        <f>SUM(F2:G8)/M8</f>
        <v>10.714285714285714</v>
      </c>
      <c r="L8" s="53">
        <f>AVERAGE($H$2:H8)</f>
        <v>10.714285714285714</v>
      </c>
      <c r="M8" s="2">
        <v>7</v>
      </c>
    </row>
    <row r="9" spans="1:14" hidden="1" x14ac:dyDescent="0.25">
      <c r="A9" s="2" t="s">
        <v>102</v>
      </c>
      <c r="B9" s="2" t="str">
        <f t="shared" si="0"/>
        <v>2024</v>
      </c>
      <c r="C9" s="2" t="str">
        <f t="shared" si="1"/>
        <v>46</v>
      </c>
      <c r="D9" s="3">
        <f t="shared" si="5"/>
        <v>45607</v>
      </c>
      <c r="E9" s="3">
        <f t="shared" si="3"/>
        <v>45613</v>
      </c>
      <c r="F9" s="2">
        <v>3</v>
      </c>
      <c r="G9" s="2">
        <v>15</v>
      </c>
      <c r="H9" s="2">
        <f t="shared" si="2"/>
        <v>18</v>
      </c>
      <c r="I9" s="2">
        <f>COUNTIF('Fonte de Dados - Essentia'!C:C,"&lt;=45613")</f>
        <v>20</v>
      </c>
      <c r="J9" s="2">
        <f t="shared" si="4"/>
        <v>18</v>
      </c>
      <c r="K9" s="53">
        <f>SUM(F2:G9)/M9</f>
        <v>11.625</v>
      </c>
      <c r="L9" s="53">
        <f>AVERAGE($H$2:H9)</f>
        <v>11.625</v>
      </c>
      <c r="M9" s="2">
        <v>8</v>
      </c>
    </row>
    <row r="10" spans="1:14" hidden="1" x14ac:dyDescent="0.25">
      <c r="A10" s="2" t="s">
        <v>103</v>
      </c>
      <c r="B10" s="2" t="str">
        <f t="shared" si="0"/>
        <v>2024</v>
      </c>
      <c r="C10" s="2" t="str">
        <f t="shared" si="1"/>
        <v>47</v>
      </c>
      <c r="D10" s="3">
        <f t="shared" si="5"/>
        <v>45614</v>
      </c>
      <c r="E10" s="3">
        <f t="shared" si="3"/>
        <v>45620</v>
      </c>
      <c r="F10" s="2">
        <v>2</v>
      </c>
      <c r="G10" s="2">
        <v>13</v>
      </c>
      <c r="H10" s="2">
        <f t="shared" si="2"/>
        <v>15</v>
      </c>
      <c r="I10" s="2">
        <f>COUNTIF('Fonte de Dados - Essentia'!C:C,"&lt;=45620")</f>
        <v>23</v>
      </c>
      <c r="J10" s="2">
        <f t="shared" si="4"/>
        <v>15</v>
      </c>
      <c r="K10" s="53">
        <f>SUM(F2:G10)/M10</f>
        <v>12</v>
      </c>
      <c r="L10" s="53">
        <f>AVERAGE($H$2:H10)</f>
        <v>12</v>
      </c>
      <c r="M10" s="2">
        <v>9</v>
      </c>
    </row>
    <row r="11" spans="1:14" hidden="1" x14ac:dyDescent="0.25">
      <c r="A11" s="2" t="s">
        <v>104</v>
      </c>
      <c r="B11" s="2" t="str">
        <f t="shared" si="0"/>
        <v>2024</v>
      </c>
      <c r="C11" s="2" t="str">
        <f t="shared" si="1"/>
        <v>48</v>
      </c>
      <c r="D11" s="3">
        <f t="shared" si="5"/>
        <v>45621</v>
      </c>
      <c r="E11" s="3">
        <f t="shared" si="3"/>
        <v>45627</v>
      </c>
      <c r="F11" s="2">
        <v>2</v>
      </c>
      <c r="G11" s="2">
        <v>14</v>
      </c>
      <c r="H11" s="2">
        <f t="shared" si="2"/>
        <v>16</v>
      </c>
      <c r="I11" s="2">
        <f>COUNTIF('Fonte de Dados - Essentia'!C:C,"&lt;=45627")</f>
        <v>24</v>
      </c>
      <c r="J11" s="2">
        <f t="shared" si="4"/>
        <v>16</v>
      </c>
      <c r="K11" s="53">
        <f>SUM(F2:G11)/M11</f>
        <v>12.4</v>
      </c>
      <c r="L11" s="53">
        <f>AVERAGE($H$2:H11)</f>
        <v>12.4</v>
      </c>
      <c r="M11" s="2">
        <v>10</v>
      </c>
    </row>
    <row r="12" spans="1:14" hidden="1" x14ac:dyDescent="0.25">
      <c r="A12" s="2" t="s">
        <v>105</v>
      </c>
      <c r="B12" s="2" t="str">
        <f t="shared" si="0"/>
        <v>2024</v>
      </c>
      <c r="C12" s="2" t="str">
        <f t="shared" si="1"/>
        <v>49</v>
      </c>
      <c r="D12" s="3">
        <f t="shared" si="5"/>
        <v>45628</v>
      </c>
      <c r="E12" s="3">
        <f t="shared" si="3"/>
        <v>45634</v>
      </c>
      <c r="F12" s="2">
        <v>1</v>
      </c>
      <c r="G12" s="2">
        <v>13</v>
      </c>
      <c r="H12" s="2">
        <f t="shared" si="2"/>
        <v>14</v>
      </c>
      <c r="I12" s="2">
        <f>COUNTIF('Fonte de Dados - Essentia'!C:C,"&lt;=45634")</f>
        <v>26</v>
      </c>
      <c r="J12" s="2">
        <f t="shared" si="4"/>
        <v>14</v>
      </c>
      <c r="K12" s="53">
        <f>SUM(F2:G12)/M12</f>
        <v>12.545454545454545</v>
      </c>
      <c r="L12" s="53">
        <f>AVERAGE($H$2:H12)</f>
        <v>12.545454545454545</v>
      </c>
      <c r="M12" s="2">
        <v>11</v>
      </c>
    </row>
    <row r="13" spans="1:14" hidden="1" x14ac:dyDescent="0.25">
      <c r="A13" s="2" t="s">
        <v>106</v>
      </c>
      <c r="B13" s="2" t="str">
        <f t="shared" si="0"/>
        <v>2024</v>
      </c>
      <c r="C13" s="2" t="str">
        <f t="shared" si="1"/>
        <v>50</v>
      </c>
      <c r="D13" s="3">
        <f t="shared" si="5"/>
        <v>45635</v>
      </c>
      <c r="E13" s="3">
        <f t="shared" si="3"/>
        <v>45641</v>
      </c>
      <c r="F13" s="2">
        <v>1</v>
      </c>
      <c r="G13" s="2">
        <v>13</v>
      </c>
      <c r="H13" s="2">
        <f t="shared" si="2"/>
        <v>14</v>
      </c>
      <c r="I13" s="2">
        <f>COUNTIF('Fonte de Dados - Essentia'!C:C,"&lt;=45641")</f>
        <v>26</v>
      </c>
      <c r="J13" s="2">
        <f t="shared" si="4"/>
        <v>14</v>
      </c>
      <c r="K13" s="53">
        <f>SUM(F2:G13)/M13</f>
        <v>12.666666666666666</v>
      </c>
      <c r="L13" s="53">
        <f>AVERAGE($H$2:H13)</f>
        <v>12.666666666666666</v>
      </c>
      <c r="M13" s="2">
        <v>12</v>
      </c>
    </row>
    <row r="14" spans="1:14" hidden="1" x14ac:dyDescent="0.25">
      <c r="A14" s="2" t="s">
        <v>107</v>
      </c>
      <c r="B14" s="2" t="str">
        <f t="shared" si="0"/>
        <v>2024</v>
      </c>
      <c r="C14" s="2" t="str">
        <f t="shared" si="1"/>
        <v>51</v>
      </c>
      <c r="D14" s="3">
        <f t="shared" si="5"/>
        <v>45642</v>
      </c>
      <c r="E14" s="3">
        <f t="shared" si="3"/>
        <v>45648</v>
      </c>
      <c r="F14" s="2">
        <v>1</v>
      </c>
      <c r="G14" s="2">
        <v>12</v>
      </c>
      <c r="H14" s="2">
        <f t="shared" si="2"/>
        <v>13</v>
      </c>
      <c r="I14" s="2">
        <f>COUNTIF('Fonte de Dados - Essentia'!C:C,"&lt;=45648")</f>
        <v>27</v>
      </c>
      <c r="J14" s="2">
        <f t="shared" si="4"/>
        <v>13</v>
      </c>
      <c r="K14" s="53">
        <f>SUM(F2:G14)/M14</f>
        <v>12.692307692307692</v>
      </c>
      <c r="L14" s="53">
        <f>AVERAGE($H$2:H14)</f>
        <v>12.692307692307692</v>
      </c>
      <c r="M14" s="2">
        <v>13</v>
      </c>
    </row>
    <row r="15" spans="1:14" hidden="1" x14ac:dyDescent="0.25">
      <c r="A15" s="2" t="s">
        <v>108</v>
      </c>
      <c r="B15" s="2" t="str">
        <f t="shared" si="0"/>
        <v>2024</v>
      </c>
      <c r="C15" s="2" t="str">
        <f t="shared" si="1"/>
        <v>52</v>
      </c>
      <c r="D15" s="3">
        <f t="shared" si="5"/>
        <v>45649</v>
      </c>
      <c r="E15" s="3">
        <f t="shared" si="3"/>
        <v>45655</v>
      </c>
      <c r="F15" s="2">
        <v>1</v>
      </c>
      <c r="G15" s="2">
        <v>11</v>
      </c>
      <c r="H15" s="2">
        <f t="shared" si="2"/>
        <v>12</v>
      </c>
      <c r="I15" s="2">
        <f>COUNTIF('Fonte de Dados - Essentia'!C:C,"&lt;=45655")</f>
        <v>30</v>
      </c>
      <c r="J15" s="2">
        <f t="shared" si="4"/>
        <v>12</v>
      </c>
      <c r="K15" s="53">
        <f>SUM(F2:G15)/M15</f>
        <v>12.642857142857142</v>
      </c>
      <c r="L15" s="53">
        <f>AVERAGE($H$2:H15)</f>
        <v>12.642857142857142</v>
      </c>
      <c r="M15" s="2">
        <v>14</v>
      </c>
    </row>
    <row r="16" spans="1:14" x14ac:dyDescent="0.25">
      <c r="A16" s="2" t="s">
        <v>109</v>
      </c>
      <c r="B16" s="2" t="str">
        <f t="shared" si="0"/>
        <v>2025</v>
      </c>
      <c r="C16" s="2" t="str">
        <f t="shared" si="1"/>
        <v>01</v>
      </c>
      <c r="D16" s="3">
        <f>D15+7</f>
        <v>45656</v>
      </c>
      <c r="E16" s="3">
        <f t="shared" si="3"/>
        <v>45662</v>
      </c>
      <c r="F16" s="2">
        <v>2</v>
      </c>
      <c r="G16" s="2">
        <v>10</v>
      </c>
      <c r="H16" s="2">
        <f t="shared" si="2"/>
        <v>12</v>
      </c>
      <c r="I16" s="2">
        <f>COUNTIF('Fonte de Dados - Essentia'!C:C,"&lt;=45662")</f>
        <v>32</v>
      </c>
      <c r="J16" s="2">
        <f t="shared" si="4"/>
        <v>12</v>
      </c>
      <c r="K16" s="53">
        <f>SUM(F2:G16)/M16</f>
        <v>12.6</v>
      </c>
      <c r="L16" s="53">
        <f>AVERAGE(H16)</f>
        <v>12</v>
      </c>
      <c r="M16" s="2">
        <v>15</v>
      </c>
    </row>
    <row r="17" spans="1:13" x14ac:dyDescent="0.25">
      <c r="A17" s="2" t="s">
        <v>110</v>
      </c>
      <c r="B17" s="2" t="str">
        <f t="shared" si="0"/>
        <v>2025</v>
      </c>
      <c r="C17" s="2" t="str">
        <f t="shared" si="1"/>
        <v>02</v>
      </c>
      <c r="D17" s="3">
        <f t="shared" si="5"/>
        <v>45663</v>
      </c>
      <c r="E17" s="3">
        <f t="shared" si="3"/>
        <v>45669</v>
      </c>
      <c r="F17" s="2">
        <v>2</v>
      </c>
      <c r="G17" s="2">
        <v>9</v>
      </c>
      <c r="H17" s="2">
        <f t="shared" si="2"/>
        <v>11</v>
      </c>
      <c r="I17" s="2">
        <f>COUNTIF('Fonte de Dados - Essentia'!C:C,"&lt;=45669")</f>
        <v>33</v>
      </c>
      <c r="J17" s="2">
        <f t="shared" ref="J17:J27" si="6">SUM(F17:G17)</f>
        <v>11</v>
      </c>
      <c r="K17" s="53">
        <f>SUM(F2:G17)/M17</f>
        <v>12.5</v>
      </c>
      <c r="L17" s="53">
        <f>AVERAGE($H$16:H17)</f>
        <v>11.5</v>
      </c>
      <c r="M17" s="2">
        <v>16</v>
      </c>
    </row>
    <row r="18" spans="1:13" x14ac:dyDescent="0.25">
      <c r="A18" s="2" t="s">
        <v>111</v>
      </c>
      <c r="B18" s="2" t="str">
        <f t="shared" si="0"/>
        <v>2025</v>
      </c>
      <c r="C18" s="2" t="str">
        <f t="shared" si="1"/>
        <v>03</v>
      </c>
      <c r="D18" s="3">
        <f t="shared" si="5"/>
        <v>45670</v>
      </c>
      <c r="E18" s="3">
        <f t="shared" si="3"/>
        <v>45676</v>
      </c>
      <c r="F18" s="2">
        <v>2</v>
      </c>
      <c r="G18" s="2">
        <v>11</v>
      </c>
      <c r="H18" s="2">
        <f t="shared" si="2"/>
        <v>13</v>
      </c>
      <c r="I18" s="2">
        <f>COUNTIF('Fonte de Dados - Essentia'!C:C,"&lt;=45676")</f>
        <v>34</v>
      </c>
      <c r="J18" s="2">
        <f t="shared" si="6"/>
        <v>13</v>
      </c>
      <c r="K18" s="53">
        <f>SUM(F2:G18)/M18</f>
        <v>12.529411764705882</v>
      </c>
      <c r="L18" s="53">
        <f>AVERAGE($H$16:H18)</f>
        <v>12</v>
      </c>
      <c r="M18" s="2">
        <v>17</v>
      </c>
    </row>
    <row r="19" spans="1:13" x14ac:dyDescent="0.25">
      <c r="A19" s="2" t="s">
        <v>112</v>
      </c>
      <c r="B19" s="2" t="str">
        <f t="shared" si="0"/>
        <v>2025</v>
      </c>
      <c r="C19" s="2" t="str">
        <f t="shared" si="1"/>
        <v>04</v>
      </c>
      <c r="D19" s="3">
        <f t="shared" si="5"/>
        <v>45677</v>
      </c>
      <c r="E19" s="3">
        <f t="shared" si="3"/>
        <v>45683</v>
      </c>
      <c r="F19" s="2">
        <v>3</v>
      </c>
      <c r="G19" s="2">
        <v>12</v>
      </c>
      <c r="H19" s="2">
        <f t="shared" si="2"/>
        <v>15</v>
      </c>
      <c r="I19" s="2">
        <f>COUNTIF('Fonte de Dados - Essentia'!C:C,"&lt;=45683")</f>
        <v>35</v>
      </c>
      <c r="J19" s="2">
        <f t="shared" si="6"/>
        <v>15</v>
      </c>
      <c r="K19" s="53">
        <f>SUM(F2:G19)/M19</f>
        <v>12.666666666666666</v>
      </c>
      <c r="L19" s="53">
        <f>AVERAGE($H$16:H19)</f>
        <v>12.75</v>
      </c>
      <c r="M19" s="2">
        <v>18</v>
      </c>
    </row>
    <row r="20" spans="1:13" x14ac:dyDescent="0.25">
      <c r="A20" s="2" t="s">
        <v>113</v>
      </c>
      <c r="B20" s="2" t="str">
        <f t="shared" si="0"/>
        <v>2025</v>
      </c>
      <c r="C20" s="2" t="str">
        <f t="shared" si="1"/>
        <v>05</v>
      </c>
      <c r="D20" s="3">
        <f t="shared" si="5"/>
        <v>45684</v>
      </c>
      <c r="E20" s="3">
        <f t="shared" si="3"/>
        <v>45690</v>
      </c>
      <c r="F20" s="2">
        <v>3</v>
      </c>
      <c r="G20" s="2">
        <v>12</v>
      </c>
      <c r="H20" s="2">
        <f t="shared" si="2"/>
        <v>15</v>
      </c>
      <c r="I20" s="2">
        <f>COUNTIF('Fonte de Dados - Essentia'!C:C,"&lt;=45690")</f>
        <v>36</v>
      </c>
      <c r="J20" s="2">
        <f t="shared" si="6"/>
        <v>15</v>
      </c>
      <c r="K20" s="53">
        <f>SUM(F2:G20)/M20</f>
        <v>12.789473684210526</v>
      </c>
      <c r="L20" s="53">
        <f>AVERAGE($H$16:H20)</f>
        <v>13.2</v>
      </c>
      <c r="M20" s="2">
        <v>19</v>
      </c>
    </row>
    <row r="21" spans="1:13" x14ac:dyDescent="0.25">
      <c r="A21" s="2" t="s">
        <v>114</v>
      </c>
      <c r="B21" s="2" t="str">
        <f t="shared" si="0"/>
        <v>2025</v>
      </c>
      <c r="C21" s="2" t="str">
        <f t="shared" si="1"/>
        <v>06</v>
      </c>
      <c r="D21" s="3">
        <f t="shared" si="5"/>
        <v>45691</v>
      </c>
      <c r="E21" s="3">
        <f t="shared" si="3"/>
        <v>45697</v>
      </c>
      <c r="F21" s="2">
        <v>3</v>
      </c>
      <c r="G21" s="2">
        <v>10</v>
      </c>
      <c r="H21" s="2">
        <f t="shared" si="2"/>
        <v>13</v>
      </c>
      <c r="I21" s="2">
        <f>COUNTIF('Fonte de Dados - Essentia'!C:C,"&lt;=45697")</f>
        <v>43</v>
      </c>
      <c r="J21" s="2">
        <f t="shared" si="6"/>
        <v>13</v>
      </c>
      <c r="K21" s="53">
        <f>SUM(F2:G21)/M21</f>
        <v>12.8</v>
      </c>
      <c r="L21" s="53">
        <f>AVERAGE($H$16:H21)</f>
        <v>13.166666666666666</v>
      </c>
      <c r="M21" s="2">
        <v>20</v>
      </c>
    </row>
    <row r="22" spans="1:13" x14ac:dyDescent="0.25">
      <c r="A22" s="2" t="s">
        <v>115</v>
      </c>
      <c r="B22" s="2" t="str">
        <f t="shared" si="0"/>
        <v>2025</v>
      </c>
      <c r="C22" s="2" t="str">
        <f t="shared" si="1"/>
        <v>07</v>
      </c>
      <c r="D22" s="3">
        <f t="shared" si="5"/>
        <v>45698</v>
      </c>
      <c r="E22" s="3">
        <f t="shared" si="3"/>
        <v>45704</v>
      </c>
      <c r="F22" s="2">
        <v>3</v>
      </c>
      <c r="G22" s="2">
        <v>15</v>
      </c>
      <c r="H22" s="2">
        <f t="shared" si="2"/>
        <v>18</v>
      </c>
      <c r="I22" s="2">
        <f>COUNTIF('Fonte de Dados - Essentia'!C:C,"&lt;=45704")</f>
        <v>44</v>
      </c>
      <c r="J22" s="2">
        <f t="shared" si="6"/>
        <v>18</v>
      </c>
      <c r="K22" s="53">
        <f>SUM(F2:G22)/M22</f>
        <v>13.047619047619047</v>
      </c>
      <c r="L22" s="53">
        <f>AVERAGE($H$16:H22)</f>
        <v>13.857142857142858</v>
      </c>
      <c r="M22" s="2">
        <v>21</v>
      </c>
    </row>
    <row r="23" spans="1:13" x14ac:dyDescent="0.25">
      <c r="A23" s="2" t="s">
        <v>116</v>
      </c>
      <c r="B23" s="2" t="str">
        <f t="shared" si="0"/>
        <v>2025</v>
      </c>
      <c r="C23" s="2" t="str">
        <f t="shared" si="1"/>
        <v>08</v>
      </c>
      <c r="D23" s="3">
        <f t="shared" ref="D23:D86" si="7">D22+7</f>
        <v>45705</v>
      </c>
      <c r="E23" s="3">
        <f t="shared" si="3"/>
        <v>45711</v>
      </c>
      <c r="F23" s="2">
        <v>2</v>
      </c>
      <c r="G23" s="2">
        <v>13</v>
      </c>
      <c r="H23" s="2">
        <f t="shared" si="2"/>
        <v>15</v>
      </c>
      <c r="I23" s="2">
        <f>COUNTIF('Fonte de Dados - Essentia'!C:C,"&lt;=45711")</f>
        <v>49</v>
      </c>
      <c r="J23" s="2">
        <f t="shared" si="6"/>
        <v>15</v>
      </c>
      <c r="K23" s="53">
        <f>SUM(F2:G23)/M23</f>
        <v>13.136363636363637</v>
      </c>
      <c r="L23" s="53">
        <f>AVERAGE($H$16:H23)</f>
        <v>14</v>
      </c>
      <c r="M23" s="2">
        <v>22</v>
      </c>
    </row>
    <row r="24" spans="1:13" x14ac:dyDescent="0.25">
      <c r="A24" s="2" t="s">
        <v>117</v>
      </c>
      <c r="B24" s="2" t="str">
        <f t="shared" si="0"/>
        <v>2025</v>
      </c>
      <c r="C24" s="2" t="str">
        <f t="shared" si="1"/>
        <v>09</v>
      </c>
      <c r="D24" s="3">
        <f t="shared" si="7"/>
        <v>45712</v>
      </c>
      <c r="E24" s="3">
        <f t="shared" si="3"/>
        <v>45718</v>
      </c>
      <c r="F24" s="2">
        <v>2</v>
      </c>
      <c r="G24" s="2">
        <v>12</v>
      </c>
      <c r="H24" s="2">
        <f t="shared" si="2"/>
        <v>14</v>
      </c>
      <c r="I24" s="2">
        <f>COUNTIF('Fonte de Dados - Essentia'!C:C,"&lt;=45718")</f>
        <v>53</v>
      </c>
      <c r="J24" s="2">
        <f t="shared" si="6"/>
        <v>14</v>
      </c>
      <c r="K24" s="53">
        <f>SUM(F2:G24)/M24</f>
        <v>13.173913043478262</v>
      </c>
      <c r="L24" s="53">
        <f>AVERAGE($H$16:H24)</f>
        <v>14</v>
      </c>
      <c r="M24" s="2">
        <v>23</v>
      </c>
    </row>
    <row r="25" spans="1:13" x14ac:dyDescent="0.25">
      <c r="A25" s="2" t="s">
        <v>118</v>
      </c>
      <c r="B25" s="2" t="str">
        <f t="shared" si="0"/>
        <v>2025</v>
      </c>
      <c r="C25" s="2" t="str">
        <f t="shared" si="1"/>
        <v>10</v>
      </c>
      <c r="D25" s="3">
        <f t="shared" si="7"/>
        <v>45719</v>
      </c>
      <c r="E25" s="3">
        <f t="shared" si="3"/>
        <v>45725</v>
      </c>
      <c r="F25" s="2">
        <v>2</v>
      </c>
      <c r="G25" s="2">
        <v>11</v>
      </c>
      <c r="H25" s="2">
        <f t="shared" si="2"/>
        <v>13</v>
      </c>
      <c r="I25" s="2">
        <f>COUNTIF('Fonte de Dados - Essentia'!C:C,"&lt;=45725")</f>
        <v>55</v>
      </c>
      <c r="J25" s="2">
        <f t="shared" si="6"/>
        <v>13</v>
      </c>
      <c r="K25" s="53">
        <f>SUM(F2:G25)/M25</f>
        <v>13.166666666666666</v>
      </c>
      <c r="L25" s="53">
        <f>AVERAGE($H$16:H25)</f>
        <v>13.9</v>
      </c>
      <c r="M25" s="2">
        <v>24</v>
      </c>
    </row>
    <row r="26" spans="1:13" x14ac:dyDescent="0.25">
      <c r="A26" s="2" t="s">
        <v>119</v>
      </c>
      <c r="B26" s="2" t="str">
        <f t="shared" si="0"/>
        <v>2025</v>
      </c>
      <c r="C26" s="2" t="str">
        <f t="shared" si="1"/>
        <v>11</v>
      </c>
      <c r="D26" s="3">
        <f t="shared" si="7"/>
        <v>45726</v>
      </c>
      <c r="E26" s="3">
        <f t="shared" si="3"/>
        <v>45732</v>
      </c>
      <c r="F26" s="2">
        <v>2</v>
      </c>
      <c r="G26" s="2">
        <v>10</v>
      </c>
      <c r="H26" s="2">
        <f t="shared" si="2"/>
        <v>12</v>
      </c>
      <c r="I26" s="2">
        <f>COUNTIF('Fonte de Dados - Essentia'!C:C,"&lt;=45732")</f>
        <v>57</v>
      </c>
      <c r="J26" s="2">
        <f t="shared" si="6"/>
        <v>12</v>
      </c>
      <c r="K26" s="53">
        <f>SUM(F2:G26)/M26</f>
        <v>13.12</v>
      </c>
      <c r="L26" s="53">
        <f>AVERAGE($H$16:H26)</f>
        <v>13.727272727272727</v>
      </c>
      <c r="M26" s="2">
        <v>25</v>
      </c>
    </row>
    <row r="27" spans="1:13" x14ac:dyDescent="0.25">
      <c r="A27" s="2" t="s">
        <v>120</v>
      </c>
      <c r="B27" s="2" t="str">
        <f t="shared" si="0"/>
        <v>2025</v>
      </c>
      <c r="C27" s="2" t="str">
        <f t="shared" si="1"/>
        <v>12</v>
      </c>
      <c r="D27" s="3">
        <f t="shared" si="7"/>
        <v>45733</v>
      </c>
      <c r="E27" s="3">
        <f t="shared" si="3"/>
        <v>45739</v>
      </c>
      <c r="F27" s="2">
        <v>2</v>
      </c>
      <c r="G27" s="2">
        <v>12</v>
      </c>
      <c r="H27" s="2">
        <f t="shared" si="2"/>
        <v>14</v>
      </c>
      <c r="I27" s="2">
        <f>COUNTIF('Fonte de Dados - Essentia'!C:C,"&lt;=45739")</f>
        <v>60</v>
      </c>
      <c r="J27" s="2">
        <f t="shared" si="6"/>
        <v>14</v>
      </c>
      <c r="K27" s="53">
        <f>SUM(F2:G27)/M27</f>
        <v>13.153846153846153</v>
      </c>
      <c r="L27" s="53">
        <f>AVERAGE($H$16:H27)</f>
        <v>13.75</v>
      </c>
      <c r="M27" s="2">
        <v>26</v>
      </c>
    </row>
    <row r="28" spans="1:13" x14ac:dyDescent="0.25">
      <c r="A28" s="2" t="s">
        <v>121</v>
      </c>
      <c r="B28" s="2" t="str">
        <f t="shared" si="0"/>
        <v>2025</v>
      </c>
      <c r="C28" s="2" t="str">
        <f t="shared" si="1"/>
        <v>13</v>
      </c>
      <c r="D28" s="3">
        <f t="shared" si="7"/>
        <v>45740</v>
      </c>
      <c r="E28" s="3">
        <f t="shared" si="3"/>
        <v>45746</v>
      </c>
      <c r="F28" s="2">
        <v>2</v>
      </c>
      <c r="G28" s="2">
        <v>11</v>
      </c>
      <c r="H28" s="2">
        <f t="shared" si="2"/>
        <v>13</v>
      </c>
      <c r="I28" s="2">
        <f>COUNTIF('Fonte de Dados - Essentia'!C:C,"&lt;=45746")</f>
        <v>61</v>
      </c>
      <c r="J28" s="2">
        <f t="shared" ref="J28:J91" si="8">SUM(F28:G28)</f>
        <v>13</v>
      </c>
      <c r="K28" s="53">
        <f>SUM(F2:G28)/M28</f>
        <v>13.148148148148149</v>
      </c>
      <c r="L28" s="53">
        <f>AVERAGE($H$16:H28)</f>
        <v>13.692307692307692</v>
      </c>
      <c r="M28" s="2">
        <v>27</v>
      </c>
    </row>
    <row r="29" spans="1:13" x14ac:dyDescent="0.25">
      <c r="A29" s="2" t="s">
        <v>122</v>
      </c>
      <c r="B29" s="2" t="str">
        <f t="shared" si="0"/>
        <v>2025</v>
      </c>
      <c r="C29" s="2" t="str">
        <f t="shared" si="1"/>
        <v>14</v>
      </c>
      <c r="D29" s="3">
        <f t="shared" si="7"/>
        <v>45747</v>
      </c>
      <c r="E29" s="3">
        <f t="shared" si="3"/>
        <v>45753</v>
      </c>
      <c r="F29" s="2">
        <v>2</v>
      </c>
      <c r="G29" s="2">
        <v>10</v>
      </c>
      <c r="H29" s="2">
        <f t="shared" si="2"/>
        <v>12</v>
      </c>
      <c r="I29" s="2">
        <f>COUNTIF('Fonte de Dados - Essentia'!C:C,"&lt;=45753")</f>
        <v>62</v>
      </c>
      <c r="J29" s="2">
        <f t="shared" si="8"/>
        <v>12</v>
      </c>
      <c r="K29" s="53">
        <f>SUM(F2:G29)/M29</f>
        <v>13.107142857142858</v>
      </c>
      <c r="L29" s="53">
        <f>AVERAGE($H$16:H29)</f>
        <v>13.571428571428571</v>
      </c>
      <c r="M29" s="2">
        <v>28</v>
      </c>
    </row>
    <row r="30" spans="1:13" x14ac:dyDescent="0.25">
      <c r="A30" s="2" t="s">
        <v>123</v>
      </c>
      <c r="B30" s="2" t="str">
        <f t="shared" si="0"/>
        <v>2025</v>
      </c>
      <c r="C30" s="2" t="str">
        <f t="shared" si="1"/>
        <v>15</v>
      </c>
      <c r="D30" s="3">
        <f t="shared" si="7"/>
        <v>45754</v>
      </c>
      <c r="E30" s="3">
        <f t="shared" si="3"/>
        <v>45760</v>
      </c>
      <c r="F30" s="2">
        <v>2</v>
      </c>
      <c r="G30" s="2">
        <v>11</v>
      </c>
      <c r="H30" s="2">
        <f t="shared" si="2"/>
        <v>13</v>
      </c>
      <c r="I30" s="2">
        <f>COUNTIF('Fonte de Dados - Essentia'!C:C,"&lt;=45760")</f>
        <v>65</v>
      </c>
      <c r="J30" s="2">
        <f t="shared" si="8"/>
        <v>13</v>
      </c>
      <c r="K30" s="53">
        <f>SUM(F2:G30)/M30</f>
        <v>13.103448275862069</v>
      </c>
      <c r="L30" s="53">
        <f>AVERAGE($H$16:H30)</f>
        <v>13.533333333333333</v>
      </c>
      <c r="M30" s="2">
        <v>29</v>
      </c>
    </row>
    <row r="31" spans="1:13" x14ac:dyDescent="0.25">
      <c r="A31" s="2" t="s">
        <v>124</v>
      </c>
      <c r="B31" s="2" t="str">
        <f t="shared" si="0"/>
        <v>2025</v>
      </c>
      <c r="C31" s="2" t="str">
        <f t="shared" si="1"/>
        <v>16</v>
      </c>
      <c r="D31" s="3">
        <f t="shared" si="7"/>
        <v>45761</v>
      </c>
      <c r="E31" s="3">
        <f t="shared" si="3"/>
        <v>45767</v>
      </c>
      <c r="F31" s="2">
        <v>2</v>
      </c>
      <c r="G31" s="2">
        <v>12</v>
      </c>
      <c r="H31" s="2">
        <f t="shared" si="2"/>
        <v>14</v>
      </c>
      <c r="I31" s="2">
        <f>COUNTIF('Fonte de Dados - Essentia'!C:C,"&lt;=45767")</f>
        <v>69</v>
      </c>
      <c r="J31" s="2">
        <f t="shared" si="8"/>
        <v>14</v>
      </c>
      <c r="K31" s="53">
        <f>SUM(F2:G31)/M31</f>
        <v>13.133333333333333</v>
      </c>
      <c r="L31" s="53">
        <f>AVERAGE($H$16:H31)</f>
        <v>13.5625</v>
      </c>
      <c r="M31" s="2">
        <v>30</v>
      </c>
    </row>
    <row r="32" spans="1:13" x14ac:dyDescent="0.25">
      <c r="A32" s="2" t="s">
        <v>125</v>
      </c>
      <c r="B32" s="2" t="str">
        <f t="shared" si="0"/>
        <v>2025</v>
      </c>
      <c r="C32" s="2" t="str">
        <f t="shared" si="1"/>
        <v>17</v>
      </c>
      <c r="D32" s="3">
        <f t="shared" si="7"/>
        <v>45768</v>
      </c>
      <c r="E32" s="3">
        <f t="shared" si="3"/>
        <v>45774</v>
      </c>
      <c r="F32" s="2">
        <v>1</v>
      </c>
      <c r="G32" s="2">
        <v>15</v>
      </c>
      <c r="H32" s="2">
        <f t="shared" si="2"/>
        <v>16</v>
      </c>
      <c r="I32" s="2">
        <f>COUNTIF('Fonte de Dados - Essentia'!C:C,"&lt;=45774")</f>
        <v>69</v>
      </c>
      <c r="J32" s="2">
        <f>SUM(F32:G32)</f>
        <v>16</v>
      </c>
      <c r="K32" s="53">
        <f>SUM(F2:G32)/M32</f>
        <v>13.225806451612904</v>
      </c>
      <c r="L32" s="53">
        <f>AVERAGE($H$16:H32)</f>
        <v>13.705882352941176</v>
      </c>
      <c r="M32" s="2">
        <v>31</v>
      </c>
    </row>
    <row r="33" spans="1:13" x14ac:dyDescent="0.25">
      <c r="A33" s="2" t="s">
        <v>126</v>
      </c>
      <c r="B33" s="2" t="str">
        <f t="shared" si="0"/>
        <v>2025</v>
      </c>
      <c r="C33" s="2" t="str">
        <f t="shared" si="1"/>
        <v>18</v>
      </c>
      <c r="D33" s="3">
        <f t="shared" si="7"/>
        <v>45775</v>
      </c>
      <c r="E33" s="3">
        <f t="shared" si="3"/>
        <v>45781</v>
      </c>
      <c r="F33" s="2">
        <v>1</v>
      </c>
      <c r="G33" s="2">
        <v>13</v>
      </c>
      <c r="H33" s="2">
        <f t="shared" si="2"/>
        <v>14</v>
      </c>
      <c r="I33" s="2">
        <f>COUNTIF('Fonte de Dados - Essentia'!C:C,"&lt;=45781")</f>
        <v>70</v>
      </c>
      <c r="J33" s="2">
        <f t="shared" si="8"/>
        <v>14</v>
      </c>
      <c r="K33" s="53">
        <f>SUM(F2:G33)/M33</f>
        <v>13.25</v>
      </c>
      <c r="L33" s="53">
        <f>AVERAGE($H$16:H33)</f>
        <v>13.722222222222221</v>
      </c>
      <c r="M33" s="2">
        <v>32</v>
      </c>
    </row>
    <row r="34" spans="1:13" x14ac:dyDescent="0.25">
      <c r="A34" s="2" t="s">
        <v>127</v>
      </c>
      <c r="B34" s="2" t="str">
        <f t="shared" ref="B34:B65" si="9">LEFT(A34,4)</f>
        <v>2025</v>
      </c>
      <c r="C34" s="2" t="str">
        <f t="shared" ref="C34:C65" si="10">RIGHT(A34,2)</f>
        <v>19</v>
      </c>
      <c r="D34" s="3">
        <f t="shared" si="7"/>
        <v>45782</v>
      </c>
      <c r="E34" s="3">
        <f t="shared" si="3"/>
        <v>45788</v>
      </c>
      <c r="F34" s="2">
        <v>1</v>
      </c>
      <c r="G34" s="2">
        <v>13</v>
      </c>
      <c r="H34" s="2">
        <f t="shared" ref="H34:H65" si="11">F34+G34</f>
        <v>14</v>
      </c>
      <c r="I34" s="2">
        <f>COUNTIF('Fonte de Dados - Essentia'!C:C,"&lt;=45788")</f>
        <v>72</v>
      </c>
      <c r="J34" s="2">
        <f t="shared" si="8"/>
        <v>14</v>
      </c>
      <c r="K34" s="53">
        <f>SUM(F3:G34)/M34</f>
        <v>13.030303030303031</v>
      </c>
      <c r="L34" s="53">
        <f>AVERAGE($H$16:H34)</f>
        <v>13.736842105263158</v>
      </c>
      <c r="M34" s="2">
        <v>33</v>
      </c>
    </row>
    <row r="35" spans="1:13" x14ac:dyDescent="0.25">
      <c r="A35" s="2" t="s">
        <v>128</v>
      </c>
      <c r="B35" s="2" t="str">
        <f t="shared" si="9"/>
        <v>2025</v>
      </c>
      <c r="C35" s="2" t="str">
        <f t="shared" si="10"/>
        <v>20</v>
      </c>
      <c r="D35" s="3">
        <f t="shared" si="7"/>
        <v>45789</v>
      </c>
      <c r="E35" s="3">
        <f t="shared" si="3"/>
        <v>45795</v>
      </c>
      <c r="F35" s="2">
        <v>0</v>
      </c>
      <c r="G35" s="2">
        <v>9</v>
      </c>
      <c r="H35" s="2">
        <f t="shared" si="11"/>
        <v>9</v>
      </c>
      <c r="I35" s="2">
        <f>COUNTIF('Fonte de Dados - Essentia'!C:C,"&lt;=45795")</f>
        <v>74</v>
      </c>
      <c r="J35" s="2">
        <f t="shared" si="8"/>
        <v>9</v>
      </c>
      <c r="K35" s="53">
        <f>SUM(F2:G35)/M35</f>
        <v>13.147058823529411</v>
      </c>
      <c r="L35" s="53">
        <f>AVERAGE($H$16:H35)</f>
        <v>13.5</v>
      </c>
      <c r="M35" s="2">
        <v>34</v>
      </c>
    </row>
    <row r="36" spans="1:13" x14ac:dyDescent="0.25">
      <c r="A36" s="2" t="s">
        <v>129</v>
      </c>
      <c r="B36" s="2" t="str">
        <f t="shared" si="9"/>
        <v>2025</v>
      </c>
      <c r="C36" s="2" t="str">
        <f t="shared" si="10"/>
        <v>21</v>
      </c>
      <c r="D36" s="3">
        <f t="shared" si="7"/>
        <v>45796</v>
      </c>
      <c r="E36" s="3">
        <f t="shared" si="3"/>
        <v>45802</v>
      </c>
      <c r="F36" s="2">
        <v>1</v>
      </c>
      <c r="G36" s="2">
        <v>10</v>
      </c>
      <c r="H36" s="2">
        <f t="shared" si="11"/>
        <v>11</v>
      </c>
      <c r="I36" s="2">
        <f>COUNTIF('Fonte de Dados - Essentia'!C:C,"&lt;=45802")</f>
        <v>76</v>
      </c>
      <c r="J36" s="2">
        <f t="shared" si="8"/>
        <v>11</v>
      </c>
      <c r="K36" s="53">
        <f>SUM(F2:G36)/M36</f>
        <v>13.085714285714285</v>
      </c>
      <c r="L36" s="53">
        <f>AVERAGE($H$16:H36)</f>
        <v>13.380952380952381</v>
      </c>
      <c r="M36" s="2">
        <v>35</v>
      </c>
    </row>
    <row r="37" spans="1:13" x14ac:dyDescent="0.25">
      <c r="A37" s="2" t="s">
        <v>130</v>
      </c>
      <c r="B37" s="2" t="str">
        <f t="shared" si="9"/>
        <v>2025</v>
      </c>
      <c r="C37" s="2" t="str">
        <f t="shared" si="10"/>
        <v>22</v>
      </c>
      <c r="D37" s="3">
        <f t="shared" si="7"/>
        <v>45803</v>
      </c>
      <c r="E37" s="3">
        <f t="shared" si="3"/>
        <v>45809</v>
      </c>
      <c r="F37" s="2">
        <v>1</v>
      </c>
      <c r="G37" s="2">
        <v>11</v>
      </c>
      <c r="H37" s="2">
        <f t="shared" si="11"/>
        <v>12</v>
      </c>
      <c r="I37" s="2">
        <f>COUNTIF('Fonte de Dados - Essentia'!C:C,"&lt;=45809")</f>
        <v>76</v>
      </c>
      <c r="J37" s="2">
        <f t="shared" si="8"/>
        <v>12</v>
      </c>
      <c r="K37" s="53">
        <f>SUM(F2:G37)/M37</f>
        <v>13.055555555555555</v>
      </c>
      <c r="L37" s="53">
        <f>AVERAGE($H$16:H37)</f>
        <v>13.318181818181818</v>
      </c>
      <c r="M37" s="2">
        <v>36</v>
      </c>
    </row>
    <row r="38" spans="1:13" x14ac:dyDescent="0.25">
      <c r="A38" s="2" t="s">
        <v>131</v>
      </c>
      <c r="B38" s="2" t="str">
        <f t="shared" si="9"/>
        <v>2025</v>
      </c>
      <c r="C38" s="2" t="str">
        <f t="shared" si="10"/>
        <v>23</v>
      </c>
      <c r="D38" s="3">
        <f t="shared" si="7"/>
        <v>45810</v>
      </c>
      <c r="E38" s="3">
        <f t="shared" si="3"/>
        <v>45816</v>
      </c>
      <c r="F38" s="2">
        <v>2</v>
      </c>
      <c r="G38" s="2">
        <v>9</v>
      </c>
      <c r="H38" s="2">
        <f t="shared" si="11"/>
        <v>11</v>
      </c>
      <c r="I38" s="2">
        <f>COUNTIF('Fonte de Dados - Essentia'!C:C,"&lt;=45816")</f>
        <v>78</v>
      </c>
      <c r="J38" s="2">
        <f t="shared" si="8"/>
        <v>11</v>
      </c>
      <c r="K38" s="53">
        <f>SUM(F2:G38)/M38</f>
        <v>13</v>
      </c>
      <c r="L38" s="53">
        <f>AVERAGE($H$16:H38)</f>
        <v>13.217391304347826</v>
      </c>
      <c r="M38" s="2">
        <v>37</v>
      </c>
    </row>
    <row r="39" spans="1:13" x14ac:dyDescent="0.25">
      <c r="A39" s="2" t="s">
        <v>132</v>
      </c>
      <c r="B39" s="2" t="str">
        <f t="shared" si="9"/>
        <v>2025</v>
      </c>
      <c r="C39" s="2" t="str">
        <f t="shared" si="10"/>
        <v>24</v>
      </c>
      <c r="D39" s="3">
        <f t="shared" si="7"/>
        <v>45817</v>
      </c>
      <c r="E39" s="3">
        <f t="shared" si="3"/>
        <v>45823</v>
      </c>
      <c r="F39" s="2">
        <v>1</v>
      </c>
      <c r="G39" s="2">
        <v>10</v>
      </c>
      <c r="H39" s="2">
        <f t="shared" si="11"/>
        <v>11</v>
      </c>
      <c r="I39" s="2">
        <f>COUNTIF('Fonte de Dados - Essentia'!C:C,"&lt;=45823")</f>
        <v>87</v>
      </c>
      <c r="J39" s="2">
        <f t="shared" si="8"/>
        <v>11</v>
      </c>
      <c r="K39" s="53">
        <f>SUM(F2:G39)/M39</f>
        <v>12.947368421052632</v>
      </c>
      <c r="L39" s="53">
        <f>AVERAGE($H$16:H39)</f>
        <v>13.125</v>
      </c>
      <c r="M39" s="2">
        <v>38</v>
      </c>
    </row>
    <row r="40" spans="1:13" x14ac:dyDescent="0.25">
      <c r="A40" s="2" t="s">
        <v>133</v>
      </c>
      <c r="B40" s="2" t="str">
        <f t="shared" si="9"/>
        <v>2025</v>
      </c>
      <c r="C40" s="2" t="str">
        <f t="shared" si="10"/>
        <v>25</v>
      </c>
      <c r="D40" s="3">
        <f t="shared" si="7"/>
        <v>45824</v>
      </c>
      <c r="E40" s="3">
        <f t="shared" si="3"/>
        <v>45830</v>
      </c>
      <c r="F40" s="2">
        <v>1</v>
      </c>
      <c r="G40" s="2">
        <v>16</v>
      </c>
      <c r="H40" s="2">
        <f t="shared" si="11"/>
        <v>17</v>
      </c>
      <c r="I40" s="2">
        <f>COUNTIF('Fonte de Dados - Essentia'!C:C,"&lt;=45830")</f>
        <v>87</v>
      </c>
      <c r="J40" s="2">
        <f t="shared" si="8"/>
        <v>17</v>
      </c>
      <c r="K40" s="53">
        <f>SUM(F2:G40)/M40</f>
        <v>13.051282051282051</v>
      </c>
      <c r="L40" s="53">
        <f>AVERAGE($H$16:H40)</f>
        <v>13.28</v>
      </c>
      <c r="M40" s="2">
        <v>39</v>
      </c>
    </row>
    <row r="41" spans="1:13" x14ac:dyDescent="0.25">
      <c r="A41" s="2" t="s">
        <v>134</v>
      </c>
      <c r="B41" s="2" t="str">
        <f t="shared" si="9"/>
        <v>2025</v>
      </c>
      <c r="C41" s="2" t="str">
        <f t="shared" si="10"/>
        <v>26</v>
      </c>
      <c r="D41" s="3">
        <f t="shared" si="7"/>
        <v>45831</v>
      </c>
      <c r="E41" s="3">
        <f t="shared" si="3"/>
        <v>45837</v>
      </c>
      <c r="F41" s="2">
        <v>1</v>
      </c>
      <c r="G41" s="2">
        <v>17</v>
      </c>
      <c r="H41" s="2">
        <f t="shared" si="11"/>
        <v>18</v>
      </c>
      <c r="I41" s="2">
        <v>88</v>
      </c>
      <c r="J41" s="2">
        <f t="shared" si="8"/>
        <v>18</v>
      </c>
      <c r="K41" s="53">
        <f>SUM(F2:G41)/M41</f>
        <v>13.175000000000001</v>
      </c>
      <c r="L41" s="53">
        <f>AVERAGE($H$16:H41)</f>
        <v>13.461538461538462</v>
      </c>
      <c r="M41" s="2">
        <v>40</v>
      </c>
    </row>
    <row r="42" spans="1:13" x14ac:dyDescent="0.25">
      <c r="A42" s="2" t="s">
        <v>135</v>
      </c>
      <c r="B42" s="2" t="str">
        <f t="shared" si="9"/>
        <v>2025</v>
      </c>
      <c r="C42" s="2" t="str">
        <f t="shared" si="10"/>
        <v>27</v>
      </c>
      <c r="D42" s="3">
        <f t="shared" si="7"/>
        <v>45838</v>
      </c>
      <c r="E42" s="3">
        <f t="shared" si="3"/>
        <v>45844</v>
      </c>
      <c r="F42" s="2">
        <v>1</v>
      </c>
      <c r="G42" s="2">
        <v>17</v>
      </c>
      <c r="H42" s="2">
        <f t="shared" si="11"/>
        <v>18</v>
      </c>
      <c r="I42" s="2">
        <f>COUNTIF('Fonte de Dados - Essentia'!C:C,"&lt;=45844")</f>
        <v>90</v>
      </c>
      <c r="J42" s="2">
        <f t="shared" si="8"/>
        <v>18</v>
      </c>
      <c r="K42" s="53">
        <f>SUM(F2:G42)/M42</f>
        <v>13.292682926829269</v>
      </c>
      <c r="L42" s="53">
        <f>AVERAGE($H$16:H42)</f>
        <v>13.62962962962963</v>
      </c>
      <c r="M42" s="2">
        <v>41</v>
      </c>
    </row>
    <row r="43" spans="1:13" x14ac:dyDescent="0.25">
      <c r="A43" s="2" t="s">
        <v>136</v>
      </c>
      <c r="B43" s="2" t="str">
        <f t="shared" si="9"/>
        <v>2025</v>
      </c>
      <c r="C43" s="2" t="str">
        <f t="shared" si="10"/>
        <v>28</v>
      </c>
      <c r="D43" s="3">
        <f t="shared" si="7"/>
        <v>45845</v>
      </c>
      <c r="E43" s="3">
        <f t="shared" si="3"/>
        <v>45851</v>
      </c>
      <c r="F43" s="2">
        <v>1</v>
      </c>
      <c r="G43" s="2">
        <v>15</v>
      </c>
      <c r="H43" s="2">
        <f t="shared" si="11"/>
        <v>16</v>
      </c>
      <c r="I43" s="2">
        <f>COUNTIF('Fonte de Dados - Essentia'!C:C,"&lt;=45851")</f>
        <v>91</v>
      </c>
      <c r="J43" s="2">
        <f t="shared" si="8"/>
        <v>16</v>
      </c>
      <c r="K43" s="53">
        <f>SUM(F2:G43)/M43</f>
        <v>13.357142857142858</v>
      </c>
      <c r="L43" s="53">
        <f>AVERAGE($H$16:H43)</f>
        <v>13.714285714285714</v>
      </c>
      <c r="M43" s="2">
        <v>42</v>
      </c>
    </row>
    <row r="44" spans="1:13" x14ac:dyDescent="0.25">
      <c r="A44" s="2" t="s">
        <v>137</v>
      </c>
      <c r="B44" s="2" t="str">
        <f t="shared" si="9"/>
        <v>2025</v>
      </c>
      <c r="C44" s="2" t="str">
        <f t="shared" si="10"/>
        <v>29</v>
      </c>
      <c r="D44" s="3">
        <f t="shared" si="7"/>
        <v>45852</v>
      </c>
      <c r="E44" s="3">
        <f t="shared" ref="E44:E58" si="12">D44+6</f>
        <v>45858</v>
      </c>
      <c r="F44" s="2">
        <v>1</v>
      </c>
      <c r="G44" s="2">
        <v>11</v>
      </c>
      <c r="H44" s="2">
        <f t="shared" si="11"/>
        <v>12</v>
      </c>
      <c r="I44" s="2">
        <f>COUNTIF('Fonte de Dados - Essentia'!C:C,"&lt;=45858")</f>
        <v>93</v>
      </c>
      <c r="J44" s="2">
        <f t="shared" si="8"/>
        <v>12</v>
      </c>
      <c r="K44" s="53">
        <f>SUM(F2:G44)/M44</f>
        <v>13.325581395348838</v>
      </c>
      <c r="L44" s="53">
        <f>AVERAGE($H$16:H44)</f>
        <v>13.655172413793103</v>
      </c>
      <c r="M44" s="2">
        <v>43</v>
      </c>
    </row>
    <row r="45" spans="1:13" x14ac:dyDescent="0.25">
      <c r="A45" s="2" t="s">
        <v>138</v>
      </c>
      <c r="B45" s="2" t="str">
        <f t="shared" si="9"/>
        <v>2025</v>
      </c>
      <c r="C45" s="2" t="str">
        <f t="shared" si="10"/>
        <v>30</v>
      </c>
      <c r="D45" s="3">
        <f t="shared" si="7"/>
        <v>45859</v>
      </c>
      <c r="E45" s="3">
        <f t="shared" si="12"/>
        <v>45865</v>
      </c>
      <c r="F45" s="2">
        <v>1</v>
      </c>
      <c r="G45" s="2">
        <v>9</v>
      </c>
      <c r="H45" s="2">
        <f t="shared" si="11"/>
        <v>10</v>
      </c>
      <c r="I45" s="2">
        <f>COUNTIF('Fonte de Dados - Essentia'!C:C,"&lt;=45865")</f>
        <v>93</v>
      </c>
      <c r="J45" s="2">
        <f t="shared" si="8"/>
        <v>10</v>
      </c>
      <c r="K45" s="53">
        <f>SUM(F2:G45)/M45</f>
        <v>13.25</v>
      </c>
      <c r="L45" s="53">
        <f>AVERAGE($H$16:H45)</f>
        <v>13.533333333333333</v>
      </c>
      <c r="M45" s="2">
        <v>44</v>
      </c>
    </row>
    <row r="46" spans="1:13" x14ac:dyDescent="0.25">
      <c r="A46" s="2" t="s">
        <v>139</v>
      </c>
      <c r="B46" s="2" t="str">
        <f t="shared" si="9"/>
        <v>2025</v>
      </c>
      <c r="C46" s="2" t="str">
        <f t="shared" si="10"/>
        <v>31</v>
      </c>
      <c r="D46" s="3">
        <f t="shared" si="7"/>
        <v>45866</v>
      </c>
      <c r="E46" s="3">
        <f t="shared" si="12"/>
        <v>45872</v>
      </c>
      <c r="F46" s="2">
        <v>0</v>
      </c>
      <c r="G46" s="2">
        <v>7</v>
      </c>
      <c r="H46" s="2">
        <f t="shared" si="11"/>
        <v>7</v>
      </c>
      <c r="I46" s="2">
        <f>COUNTIF('Fonte de Dados - Essentia'!C:C,"&lt;=45872")</f>
        <v>94</v>
      </c>
      <c r="J46" s="2">
        <f t="shared" si="8"/>
        <v>7</v>
      </c>
      <c r="K46" s="53">
        <f>SUM(F2:G46)/M46</f>
        <v>13.111111111111111</v>
      </c>
      <c r="L46" s="53">
        <f>AVERAGE($H$16:H46)</f>
        <v>13.32258064516129</v>
      </c>
      <c r="M46" s="2">
        <v>45</v>
      </c>
    </row>
    <row r="47" spans="1:13" x14ac:dyDescent="0.25">
      <c r="A47" s="2" t="s">
        <v>140</v>
      </c>
      <c r="B47" s="2" t="str">
        <f t="shared" si="9"/>
        <v>2025</v>
      </c>
      <c r="C47" s="2" t="str">
        <f t="shared" si="10"/>
        <v>32</v>
      </c>
      <c r="D47" s="3">
        <f t="shared" si="7"/>
        <v>45873</v>
      </c>
      <c r="E47" s="3">
        <f t="shared" si="12"/>
        <v>45879</v>
      </c>
      <c r="F47" s="2">
        <v>0</v>
      </c>
      <c r="G47" s="2">
        <v>8</v>
      </c>
      <c r="H47" s="2">
        <f t="shared" si="11"/>
        <v>8</v>
      </c>
      <c r="I47" s="2">
        <f>COUNTIF('Fonte de Dados - Essentia'!C:C,"&lt;=45879")</f>
        <v>96</v>
      </c>
      <c r="J47" s="2">
        <f t="shared" si="8"/>
        <v>8</v>
      </c>
      <c r="K47" s="53">
        <f>SUM(F2:G47)/M47</f>
        <v>13</v>
      </c>
      <c r="L47" s="53">
        <f>AVERAGE($H$16:H47)</f>
        <v>13.15625</v>
      </c>
      <c r="M47" s="2">
        <v>46</v>
      </c>
    </row>
    <row r="48" spans="1:13" x14ac:dyDescent="0.25">
      <c r="A48" s="2" t="s">
        <v>141</v>
      </c>
      <c r="B48" s="2" t="str">
        <f t="shared" si="9"/>
        <v>2025</v>
      </c>
      <c r="C48" s="2" t="str">
        <f t="shared" si="10"/>
        <v>33</v>
      </c>
      <c r="D48" s="3">
        <f t="shared" si="7"/>
        <v>45880</v>
      </c>
      <c r="E48" s="3">
        <f t="shared" si="12"/>
        <v>45886</v>
      </c>
      <c r="F48" s="2">
        <v>0</v>
      </c>
      <c r="G48" s="2">
        <v>7</v>
      </c>
      <c r="H48" s="2">
        <f t="shared" si="11"/>
        <v>7</v>
      </c>
      <c r="I48" s="2">
        <f>COUNTIF('Fonte de Dados - Essentia'!C:C,"&lt;=45886")</f>
        <v>97</v>
      </c>
      <c r="J48" s="2">
        <f t="shared" si="8"/>
        <v>7</v>
      </c>
      <c r="K48" s="53">
        <f>SUM(F2:G48)/M48</f>
        <v>12.872340425531915</v>
      </c>
      <c r="L48" s="53">
        <f>AVERAGE($H$16:H48)</f>
        <v>12.969696969696969</v>
      </c>
      <c r="M48" s="2">
        <v>47</v>
      </c>
    </row>
    <row r="49" spans="1:13" x14ac:dyDescent="0.25">
      <c r="A49" s="2" t="s">
        <v>142</v>
      </c>
      <c r="B49" s="2" t="str">
        <f t="shared" si="9"/>
        <v>2025</v>
      </c>
      <c r="C49" s="2" t="str">
        <f t="shared" si="10"/>
        <v>34</v>
      </c>
      <c r="D49" s="3">
        <f t="shared" si="7"/>
        <v>45887</v>
      </c>
      <c r="E49" s="3">
        <f t="shared" si="12"/>
        <v>45893</v>
      </c>
      <c r="F49" s="2">
        <v>0</v>
      </c>
      <c r="G49" s="2">
        <v>6</v>
      </c>
      <c r="H49" s="2">
        <f t="shared" si="11"/>
        <v>6</v>
      </c>
      <c r="I49" s="2">
        <f>COUNTIF('Fonte de Dados - Essentia'!C:C,"&lt;=45893")</f>
        <v>98</v>
      </c>
      <c r="J49" s="2">
        <f t="shared" si="8"/>
        <v>6</v>
      </c>
      <c r="K49" s="53">
        <f>SUM(F2:G49)/M49</f>
        <v>12.729166666666666</v>
      </c>
      <c r="L49" s="53">
        <f>AVERAGE($H$16:H49)</f>
        <v>12.764705882352942</v>
      </c>
      <c r="M49" s="2">
        <v>48</v>
      </c>
    </row>
    <row r="50" spans="1:13" x14ac:dyDescent="0.25">
      <c r="A50" s="2" t="s">
        <v>143</v>
      </c>
      <c r="B50" s="2" t="str">
        <f t="shared" si="9"/>
        <v>2025</v>
      </c>
      <c r="C50" s="2" t="str">
        <f t="shared" si="10"/>
        <v>35</v>
      </c>
      <c r="D50" s="3">
        <f t="shared" si="7"/>
        <v>45894</v>
      </c>
      <c r="E50" s="3">
        <f t="shared" si="12"/>
        <v>45900</v>
      </c>
      <c r="F50" s="2">
        <v>0</v>
      </c>
      <c r="G50" s="2">
        <v>4</v>
      </c>
      <c r="H50" s="2">
        <f t="shared" si="11"/>
        <v>4</v>
      </c>
      <c r="I50" s="2">
        <f>COUNTIF('Fonte de Dados - Essentia'!C:C,"&lt;=45900")</f>
        <v>102</v>
      </c>
      <c r="J50" s="2">
        <f t="shared" si="8"/>
        <v>4</v>
      </c>
      <c r="K50" s="53">
        <f>SUM(F2:G50)/M50</f>
        <v>12.551020408163266</v>
      </c>
      <c r="L50" s="53">
        <f>AVERAGE($H$16:H50)</f>
        <v>12.514285714285714</v>
      </c>
      <c r="M50" s="2">
        <v>49</v>
      </c>
    </row>
    <row r="51" spans="1:13" x14ac:dyDescent="0.25">
      <c r="A51" s="2" t="s">
        <v>144</v>
      </c>
      <c r="B51" s="2" t="str">
        <f t="shared" si="9"/>
        <v>2025</v>
      </c>
      <c r="C51" s="2" t="str">
        <f t="shared" si="10"/>
        <v>36</v>
      </c>
      <c r="D51" s="3">
        <f t="shared" si="7"/>
        <v>45901</v>
      </c>
      <c r="E51" s="3">
        <f t="shared" si="12"/>
        <v>45907</v>
      </c>
      <c r="F51" s="2">
        <v>0</v>
      </c>
      <c r="G51" s="2">
        <v>4</v>
      </c>
      <c r="H51" s="2">
        <f t="shared" si="11"/>
        <v>4</v>
      </c>
      <c r="I51" s="2">
        <f>COUNTIF('Fonte de Dados - Essentia'!C:C,"&lt;=45907")</f>
        <v>104</v>
      </c>
      <c r="J51" s="2">
        <f t="shared" si="8"/>
        <v>4</v>
      </c>
      <c r="K51" s="53">
        <f>SUM(F2:G51)/M51</f>
        <v>12.38</v>
      </c>
      <c r="L51" s="53">
        <f>AVERAGE($H$16:H51)</f>
        <v>12.277777777777779</v>
      </c>
      <c r="M51" s="2">
        <v>50</v>
      </c>
    </row>
    <row r="52" spans="1:13" x14ac:dyDescent="0.25">
      <c r="A52" s="2" t="s">
        <v>145</v>
      </c>
      <c r="B52" s="2" t="str">
        <f t="shared" si="9"/>
        <v>2025</v>
      </c>
      <c r="C52" s="2" t="str">
        <f t="shared" si="10"/>
        <v>37</v>
      </c>
      <c r="D52" s="3">
        <f t="shared" si="7"/>
        <v>45908</v>
      </c>
      <c r="E52" s="3">
        <f t="shared" si="12"/>
        <v>45914</v>
      </c>
      <c r="F52" s="2">
        <v>0</v>
      </c>
      <c r="G52" s="2">
        <v>9</v>
      </c>
      <c r="H52" s="2">
        <f t="shared" si="11"/>
        <v>9</v>
      </c>
      <c r="I52" s="2">
        <f>COUNTIF('Fonte de Dados - Essentia'!C:C,"&lt;=45914")</f>
        <v>107</v>
      </c>
      <c r="J52" s="2">
        <f t="shared" si="8"/>
        <v>9</v>
      </c>
      <c r="K52" s="53">
        <f>SUM(F2:G52)/M52</f>
        <v>12.313725490196079</v>
      </c>
      <c r="L52" s="53">
        <f>AVERAGE($H$16:H52)</f>
        <v>12.189189189189189</v>
      </c>
      <c r="M52" s="2">
        <v>51</v>
      </c>
    </row>
    <row r="53" spans="1:13" x14ac:dyDescent="0.25">
      <c r="A53" s="2" t="s">
        <v>146</v>
      </c>
      <c r="B53" s="2" t="str">
        <f t="shared" si="9"/>
        <v>2025</v>
      </c>
      <c r="C53" s="2" t="str">
        <f t="shared" si="10"/>
        <v>38</v>
      </c>
      <c r="D53" s="3">
        <f t="shared" si="7"/>
        <v>45915</v>
      </c>
      <c r="E53" s="3">
        <f t="shared" si="12"/>
        <v>45921</v>
      </c>
      <c r="F53" s="2">
        <v>0</v>
      </c>
      <c r="G53" s="2">
        <v>9</v>
      </c>
      <c r="H53" s="2">
        <f t="shared" si="11"/>
        <v>9</v>
      </c>
      <c r="I53" s="2">
        <f>COUNTIF('Fonte de Dados - Essentia'!C:C,"&lt;=45921")</f>
        <v>107</v>
      </c>
      <c r="J53" s="2">
        <f t="shared" si="8"/>
        <v>9</v>
      </c>
      <c r="K53" s="53">
        <f>SUM(F2:G53)/M53</f>
        <v>12.25</v>
      </c>
      <c r="L53" s="53">
        <f>AVERAGE($H$16:H53)</f>
        <v>12.105263157894736</v>
      </c>
      <c r="M53" s="2">
        <v>52</v>
      </c>
    </row>
    <row r="54" spans="1:13" x14ac:dyDescent="0.25">
      <c r="A54" s="2" t="s">
        <v>147</v>
      </c>
      <c r="B54" s="2" t="str">
        <f t="shared" si="9"/>
        <v>2025</v>
      </c>
      <c r="C54" s="2" t="str">
        <f t="shared" si="10"/>
        <v>39</v>
      </c>
      <c r="D54" s="3">
        <f t="shared" si="7"/>
        <v>45922</v>
      </c>
      <c r="E54" s="3">
        <f t="shared" si="12"/>
        <v>45928</v>
      </c>
      <c r="F54" s="2">
        <v>0</v>
      </c>
      <c r="G54" s="2">
        <v>7</v>
      </c>
      <c r="H54" s="2">
        <f t="shared" si="11"/>
        <v>7</v>
      </c>
      <c r="I54" s="2">
        <f>COUNTIF('Fonte de Dados - Essentia'!C:C,"&lt;=45928")</f>
        <v>109</v>
      </c>
      <c r="J54" s="2">
        <f t="shared" si="8"/>
        <v>7</v>
      </c>
      <c r="K54" s="53">
        <f>SUM(F2:G54)/M54</f>
        <v>12.150943396226415</v>
      </c>
      <c r="L54" s="53">
        <f>AVERAGE($H$16:H54)</f>
        <v>11.974358974358974</v>
      </c>
      <c r="M54" s="2">
        <v>53</v>
      </c>
    </row>
    <row r="55" spans="1:13" x14ac:dyDescent="0.25">
      <c r="A55" s="2" t="s">
        <v>148</v>
      </c>
      <c r="B55" s="2" t="str">
        <f t="shared" si="9"/>
        <v>2025</v>
      </c>
      <c r="C55" s="2" t="str">
        <f t="shared" si="10"/>
        <v>40</v>
      </c>
      <c r="D55" s="3">
        <f t="shared" si="7"/>
        <v>45929</v>
      </c>
      <c r="E55" s="3">
        <f t="shared" si="12"/>
        <v>45935</v>
      </c>
      <c r="F55" s="2">
        <v>0</v>
      </c>
      <c r="G55" s="2">
        <v>9</v>
      </c>
      <c r="H55" s="2">
        <f t="shared" si="11"/>
        <v>9</v>
      </c>
      <c r="I55" s="2">
        <f>COUNTIF('Fonte de Dados - Essentia'!C:C,"&lt;=45935")</f>
        <v>112</v>
      </c>
      <c r="J55" s="2">
        <f t="shared" si="8"/>
        <v>9</v>
      </c>
      <c r="K55" s="53">
        <f>SUM(F2:G55)/M55</f>
        <v>12.092592592592593</v>
      </c>
      <c r="L55" s="53">
        <f>AVERAGE($H$16:H55)</f>
        <v>11.9</v>
      </c>
      <c r="M55" s="2">
        <v>54</v>
      </c>
    </row>
    <row r="56" spans="1:13" x14ac:dyDescent="0.25">
      <c r="A56" s="2" t="s">
        <v>149</v>
      </c>
      <c r="B56" s="2" t="str">
        <f t="shared" si="9"/>
        <v>2025</v>
      </c>
      <c r="C56" s="2" t="str">
        <f t="shared" si="10"/>
        <v>41</v>
      </c>
      <c r="D56" s="3">
        <f t="shared" si="7"/>
        <v>45936</v>
      </c>
      <c r="E56" s="3">
        <f t="shared" si="12"/>
        <v>45942</v>
      </c>
      <c r="F56" s="2">
        <v>0</v>
      </c>
      <c r="G56" s="2">
        <v>10</v>
      </c>
      <c r="H56" s="2">
        <f t="shared" si="11"/>
        <v>10</v>
      </c>
      <c r="I56" s="2">
        <f>COUNTIF('Fonte de Dados - Essentia'!C:C,"&lt;=45942")</f>
        <v>113</v>
      </c>
      <c r="J56" s="2">
        <f t="shared" si="8"/>
        <v>10</v>
      </c>
      <c r="K56" s="53">
        <f>SUM(F2:G56)/M56</f>
        <v>12.054545454545455</v>
      </c>
      <c r="L56" s="53">
        <f>AVERAGE($H$16:H56)</f>
        <v>11.853658536585366</v>
      </c>
      <c r="M56" s="2">
        <v>55</v>
      </c>
    </row>
    <row r="57" spans="1:13" x14ac:dyDescent="0.25">
      <c r="A57" s="2" t="s">
        <v>150</v>
      </c>
      <c r="B57" s="2" t="str">
        <f t="shared" si="9"/>
        <v>2025</v>
      </c>
      <c r="C57" s="2" t="str">
        <f t="shared" si="10"/>
        <v>42</v>
      </c>
      <c r="D57" s="3">
        <f t="shared" si="7"/>
        <v>45943</v>
      </c>
      <c r="E57" s="3">
        <f t="shared" si="12"/>
        <v>45949</v>
      </c>
      <c r="F57" s="2">
        <v>0</v>
      </c>
      <c r="G57" s="2">
        <v>10</v>
      </c>
      <c r="H57" s="2">
        <f t="shared" si="11"/>
        <v>10</v>
      </c>
      <c r="I57" s="2">
        <f>COUNTIF('Fonte de Dados - Essentia'!C:C,"&lt;=45949")</f>
        <v>115</v>
      </c>
      <c r="J57" s="2">
        <f t="shared" si="8"/>
        <v>10</v>
      </c>
      <c r="K57" s="53">
        <f>SUM(F2:G57)/M57</f>
        <v>12.017857142857142</v>
      </c>
      <c r="L57" s="53">
        <f>AVERAGE($H$16:H57)</f>
        <v>11.80952380952381</v>
      </c>
      <c r="M57" s="2">
        <v>56</v>
      </c>
    </row>
    <row r="58" spans="1:13" x14ac:dyDescent="0.25">
      <c r="A58" s="2" t="s">
        <v>151</v>
      </c>
      <c r="B58" s="2" t="str">
        <f t="shared" si="9"/>
        <v>2025</v>
      </c>
      <c r="C58" s="2" t="str">
        <f t="shared" si="10"/>
        <v>43</v>
      </c>
      <c r="D58" s="3">
        <f t="shared" si="7"/>
        <v>45950</v>
      </c>
      <c r="E58" s="3">
        <f t="shared" si="12"/>
        <v>45956</v>
      </c>
      <c r="F58" s="2">
        <v>0</v>
      </c>
      <c r="G58" s="2">
        <v>9</v>
      </c>
      <c r="H58" s="2">
        <f t="shared" si="11"/>
        <v>9</v>
      </c>
      <c r="I58" s="2">
        <f>COUNTIF('Fonte de Dados - Essentia'!C:C,"&lt;=45956")</f>
        <v>117</v>
      </c>
      <c r="J58" s="2">
        <f t="shared" si="8"/>
        <v>9</v>
      </c>
      <c r="K58" s="53">
        <f>SUM(F2:G58)/M58</f>
        <v>11.964912280701755</v>
      </c>
      <c r="L58" s="53">
        <f>AVERAGE($H$16:H58)</f>
        <v>11.744186046511627</v>
      </c>
      <c r="M58" s="2">
        <v>57</v>
      </c>
    </row>
    <row r="59" spans="1:13" x14ac:dyDescent="0.25">
      <c r="A59" s="2" t="s">
        <v>152</v>
      </c>
      <c r="B59" s="2" t="str">
        <f t="shared" si="9"/>
        <v>2025</v>
      </c>
      <c r="C59" s="2" t="str">
        <f t="shared" si="10"/>
        <v>44</v>
      </c>
      <c r="D59" s="3">
        <f t="shared" si="7"/>
        <v>45957</v>
      </c>
      <c r="E59" s="3">
        <f t="shared" ref="E59:E66" si="13">D59+6</f>
        <v>45963</v>
      </c>
      <c r="F59" s="2">
        <v>0</v>
      </c>
      <c r="G59" s="2">
        <v>10</v>
      </c>
      <c r="H59" s="2">
        <f t="shared" si="11"/>
        <v>10</v>
      </c>
      <c r="I59" s="2">
        <f>COUNTIF('Fonte de Dados - Essentia'!C:C,"&lt;=45963")</f>
        <v>120</v>
      </c>
      <c r="J59" s="2">
        <f t="shared" si="8"/>
        <v>10</v>
      </c>
      <c r="K59" s="53">
        <f>SUM(F2:G59)/M59</f>
        <v>11.931034482758621</v>
      </c>
      <c r="L59" s="53">
        <f>AVERAGE($H$16:H59)</f>
        <v>11.704545454545455</v>
      </c>
      <c r="M59" s="2">
        <v>58</v>
      </c>
    </row>
    <row r="60" spans="1:13" x14ac:dyDescent="0.25">
      <c r="A60" s="2" t="s">
        <v>153</v>
      </c>
      <c r="B60" s="2" t="str">
        <f t="shared" si="9"/>
        <v>2025</v>
      </c>
      <c r="C60" s="2" t="str">
        <f t="shared" si="10"/>
        <v>45</v>
      </c>
      <c r="D60" s="3">
        <f t="shared" si="7"/>
        <v>45964</v>
      </c>
      <c r="E60" s="3">
        <f t="shared" si="13"/>
        <v>45970</v>
      </c>
      <c r="F60" s="2">
        <v>0</v>
      </c>
      <c r="G60" s="2">
        <v>13</v>
      </c>
      <c r="H60" s="2">
        <f t="shared" si="11"/>
        <v>13</v>
      </c>
      <c r="I60" s="2">
        <f>COUNTIF('Fonte de Dados - Essentia'!C:C,"&lt;=45970")</f>
        <v>120</v>
      </c>
      <c r="J60" s="2">
        <f t="shared" si="8"/>
        <v>13</v>
      </c>
      <c r="K60" s="53">
        <f>SUM(F2:G60)/M60</f>
        <v>11.949152542372881</v>
      </c>
      <c r="L60" s="53">
        <f>AVERAGE($H$16:H60)</f>
        <v>11.733333333333333</v>
      </c>
      <c r="M60" s="2">
        <v>59</v>
      </c>
    </row>
    <row r="61" spans="1:13" x14ac:dyDescent="0.25">
      <c r="A61" s="2" t="s">
        <v>154</v>
      </c>
      <c r="B61" s="2" t="str">
        <f t="shared" si="9"/>
        <v>2025</v>
      </c>
      <c r="C61" s="2" t="str">
        <f t="shared" si="10"/>
        <v>46</v>
      </c>
      <c r="D61" s="3">
        <f t="shared" si="7"/>
        <v>45971</v>
      </c>
      <c r="E61" s="3">
        <f t="shared" si="13"/>
        <v>45977</v>
      </c>
      <c r="F61" s="2">
        <v>0</v>
      </c>
      <c r="G61" s="2">
        <v>10</v>
      </c>
      <c r="H61" s="2">
        <f t="shared" si="11"/>
        <v>10</v>
      </c>
      <c r="I61" s="2">
        <f>COUNTIF('Fonte de Dados - Essentia'!C:C,"&lt;=45977")</f>
        <v>121</v>
      </c>
      <c r="J61" s="2">
        <f t="shared" si="8"/>
        <v>10</v>
      </c>
      <c r="K61" s="53">
        <f>SUM(F2:G61)/M61</f>
        <v>11.916666666666666</v>
      </c>
      <c r="L61" s="53">
        <f>AVERAGE($H$16:H61)</f>
        <v>11.695652173913043</v>
      </c>
      <c r="M61" s="2">
        <v>60</v>
      </c>
    </row>
    <row r="62" spans="1:13" x14ac:dyDescent="0.25">
      <c r="A62" s="2" t="s">
        <v>155</v>
      </c>
      <c r="B62" s="2" t="str">
        <f t="shared" si="9"/>
        <v>2025</v>
      </c>
      <c r="C62" s="2" t="str">
        <f t="shared" si="10"/>
        <v>47</v>
      </c>
      <c r="D62" s="3">
        <f t="shared" si="7"/>
        <v>45978</v>
      </c>
      <c r="E62" s="3">
        <f t="shared" si="13"/>
        <v>45984</v>
      </c>
      <c r="F62" s="2">
        <v>0</v>
      </c>
      <c r="G62" s="2">
        <v>11</v>
      </c>
      <c r="H62" s="2">
        <f t="shared" si="11"/>
        <v>11</v>
      </c>
      <c r="I62" s="2">
        <f>COUNTIF('Fonte de Dados - Essentia'!C:C,"&lt;=45984")</f>
        <v>122</v>
      </c>
      <c r="J62" s="2">
        <f t="shared" si="8"/>
        <v>11</v>
      </c>
      <c r="K62" s="53">
        <f>SUM(F2:G62)/M62</f>
        <v>11.901639344262295</v>
      </c>
      <c r="L62" s="53">
        <f>AVERAGE($H$2:H62)</f>
        <v>11.901639344262295</v>
      </c>
      <c r="M62" s="2">
        <v>61</v>
      </c>
    </row>
    <row r="63" spans="1:13" x14ac:dyDescent="0.25">
      <c r="A63" s="2" t="s">
        <v>156</v>
      </c>
      <c r="B63" s="2" t="str">
        <f t="shared" si="9"/>
        <v>2025</v>
      </c>
      <c r="C63" s="2" t="str">
        <f t="shared" si="10"/>
        <v>48</v>
      </c>
      <c r="D63" s="3">
        <f t="shared" si="7"/>
        <v>45985</v>
      </c>
      <c r="E63" s="3">
        <f t="shared" si="13"/>
        <v>45991</v>
      </c>
      <c r="F63" s="2">
        <v>0</v>
      </c>
      <c r="G63" s="2">
        <v>10</v>
      </c>
      <c r="H63" s="2">
        <f t="shared" si="11"/>
        <v>10</v>
      </c>
      <c r="I63" s="2">
        <f>COUNTIF('Fonte de Dados - Essentia'!C:C,"&lt;=45991")</f>
        <v>125</v>
      </c>
      <c r="J63" s="2">
        <f t="shared" si="8"/>
        <v>10</v>
      </c>
      <c r="K63" s="53">
        <f>SUM(F2:G63)/M63</f>
        <v>11.870967741935484</v>
      </c>
      <c r="L63" s="53">
        <f>AVERAGE($H$2:H63)</f>
        <v>11.870967741935484</v>
      </c>
      <c r="M63" s="2">
        <v>62</v>
      </c>
    </row>
    <row r="64" spans="1:13" x14ac:dyDescent="0.25">
      <c r="A64" s="2" t="s">
        <v>157</v>
      </c>
      <c r="B64" s="2" t="str">
        <f t="shared" si="9"/>
        <v>2025</v>
      </c>
      <c r="C64" s="2" t="str">
        <f t="shared" si="10"/>
        <v>49</v>
      </c>
      <c r="D64" s="3">
        <f t="shared" si="7"/>
        <v>45992</v>
      </c>
      <c r="E64" s="3">
        <f t="shared" si="13"/>
        <v>45998</v>
      </c>
      <c r="F64" s="2">
        <v>0</v>
      </c>
      <c r="G64" s="2">
        <v>11</v>
      </c>
      <c r="H64" s="2">
        <f t="shared" si="11"/>
        <v>11</v>
      </c>
      <c r="I64" s="2">
        <f>COUNTIF('Fonte de Dados - Essentia'!C:C,"&lt;=45998")</f>
        <v>126</v>
      </c>
      <c r="J64" s="2">
        <f t="shared" si="8"/>
        <v>11</v>
      </c>
      <c r="K64" s="53">
        <f>SUM(F2:G64)/M64</f>
        <v>11.857142857142858</v>
      </c>
      <c r="L64" s="53">
        <f>AVERAGE($H$2:H64)</f>
        <v>11.857142857142858</v>
      </c>
      <c r="M64" s="2">
        <v>63</v>
      </c>
    </row>
    <row r="65" spans="1:14" x14ac:dyDescent="0.25">
      <c r="A65" s="2" t="s">
        <v>158</v>
      </c>
      <c r="B65" s="2" t="str">
        <f t="shared" si="9"/>
        <v>2025</v>
      </c>
      <c r="C65" s="2" t="str">
        <f t="shared" si="10"/>
        <v>50</v>
      </c>
      <c r="D65" s="3">
        <f t="shared" si="7"/>
        <v>45999</v>
      </c>
      <c r="E65" s="3">
        <f t="shared" si="13"/>
        <v>46005</v>
      </c>
      <c r="F65" s="2">
        <v>0</v>
      </c>
      <c r="G65" s="2">
        <v>5</v>
      </c>
      <c r="H65" s="2">
        <f t="shared" si="11"/>
        <v>5</v>
      </c>
      <c r="I65" s="2">
        <f>COUNTIF('Fonte de Dados - Essentia'!C:C,"&lt;=46005")</f>
        <v>128</v>
      </c>
      <c r="J65" s="2">
        <f t="shared" si="8"/>
        <v>5</v>
      </c>
      <c r="K65" s="53">
        <f>SUM(F2:G65)/M65</f>
        <v>11.75</v>
      </c>
      <c r="L65" s="53">
        <f>AVERAGE($H$2:H65)</f>
        <v>11.75</v>
      </c>
      <c r="M65" s="2">
        <v>64</v>
      </c>
    </row>
    <row r="66" spans="1:14" x14ac:dyDescent="0.25">
      <c r="A66" s="2" t="s">
        <v>159</v>
      </c>
      <c r="B66" s="2" t="str">
        <f t="shared" ref="B66:B97" si="14">LEFT(A66,4)</f>
        <v>2025</v>
      </c>
      <c r="C66" s="2" t="str">
        <f t="shared" ref="C66:C97" si="15">RIGHT(A66,2)</f>
        <v>51</v>
      </c>
      <c r="D66" s="3">
        <f t="shared" si="7"/>
        <v>46006</v>
      </c>
      <c r="E66" s="3">
        <f t="shared" si="13"/>
        <v>46012</v>
      </c>
      <c r="F66" s="2">
        <v>0</v>
      </c>
      <c r="G66" s="2">
        <v>3</v>
      </c>
      <c r="H66" s="2">
        <f t="shared" ref="H66:H97" si="16">F66+G66</f>
        <v>3</v>
      </c>
      <c r="I66" s="2">
        <f>COUNTIF('Fonte de Dados - Essentia'!C:C,"&lt;=46012")</f>
        <v>132</v>
      </c>
      <c r="J66" s="2">
        <f t="shared" si="8"/>
        <v>3</v>
      </c>
      <c r="K66" s="53">
        <f>SUM(F2:G66)/M66</f>
        <v>11.615384615384615</v>
      </c>
      <c r="L66" s="53">
        <f>AVERAGE($H$2:H66)</f>
        <v>11.615384615384615</v>
      </c>
      <c r="M66" s="2">
        <v>65</v>
      </c>
    </row>
    <row r="67" spans="1:14" x14ac:dyDescent="0.25">
      <c r="A67" s="2" t="s">
        <v>160</v>
      </c>
      <c r="B67" s="2" t="str">
        <f t="shared" si="14"/>
        <v>2025</v>
      </c>
      <c r="C67" s="2" t="str">
        <f t="shared" si="15"/>
        <v>52</v>
      </c>
      <c r="D67" s="3">
        <f t="shared" si="7"/>
        <v>46013</v>
      </c>
      <c r="E67" s="3">
        <f t="shared" ref="E67:E71" si="17">D67+6</f>
        <v>46019</v>
      </c>
      <c r="F67" s="2">
        <v>0</v>
      </c>
      <c r="G67" s="2">
        <v>3</v>
      </c>
      <c r="H67" s="2">
        <f t="shared" si="16"/>
        <v>3</v>
      </c>
      <c r="I67" s="2">
        <f>COUNTIF('Fonte de Dados - Essentia'!C:C,"&lt;=46019")</f>
        <v>132</v>
      </c>
      <c r="J67" s="2">
        <f t="shared" si="8"/>
        <v>3</v>
      </c>
      <c r="K67" s="53">
        <f>SUM(F2:G67)/M67</f>
        <v>11.484848484848484</v>
      </c>
      <c r="L67" s="53">
        <f>AVERAGE(H$2:H67)</f>
        <v>11.484848484848484</v>
      </c>
      <c r="M67" s="2">
        <v>66</v>
      </c>
    </row>
    <row r="68" spans="1:14" x14ac:dyDescent="0.25">
      <c r="A68" s="2" t="s">
        <v>161</v>
      </c>
      <c r="B68" s="2" t="str">
        <f t="shared" si="14"/>
        <v>2026</v>
      </c>
      <c r="C68" s="2" t="str">
        <f t="shared" si="15"/>
        <v>01</v>
      </c>
      <c r="D68" s="3">
        <f t="shared" si="7"/>
        <v>46020</v>
      </c>
      <c r="E68" s="3">
        <f t="shared" si="17"/>
        <v>46026</v>
      </c>
      <c r="F68" s="2">
        <v>0</v>
      </c>
      <c r="G68" s="2">
        <v>2</v>
      </c>
      <c r="H68" s="2">
        <f t="shared" si="16"/>
        <v>2</v>
      </c>
      <c r="I68" s="2">
        <f>COUNTIF('Fonte de Dados - Essentia'!C:C,"&lt;=46026")</f>
        <v>133</v>
      </c>
      <c r="J68" s="2">
        <f t="shared" si="8"/>
        <v>2</v>
      </c>
      <c r="K68" s="53">
        <f>SUM(F2:G68)/M68</f>
        <v>11.343283582089553</v>
      </c>
      <c r="L68" s="53">
        <f>AVERAGE(H$2:H68)</f>
        <v>11.343283582089553</v>
      </c>
      <c r="M68" s="2">
        <v>67</v>
      </c>
      <c r="N68">
        <v>5.2825044072039447</v>
      </c>
    </row>
    <row r="69" spans="1:14" x14ac:dyDescent="0.25">
      <c r="A69" s="2" t="s">
        <v>162</v>
      </c>
      <c r="B69" s="2" t="str">
        <f t="shared" si="14"/>
        <v>2026</v>
      </c>
      <c r="C69" s="2" t="str">
        <f t="shared" si="15"/>
        <v>02</v>
      </c>
      <c r="D69" s="3">
        <f t="shared" si="7"/>
        <v>46027</v>
      </c>
      <c r="E69" s="3">
        <f t="shared" si="17"/>
        <v>46033</v>
      </c>
      <c r="F69" s="2">
        <v>0</v>
      </c>
      <c r="G69" s="2">
        <v>3</v>
      </c>
      <c r="H69" s="2">
        <f t="shared" si="16"/>
        <v>3</v>
      </c>
      <c r="I69" s="2">
        <f>COUNTIF('Fonte de Dados - Essentia'!C:C,"&lt;=46033")</f>
        <v>137</v>
      </c>
      <c r="J69" s="2">
        <f t="shared" si="8"/>
        <v>3</v>
      </c>
      <c r="K69" s="53">
        <f>SUM(F$2:G$69)/M69</f>
        <v>11.220588235294118</v>
      </c>
      <c r="L69" s="53">
        <f>AVERAGE(H$2:H69)</f>
        <v>11.220588235294118</v>
      </c>
      <c r="M69" s="2">
        <v>68</v>
      </c>
      <c r="N69">
        <v>7.8545619502948423</v>
      </c>
    </row>
    <row r="70" spans="1:14" x14ac:dyDescent="0.25">
      <c r="A70" s="2" t="s">
        <v>163</v>
      </c>
      <c r="B70" s="2" t="str">
        <f t="shared" si="14"/>
        <v>2026</v>
      </c>
      <c r="C70" s="2" t="str">
        <f t="shared" si="15"/>
        <v>03</v>
      </c>
      <c r="D70" s="3">
        <f t="shared" si="7"/>
        <v>46034</v>
      </c>
      <c r="E70" s="3">
        <f t="shared" si="17"/>
        <v>46040</v>
      </c>
      <c r="F70" s="2">
        <v>0</v>
      </c>
      <c r="G70" s="2">
        <v>6</v>
      </c>
      <c r="H70" s="2">
        <f t="shared" si="16"/>
        <v>6</v>
      </c>
      <c r="I70" s="2">
        <f>COUNTIF('Fonte de Dados - Essentia'!C:C,"&lt;=46040")</f>
        <v>139</v>
      </c>
      <c r="J70" s="2">
        <f t="shared" si="8"/>
        <v>6</v>
      </c>
      <c r="K70" s="53">
        <f>SUM(F$2:G$70)/M70</f>
        <v>11.144927536231885</v>
      </c>
      <c r="L70" s="53">
        <f>AVERAGE(H$2:H70)</f>
        <v>11.144927536231885</v>
      </c>
      <c r="M70" s="2">
        <v>69</v>
      </c>
      <c r="N70">
        <v>6.4265047224013525</v>
      </c>
    </row>
    <row r="71" spans="1:14" x14ac:dyDescent="0.25">
      <c r="A71" s="2" t="s">
        <v>164</v>
      </c>
      <c r="B71" s="2" t="str">
        <f t="shared" si="14"/>
        <v>2026</v>
      </c>
      <c r="C71" s="2" t="str">
        <f t="shared" si="15"/>
        <v>04</v>
      </c>
      <c r="D71" s="3">
        <f t="shared" si="7"/>
        <v>46041</v>
      </c>
      <c r="E71" s="3">
        <f t="shared" si="17"/>
        <v>46047</v>
      </c>
      <c r="F71" s="2">
        <v>0</v>
      </c>
      <c r="G71" s="2">
        <v>6</v>
      </c>
      <c r="H71" s="2">
        <f t="shared" si="16"/>
        <v>6</v>
      </c>
      <c r="I71" s="2">
        <f>COUNTIF('Fonte de Dados - Essentia'!C:C,"&lt;=46047")</f>
        <v>143</v>
      </c>
      <c r="J71" s="2">
        <f t="shared" si="8"/>
        <v>6</v>
      </c>
      <c r="K71" s="53">
        <f>SUM($F$2:G71)/M71</f>
        <v>11.071428571428571</v>
      </c>
      <c r="L71" s="53">
        <f>AVERAGE(H$2:H71)</f>
        <v>11.071428571428571</v>
      </c>
      <c r="M71" s="2">
        <v>70</v>
      </c>
      <c r="N71">
        <v>7.5240545000192318</v>
      </c>
    </row>
    <row r="72" spans="1:14" x14ac:dyDescent="0.25">
      <c r="A72" s="2" t="s">
        <v>165</v>
      </c>
      <c r="B72" s="2" t="str">
        <f t="shared" si="14"/>
        <v>2026</v>
      </c>
      <c r="C72" s="2" t="str">
        <f t="shared" si="15"/>
        <v>05</v>
      </c>
      <c r="D72" s="3">
        <f t="shared" si="7"/>
        <v>46048</v>
      </c>
      <c r="E72" s="3">
        <f t="shared" ref="E72:E85" si="18">D72+6</f>
        <v>46054</v>
      </c>
      <c r="F72" s="2">
        <v>0</v>
      </c>
      <c r="G72" s="2">
        <v>7</v>
      </c>
      <c r="H72" s="2">
        <f t="shared" si="16"/>
        <v>7</v>
      </c>
      <c r="I72" s="2">
        <f>COUNTIF('Fonte de Dados - Essentia'!C:C,"&lt;=46054")</f>
        <v>144</v>
      </c>
      <c r="J72" s="2">
        <f t="shared" si="8"/>
        <v>7</v>
      </c>
      <c r="K72" s="53">
        <f>SUM($F$2:G72)/M72</f>
        <v>11.014084507042254</v>
      </c>
      <c r="L72" s="53">
        <f>AVERAGE(H$2:H72)</f>
        <v>11.014084507042254</v>
      </c>
      <c r="M72" s="2">
        <v>71</v>
      </c>
      <c r="N72">
        <v>5.3917224277240852</v>
      </c>
    </row>
    <row r="73" spans="1:14" x14ac:dyDescent="0.25">
      <c r="A73" s="2" t="s">
        <v>166</v>
      </c>
      <c r="B73" s="2" t="str">
        <f t="shared" si="14"/>
        <v>2026</v>
      </c>
      <c r="C73" s="2" t="str">
        <f t="shared" si="15"/>
        <v>06</v>
      </c>
      <c r="D73" s="3">
        <f t="shared" si="7"/>
        <v>46055</v>
      </c>
      <c r="E73" s="3">
        <f t="shared" si="18"/>
        <v>46061</v>
      </c>
      <c r="F73" s="2">
        <v>0</v>
      </c>
      <c r="G73" s="2">
        <v>6</v>
      </c>
      <c r="H73" s="2">
        <f t="shared" si="16"/>
        <v>6</v>
      </c>
      <c r="I73" s="2">
        <f>COUNTIF('Fonte de Dados - Essentia'!C:C,"&lt;=46061")</f>
        <v>146</v>
      </c>
      <c r="J73" s="2">
        <f t="shared" si="8"/>
        <v>6</v>
      </c>
      <c r="K73" s="53">
        <f>SUM($F$2:G73)/M73</f>
        <v>10.944444444444445</v>
      </c>
      <c r="L73" s="53">
        <f>AVERAGE(H$2:H73)</f>
        <v>10.944444444444445</v>
      </c>
      <c r="M73" s="2">
        <v>72</v>
      </c>
      <c r="N73">
        <v>5.2199736624626523</v>
      </c>
    </row>
    <row r="74" spans="1:14" x14ac:dyDescent="0.25">
      <c r="A74" s="2" t="s">
        <v>167</v>
      </c>
      <c r="B74" s="2" t="str">
        <f t="shared" si="14"/>
        <v>2026</v>
      </c>
      <c r="C74" s="2" t="str">
        <f t="shared" si="15"/>
        <v>07</v>
      </c>
      <c r="D74" s="3">
        <f t="shared" si="7"/>
        <v>46062</v>
      </c>
      <c r="E74" s="3">
        <f t="shared" si="18"/>
        <v>46068</v>
      </c>
      <c r="F74" s="2">
        <v>0</v>
      </c>
      <c r="G74" s="2">
        <v>5</v>
      </c>
      <c r="H74" s="2">
        <f t="shared" si="16"/>
        <v>5</v>
      </c>
      <c r="I74" s="2">
        <f>COUNTIF('Fonte de Dados - Essentia'!C:C,"&lt;=46068")</f>
        <v>151</v>
      </c>
      <c r="J74" s="2">
        <f t="shared" si="8"/>
        <v>5</v>
      </c>
      <c r="K74" s="53">
        <f>SUM($F$2:G74)/M74</f>
        <v>10.863013698630137</v>
      </c>
      <c r="L74" s="53">
        <f>AVERAGE(H$2:H74)</f>
        <v>10.863013698630137</v>
      </c>
      <c r="M74" s="2">
        <v>73</v>
      </c>
      <c r="N74">
        <v>5.6649540465575523</v>
      </c>
    </row>
    <row r="75" spans="1:14" x14ac:dyDescent="0.25">
      <c r="A75" s="2" t="s">
        <v>168</v>
      </c>
      <c r="B75" s="2" t="str">
        <f t="shared" si="14"/>
        <v>2026</v>
      </c>
      <c r="C75" s="2" t="str">
        <f t="shared" si="15"/>
        <v>08</v>
      </c>
      <c r="D75" s="3">
        <f t="shared" si="7"/>
        <v>46069</v>
      </c>
      <c r="E75" s="3">
        <f t="shared" si="18"/>
        <v>46075</v>
      </c>
      <c r="F75" s="2">
        <v>0</v>
      </c>
      <c r="G75" s="2">
        <v>6</v>
      </c>
      <c r="H75" s="2">
        <f t="shared" si="16"/>
        <v>6</v>
      </c>
      <c r="I75" s="2">
        <f>COUNTIF('Fonte de Dados - Essentia'!C:C,"&lt;=46075")</f>
        <v>152</v>
      </c>
      <c r="J75" s="2">
        <f t="shared" si="8"/>
        <v>6</v>
      </c>
      <c r="K75" s="53">
        <f>SUM($F$2:G75)/M75</f>
        <v>10.797297297297296</v>
      </c>
      <c r="L75" s="53">
        <f>AVERAGE(H$2:H75)</f>
        <v>10.797297297297296</v>
      </c>
      <c r="M75" s="2">
        <v>74</v>
      </c>
      <c r="N75">
        <v>4.5589934110465906</v>
      </c>
    </row>
    <row r="76" spans="1:14" x14ac:dyDescent="0.25">
      <c r="A76" s="2" t="s">
        <v>169</v>
      </c>
      <c r="B76" s="2" t="str">
        <f t="shared" si="14"/>
        <v>2026</v>
      </c>
      <c r="C76" s="2" t="str">
        <f t="shared" si="15"/>
        <v>09</v>
      </c>
      <c r="D76" s="3">
        <f t="shared" si="7"/>
        <v>46076</v>
      </c>
      <c r="E76" s="3">
        <f t="shared" si="18"/>
        <v>46082</v>
      </c>
      <c r="F76" s="2">
        <v>1</v>
      </c>
      <c r="G76" s="2">
        <v>5</v>
      </c>
      <c r="H76" s="2">
        <f t="shared" si="16"/>
        <v>6</v>
      </c>
      <c r="I76" s="2">
        <f>COUNTIF('Fonte de Dados - Essentia'!C:C,"&lt;=46082")</f>
        <v>153</v>
      </c>
      <c r="J76" s="2">
        <f t="shared" si="8"/>
        <v>6</v>
      </c>
      <c r="K76" s="53">
        <f>SUM($F$2:G76)/M76</f>
        <v>10.733333333333333</v>
      </c>
      <c r="L76" s="53">
        <f>AVERAGE(H$2:H76)</f>
        <v>10.733333333333333</v>
      </c>
      <c r="M76" s="2">
        <v>75</v>
      </c>
      <c r="N76">
        <v>3.587361304908252</v>
      </c>
    </row>
    <row r="77" spans="1:14" x14ac:dyDescent="0.25">
      <c r="A77" s="2" t="s">
        <v>170</v>
      </c>
      <c r="B77" s="2" t="str">
        <f t="shared" si="14"/>
        <v>2026</v>
      </c>
      <c r="C77" s="2" t="str">
        <f t="shared" si="15"/>
        <v>10</v>
      </c>
      <c r="D77" s="3">
        <f t="shared" si="7"/>
        <v>46083</v>
      </c>
      <c r="E77" s="3">
        <f t="shared" si="18"/>
        <v>46089</v>
      </c>
      <c r="F77" s="2">
        <v>1</v>
      </c>
      <c r="G77" s="2">
        <v>4</v>
      </c>
      <c r="H77" s="2">
        <f t="shared" si="16"/>
        <v>5</v>
      </c>
      <c r="I77" s="2">
        <f>COUNTIF('Fonte de Dados - Essentia'!C:C,"&lt;=46089")</f>
        <v>156</v>
      </c>
      <c r="J77" s="2">
        <f t="shared" si="8"/>
        <v>5</v>
      </c>
      <c r="K77" s="53">
        <f>SUM($F$2:G77)/M77</f>
        <v>10.657894736842104</v>
      </c>
      <c r="L77" s="53">
        <f>AVERAGE(H$2:H77)</f>
        <v>10.657894736842104</v>
      </c>
      <c r="M77" s="2">
        <v>76</v>
      </c>
      <c r="N77">
        <v>5.7521567995458867</v>
      </c>
    </row>
    <row r="78" spans="1:14" x14ac:dyDescent="0.25">
      <c r="A78" s="2" t="s">
        <v>171</v>
      </c>
      <c r="B78" s="2" t="str">
        <f t="shared" si="14"/>
        <v>2026</v>
      </c>
      <c r="C78" s="2" t="str">
        <f t="shared" si="15"/>
        <v>11</v>
      </c>
      <c r="D78" s="3">
        <f t="shared" si="7"/>
        <v>46090</v>
      </c>
      <c r="E78" s="3">
        <f t="shared" si="18"/>
        <v>46096</v>
      </c>
      <c r="F78" s="2">
        <v>1</v>
      </c>
      <c r="G78" s="2">
        <v>3</v>
      </c>
      <c r="H78" s="2">
        <f t="shared" si="16"/>
        <v>4</v>
      </c>
      <c r="I78" s="2">
        <f>COUNTIF('Fonte de Dados - Essentia'!C:C,"&lt;=46096")</f>
        <v>157</v>
      </c>
      <c r="J78" s="2">
        <f t="shared" si="8"/>
        <v>4</v>
      </c>
      <c r="K78" s="53">
        <f>SUM($F$2:G78)/M78</f>
        <v>10.571428571428571</v>
      </c>
      <c r="L78" s="53">
        <f>AVERAGE(H$2:H78)</f>
        <v>10.571428571428571</v>
      </c>
      <c r="M78" s="2">
        <v>77</v>
      </c>
      <c r="N78">
        <v>4.4620223863694921</v>
      </c>
    </row>
    <row r="79" spans="1:14" x14ac:dyDescent="0.25">
      <c r="A79" s="2" t="s">
        <v>172</v>
      </c>
      <c r="B79" s="2" t="str">
        <f t="shared" si="14"/>
        <v>2026</v>
      </c>
      <c r="C79" s="2" t="str">
        <f t="shared" si="15"/>
        <v>12</v>
      </c>
      <c r="D79" s="3">
        <f t="shared" si="7"/>
        <v>46097</v>
      </c>
      <c r="E79" s="3">
        <f t="shared" si="18"/>
        <v>46103</v>
      </c>
      <c r="F79" s="2">
        <v>1</v>
      </c>
      <c r="G79" s="2">
        <v>4</v>
      </c>
      <c r="H79" s="2">
        <f t="shared" si="16"/>
        <v>5</v>
      </c>
      <c r="I79" s="2">
        <f>COUNTIF('Fonte de Dados - Essentia'!C:C,"&lt;=46096")</f>
        <v>157</v>
      </c>
      <c r="J79" s="2">
        <f t="shared" si="8"/>
        <v>5</v>
      </c>
      <c r="K79" s="53">
        <f>SUM($F$2:G79)/M79</f>
        <v>10.5</v>
      </c>
      <c r="L79" s="53">
        <f>AVERAGE(H$2:H79)</f>
        <v>10.5</v>
      </c>
      <c r="M79" s="2">
        <v>78</v>
      </c>
      <c r="N79">
        <v>5.0061049085009781</v>
      </c>
    </row>
    <row r="80" spans="1:14" x14ac:dyDescent="0.25">
      <c r="A80" s="2" t="s">
        <v>173</v>
      </c>
      <c r="B80" s="2" t="str">
        <f t="shared" si="14"/>
        <v>2026</v>
      </c>
      <c r="C80" s="2" t="str">
        <f t="shared" si="15"/>
        <v>13</v>
      </c>
      <c r="D80" s="3">
        <f t="shared" si="7"/>
        <v>46104</v>
      </c>
      <c r="E80" s="3">
        <f t="shared" si="18"/>
        <v>46110</v>
      </c>
      <c r="F80" s="2">
        <v>0</v>
      </c>
      <c r="G80" s="2">
        <v>2</v>
      </c>
      <c r="H80" s="2">
        <f t="shared" si="16"/>
        <v>2</v>
      </c>
      <c r="I80" s="2">
        <f>COUNTIF('Fonte de Dados - Essentia'!C:C,"&lt;=46096")</f>
        <v>157</v>
      </c>
      <c r="J80" s="2">
        <f t="shared" si="8"/>
        <v>2</v>
      </c>
      <c r="K80" s="53">
        <f>SUM($F$2:G80)/M80</f>
        <v>10.39240506329114</v>
      </c>
      <c r="L80" s="53">
        <f>AVERAGE(H$2:H80)</f>
        <v>10.39240506329114</v>
      </c>
      <c r="M80" s="2">
        <v>79</v>
      </c>
      <c r="N80">
        <v>6.7081895092434571</v>
      </c>
    </row>
    <row r="81" spans="1:14" x14ac:dyDescent="0.25">
      <c r="A81" s="2" t="s">
        <v>174</v>
      </c>
      <c r="B81" s="2" t="str">
        <f t="shared" si="14"/>
        <v>2026</v>
      </c>
      <c r="C81" s="2" t="str">
        <f t="shared" si="15"/>
        <v>14</v>
      </c>
      <c r="D81" s="3">
        <f t="shared" si="7"/>
        <v>46111</v>
      </c>
      <c r="E81" s="3">
        <f t="shared" si="18"/>
        <v>46117</v>
      </c>
      <c r="F81" s="2">
        <v>1</v>
      </c>
      <c r="G81" s="2">
        <v>3</v>
      </c>
      <c r="H81" s="2">
        <f t="shared" si="16"/>
        <v>4</v>
      </c>
      <c r="I81" s="2">
        <f>COUNTIF('Fonte de Dados - Essentia'!C:C,"&lt;=46096")</f>
        <v>157</v>
      </c>
      <c r="J81" s="2">
        <f t="shared" si="8"/>
        <v>4</v>
      </c>
      <c r="K81" s="53">
        <f>SUM($F$2:G81)/M81</f>
        <v>10.3125</v>
      </c>
      <c r="L81" s="53">
        <f>AVERAGE(H$2:H81)</f>
        <v>10.3125</v>
      </c>
      <c r="M81" s="2">
        <v>80</v>
      </c>
      <c r="N81">
        <v>5.8839823330388441</v>
      </c>
    </row>
    <row r="82" spans="1:14" x14ac:dyDescent="0.25">
      <c r="A82" s="2" t="s">
        <v>175</v>
      </c>
      <c r="B82" s="2" t="str">
        <f t="shared" si="14"/>
        <v>2026</v>
      </c>
      <c r="C82" s="2" t="str">
        <f t="shared" si="15"/>
        <v>15</v>
      </c>
      <c r="D82" s="3">
        <f t="shared" si="7"/>
        <v>46118</v>
      </c>
      <c r="E82" s="3">
        <f t="shared" si="18"/>
        <v>46124</v>
      </c>
      <c r="F82" s="2">
        <v>1</v>
      </c>
      <c r="G82" s="2">
        <v>4</v>
      </c>
      <c r="H82" s="2">
        <f t="shared" si="16"/>
        <v>5</v>
      </c>
      <c r="I82" s="2">
        <f>COUNTIF('Fonte de Dados - Essentia'!C:C,"&lt;=46096")</f>
        <v>157</v>
      </c>
      <c r="J82" s="2">
        <f t="shared" si="8"/>
        <v>5</v>
      </c>
      <c r="K82" s="53">
        <f>SUM($F$2:G82)/M82</f>
        <v>10.246913580246913</v>
      </c>
      <c r="L82" s="53">
        <f>AVERAGE(H$2:H82)</f>
        <v>10.246913580246913</v>
      </c>
      <c r="M82" s="2">
        <v>81</v>
      </c>
      <c r="N82">
        <v>6.2487648976410499</v>
      </c>
    </row>
    <row r="83" spans="1:14" x14ac:dyDescent="0.25">
      <c r="A83" s="2" t="s">
        <v>176</v>
      </c>
      <c r="B83" s="2" t="str">
        <f t="shared" si="14"/>
        <v>2026</v>
      </c>
      <c r="C83" s="2" t="str">
        <f t="shared" si="15"/>
        <v>16</v>
      </c>
      <c r="D83" s="3">
        <f t="shared" si="7"/>
        <v>46125</v>
      </c>
      <c r="E83" s="3">
        <f t="shared" si="18"/>
        <v>46131</v>
      </c>
      <c r="F83" s="2">
        <v>1</v>
      </c>
      <c r="G83" s="2">
        <v>1</v>
      </c>
      <c r="H83" s="2">
        <f t="shared" si="16"/>
        <v>2</v>
      </c>
      <c r="I83" s="2">
        <f>COUNTIF('Fonte de Dados - Essentia'!C:C,"&lt;=46096")</f>
        <v>157</v>
      </c>
      <c r="J83" s="2">
        <f t="shared" si="8"/>
        <v>2</v>
      </c>
      <c r="K83" s="53">
        <f>SUM($F$2:G83)/M83</f>
        <v>10.146341463414634</v>
      </c>
      <c r="L83" s="53">
        <f>AVERAGE(H$2:H83)</f>
        <v>10.146341463414634</v>
      </c>
      <c r="M83" s="2">
        <v>82</v>
      </c>
      <c r="N83">
        <v>5.9848448465050339</v>
      </c>
    </row>
    <row r="84" spans="1:14" x14ac:dyDescent="0.25">
      <c r="A84" s="2" t="s">
        <v>177</v>
      </c>
      <c r="B84" s="2" t="str">
        <f t="shared" si="14"/>
        <v>2026</v>
      </c>
      <c r="C84" s="2" t="str">
        <f t="shared" si="15"/>
        <v>17</v>
      </c>
      <c r="D84" s="3">
        <f t="shared" si="7"/>
        <v>46132</v>
      </c>
      <c r="E84" s="3">
        <f t="shared" si="18"/>
        <v>46138</v>
      </c>
      <c r="F84" s="2">
        <v>1</v>
      </c>
      <c r="G84" s="2">
        <v>2</v>
      </c>
      <c r="H84" s="2">
        <f t="shared" si="16"/>
        <v>3</v>
      </c>
      <c r="I84" s="2">
        <f>COUNTIF('Fonte de Dados - Essentia'!C:C,"&lt;=46096")</f>
        <v>157</v>
      </c>
      <c r="J84" s="2">
        <f t="shared" si="8"/>
        <v>3</v>
      </c>
      <c r="K84" s="53">
        <f>SUM($F$2:G84)/M84</f>
        <v>10.060240963855422</v>
      </c>
      <c r="L84" s="53">
        <f>AVERAGE(H$2:H84)</f>
        <v>10.060240963855422</v>
      </c>
      <c r="M84" s="2">
        <v>83</v>
      </c>
      <c r="N84">
        <v>5.0295196779325293</v>
      </c>
    </row>
    <row r="85" spans="1:14" x14ac:dyDescent="0.25">
      <c r="A85" s="2" t="s">
        <v>178</v>
      </c>
      <c r="B85" s="2" t="str">
        <f t="shared" si="14"/>
        <v>2026</v>
      </c>
      <c r="C85" s="2" t="str">
        <f t="shared" si="15"/>
        <v>18</v>
      </c>
      <c r="D85" s="3">
        <f t="shared" si="7"/>
        <v>46139</v>
      </c>
      <c r="E85" s="3">
        <f t="shared" si="18"/>
        <v>46145</v>
      </c>
      <c r="F85" s="2">
        <v>1</v>
      </c>
      <c r="G85" s="2">
        <v>3</v>
      </c>
      <c r="H85" s="2">
        <f t="shared" si="16"/>
        <v>4</v>
      </c>
      <c r="I85" s="2">
        <f>COUNTIF('Fonte de Dados - Essentia'!C:C,"&lt;=46096")</f>
        <v>157</v>
      </c>
      <c r="J85" s="2">
        <f t="shared" si="8"/>
        <v>4</v>
      </c>
      <c r="K85" s="53">
        <f>SUM($F$2:G85)/M85</f>
        <v>9.9880952380952372</v>
      </c>
      <c r="L85" s="53">
        <f>AVERAGE(H$2:H85)</f>
        <v>9.9880952380952372</v>
      </c>
      <c r="M85" s="2">
        <v>84</v>
      </c>
      <c r="N85">
        <v>6.9038014089554949</v>
      </c>
    </row>
    <row r="86" spans="1:14" x14ac:dyDescent="0.25">
      <c r="A86" s="2" t="s">
        <v>179</v>
      </c>
      <c r="B86" s="2" t="str">
        <f t="shared" si="14"/>
        <v>2026</v>
      </c>
      <c r="C86" s="2" t="str">
        <f t="shared" si="15"/>
        <v>19</v>
      </c>
      <c r="D86" s="3">
        <f t="shared" si="7"/>
        <v>46146</v>
      </c>
      <c r="E86" s="3">
        <f t="shared" ref="E86:E119" si="19">D86+6</f>
        <v>46152</v>
      </c>
      <c r="F86" s="2">
        <v>1</v>
      </c>
      <c r="G86" s="2">
        <v>3</v>
      </c>
      <c r="H86" s="2">
        <f t="shared" si="16"/>
        <v>4</v>
      </c>
      <c r="I86" s="2">
        <f>COUNTIF('Fonte de Dados - Essentia'!C:C,"&lt;=46096")</f>
        <v>157</v>
      </c>
      <c r="J86" s="2">
        <f t="shared" si="8"/>
        <v>4</v>
      </c>
      <c r="K86" s="53">
        <f>SUM($F$2:G86)/M86</f>
        <v>9.9176470588235297</v>
      </c>
      <c r="L86" s="53">
        <f>AVERAGE(H$2:H86)</f>
        <v>9.9176470588235297</v>
      </c>
      <c r="M86" s="2">
        <v>85</v>
      </c>
      <c r="N86">
        <v>8.0853273394418661</v>
      </c>
    </row>
    <row r="87" spans="1:14" x14ac:dyDescent="0.25">
      <c r="A87" s="2" t="s">
        <v>180</v>
      </c>
      <c r="B87" s="2" t="str">
        <f t="shared" si="14"/>
        <v>2026</v>
      </c>
      <c r="C87" s="2" t="str">
        <f t="shared" si="15"/>
        <v>20</v>
      </c>
      <c r="D87" s="3">
        <f t="shared" ref="D87:D119" si="20">D86+7</f>
        <v>46153</v>
      </c>
      <c r="E87" s="3">
        <f t="shared" si="19"/>
        <v>46159</v>
      </c>
      <c r="F87" s="2">
        <v>0</v>
      </c>
      <c r="G87" s="2">
        <v>3</v>
      </c>
      <c r="H87" s="2">
        <f t="shared" si="16"/>
        <v>3</v>
      </c>
      <c r="I87" s="2">
        <f>COUNTIF('Fonte de Dados - Essentia'!C:C,"&lt;=46096")</f>
        <v>157</v>
      </c>
      <c r="J87" s="2">
        <f t="shared" si="8"/>
        <v>3</v>
      </c>
      <c r="K87" s="53">
        <f>SUM($F$2:G87)/M87</f>
        <v>9.8372093023255811</v>
      </c>
      <c r="L87" s="53">
        <f>AVERAGE(H$2:H87)</f>
        <v>9.8372093023255811</v>
      </c>
      <c r="M87" s="2">
        <v>86</v>
      </c>
      <c r="N87">
        <v>7.6951477489097098</v>
      </c>
    </row>
    <row r="88" spans="1:14" x14ac:dyDescent="0.25">
      <c r="A88" s="2" t="s">
        <v>181</v>
      </c>
      <c r="B88" s="2" t="str">
        <f t="shared" si="14"/>
        <v>2026</v>
      </c>
      <c r="C88" s="2" t="str">
        <f t="shared" si="15"/>
        <v>21</v>
      </c>
      <c r="D88" s="3">
        <f t="shared" si="20"/>
        <v>46160</v>
      </c>
      <c r="E88" s="3">
        <f t="shared" si="19"/>
        <v>46166</v>
      </c>
      <c r="F88" s="2">
        <v>1</v>
      </c>
      <c r="G88" s="2">
        <v>5</v>
      </c>
      <c r="H88" s="2">
        <f t="shared" si="16"/>
        <v>6</v>
      </c>
      <c r="I88" s="2">
        <f>COUNTIF('Fonte de Dados - Essentia'!C:C,"&lt;=46096")</f>
        <v>157</v>
      </c>
      <c r="J88" s="2">
        <f t="shared" si="8"/>
        <v>6</v>
      </c>
      <c r="K88" s="53">
        <f>SUM($F$2:G88)/M88</f>
        <v>9.7931034482758612</v>
      </c>
      <c r="L88" s="53">
        <f>AVERAGE(H$2:H88)</f>
        <v>9.7931034482758612</v>
      </c>
      <c r="M88" s="2">
        <v>87</v>
      </c>
      <c r="N88">
        <v>8.930614729949232</v>
      </c>
    </row>
    <row r="89" spans="1:14" x14ac:dyDescent="0.25">
      <c r="A89" s="2" t="s">
        <v>182</v>
      </c>
      <c r="B89" s="2" t="str">
        <f t="shared" si="14"/>
        <v>2026</v>
      </c>
      <c r="C89" s="2" t="str">
        <f t="shared" si="15"/>
        <v>22</v>
      </c>
      <c r="D89" s="3">
        <f t="shared" si="20"/>
        <v>46167</v>
      </c>
      <c r="E89" s="3">
        <f t="shared" si="19"/>
        <v>46173</v>
      </c>
      <c r="F89" s="2">
        <v>0</v>
      </c>
      <c r="G89" s="2">
        <v>2</v>
      </c>
      <c r="H89" s="2">
        <f t="shared" si="16"/>
        <v>2</v>
      </c>
      <c r="I89" s="2">
        <f>COUNTIF('Fonte de Dados - Essentia'!C:C,"&lt;=46096")</f>
        <v>157</v>
      </c>
      <c r="J89" s="2">
        <f t="shared" si="8"/>
        <v>2</v>
      </c>
      <c r="K89" s="53">
        <f>SUM($F$2:G89)/M89</f>
        <v>9.704545454545455</v>
      </c>
      <c r="L89" s="53">
        <f>AVERAGE(H$2:H89)</f>
        <v>9.704545454545455</v>
      </c>
      <c r="M89" s="2">
        <v>88</v>
      </c>
      <c r="N89">
        <v>8.939679388653337</v>
      </c>
    </row>
    <row r="90" spans="1:14" x14ac:dyDescent="0.25">
      <c r="A90" s="2" t="s">
        <v>183</v>
      </c>
      <c r="B90" s="2" t="str">
        <f t="shared" si="14"/>
        <v>2026</v>
      </c>
      <c r="C90" s="2" t="str">
        <f t="shared" si="15"/>
        <v>23</v>
      </c>
      <c r="D90" s="3">
        <f t="shared" si="20"/>
        <v>46174</v>
      </c>
      <c r="E90" s="3">
        <f t="shared" si="19"/>
        <v>46180</v>
      </c>
      <c r="F90" s="2">
        <v>0</v>
      </c>
      <c r="G90" s="2">
        <v>4</v>
      </c>
      <c r="H90" s="2">
        <f t="shared" si="16"/>
        <v>4</v>
      </c>
      <c r="I90" s="2">
        <f>COUNTIF('Fonte de Dados - Essentia'!C:C,"&lt;=46096")</f>
        <v>157</v>
      </c>
      <c r="J90" s="2">
        <f t="shared" si="8"/>
        <v>4</v>
      </c>
      <c r="K90" s="53">
        <f>SUM($F$2:G90)/M90</f>
        <v>9.6404494382022463</v>
      </c>
      <c r="L90" s="53">
        <f>AVERAGE(H$2:H90)</f>
        <v>9.6404494382022463</v>
      </c>
      <c r="M90" s="2">
        <v>89</v>
      </c>
      <c r="N90">
        <v>8.8999430373348645</v>
      </c>
    </row>
    <row r="91" spans="1:14" x14ac:dyDescent="0.25">
      <c r="A91" s="2" t="s">
        <v>184</v>
      </c>
      <c r="B91" s="2" t="str">
        <f t="shared" si="14"/>
        <v>2026</v>
      </c>
      <c r="C91" s="2" t="str">
        <f t="shared" si="15"/>
        <v>24</v>
      </c>
      <c r="D91" s="3">
        <f t="shared" si="20"/>
        <v>46181</v>
      </c>
      <c r="E91" s="3">
        <f t="shared" si="19"/>
        <v>46187</v>
      </c>
      <c r="F91" s="2">
        <v>0</v>
      </c>
      <c r="G91" s="2">
        <v>3</v>
      </c>
      <c r="H91" s="2">
        <f t="shared" si="16"/>
        <v>3</v>
      </c>
      <c r="I91" s="2">
        <f>COUNTIF('Fonte de Dados - Essentia'!C:C,"&lt;=46096")</f>
        <v>157</v>
      </c>
      <c r="J91" s="2">
        <f t="shared" si="8"/>
        <v>3</v>
      </c>
      <c r="K91" s="53">
        <f>SUM($F$2:G91)/M91</f>
        <v>9.5666666666666664</v>
      </c>
      <c r="L91" s="53">
        <f>AVERAGE(H$2:H91)</f>
        <v>9.5666666666666664</v>
      </c>
      <c r="M91" s="2">
        <v>90</v>
      </c>
      <c r="N91">
        <v>7.4463755207963578</v>
      </c>
    </row>
    <row r="92" spans="1:14" x14ac:dyDescent="0.25">
      <c r="A92" s="2" t="s">
        <v>185</v>
      </c>
      <c r="B92" s="2" t="str">
        <f t="shared" si="14"/>
        <v>2026</v>
      </c>
      <c r="C92" s="2" t="str">
        <f t="shared" si="15"/>
        <v>25</v>
      </c>
      <c r="D92" s="3">
        <f t="shared" si="20"/>
        <v>46188</v>
      </c>
      <c r="E92" s="3">
        <f t="shared" si="19"/>
        <v>46194</v>
      </c>
      <c r="F92" s="2">
        <v>0</v>
      </c>
      <c r="G92" s="2">
        <v>4</v>
      </c>
      <c r="H92" s="2">
        <f t="shared" si="16"/>
        <v>4</v>
      </c>
      <c r="I92" s="2">
        <f>COUNTIF('Fonte de Dados - Essentia'!C:C,"&lt;=46096")</f>
        <v>157</v>
      </c>
      <c r="J92" s="2">
        <f t="shared" ref="J92:J119" si="21">SUM(F92:G92)</f>
        <v>4</v>
      </c>
      <c r="K92" s="53">
        <f>SUM($F$2:G92)/M92</f>
        <v>9.5054945054945055</v>
      </c>
      <c r="L92" s="53">
        <f>AVERAGE(H$2:H92)</f>
        <v>9.5054945054945055</v>
      </c>
      <c r="M92" s="2">
        <v>91</v>
      </c>
      <c r="N92">
        <v>8.7063424623223931</v>
      </c>
    </row>
    <row r="93" spans="1:14" x14ac:dyDescent="0.25">
      <c r="A93" s="2" t="s">
        <v>186</v>
      </c>
      <c r="B93" s="2" t="str">
        <f t="shared" si="14"/>
        <v>2026</v>
      </c>
      <c r="C93" s="2" t="str">
        <f t="shared" si="15"/>
        <v>26</v>
      </c>
      <c r="D93" s="3">
        <f t="shared" si="20"/>
        <v>46195</v>
      </c>
      <c r="E93" s="3">
        <f t="shared" si="19"/>
        <v>46201</v>
      </c>
      <c r="F93" s="2">
        <v>0</v>
      </c>
      <c r="G93" s="2">
        <v>3</v>
      </c>
      <c r="H93" s="2">
        <f t="shared" si="16"/>
        <v>3</v>
      </c>
      <c r="I93" s="2">
        <f>COUNTIF('Fonte de Dados - Essentia'!C:C,"&lt;=46096")</f>
        <v>157</v>
      </c>
      <c r="J93" s="2">
        <f t="shared" si="21"/>
        <v>3</v>
      </c>
      <c r="K93" s="53">
        <f>SUM($F$2:G93)/M93</f>
        <v>9.4347826086956523</v>
      </c>
      <c r="L93" s="53">
        <f>AVERAGE(H$2:H93)</f>
        <v>9.4347826086956523</v>
      </c>
      <c r="M93" s="2">
        <v>92</v>
      </c>
      <c r="N93">
        <v>8.6474247835680806</v>
      </c>
    </row>
    <row r="94" spans="1:14" x14ac:dyDescent="0.25">
      <c r="A94" s="2" t="s">
        <v>187</v>
      </c>
      <c r="B94" s="2" t="str">
        <f t="shared" si="14"/>
        <v>2026</v>
      </c>
      <c r="C94" s="2" t="str">
        <f t="shared" si="15"/>
        <v>27</v>
      </c>
      <c r="D94" s="3">
        <f t="shared" si="20"/>
        <v>46202</v>
      </c>
      <c r="E94" s="3">
        <f t="shared" si="19"/>
        <v>46208</v>
      </c>
      <c r="F94" s="2">
        <v>0</v>
      </c>
      <c r="G94" s="2">
        <v>2</v>
      </c>
      <c r="H94" s="2">
        <f t="shared" si="16"/>
        <v>2</v>
      </c>
      <c r="I94" s="2">
        <f>COUNTIF('Fonte de Dados - Essentia'!C:C,"&lt;=46096")</f>
        <v>157</v>
      </c>
      <c r="J94" s="2">
        <f t="shared" si="21"/>
        <v>2</v>
      </c>
      <c r="K94" s="53">
        <f>SUM($F$2:G94)/M94</f>
        <v>9.3548387096774199</v>
      </c>
      <c r="L94" s="53">
        <f>AVERAGE(H$2:H94)</f>
        <v>9.3548387096774199</v>
      </c>
      <c r="M94" s="2">
        <v>93</v>
      </c>
      <c r="N94">
        <v>8.6887734855568883</v>
      </c>
    </row>
    <row r="95" spans="1:14" x14ac:dyDescent="0.25">
      <c r="A95" s="2" t="s">
        <v>188</v>
      </c>
      <c r="B95" s="2" t="str">
        <f t="shared" si="14"/>
        <v>2026</v>
      </c>
      <c r="C95" s="2" t="str">
        <f t="shared" si="15"/>
        <v>28</v>
      </c>
      <c r="D95" s="3">
        <f t="shared" si="20"/>
        <v>46209</v>
      </c>
      <c r="E95" s="3">
        <f t="shared" si="19"/>
        <v>46215</v>
      </c>
      <c r="F95" s="2">
        <v>0</v>
      </c>
      <c r="G95" s="2">
        <v>2</v>
      </c>
      <c r="H95" s="2">
        <f t="shared" si="16"/>
        <v>2</v>
      </c>
      <c r="I95" s="2">
        <f>COUNTIF('Fonte de Dados - Essentia'!C:C,"&lt;=46096")</f>
        <v>157</v>
      </c>
      <c r="J95" s="2">
        <f t="shared" ref="J95:J96" si="22">SUM(F95:G95)</f>
        <v>2</v>
      </c>
      <c r="K95" s="53">
        <f>SUM($F$2:G95)/M95</f>
        <v>9.2765957446808507</v>
      </c>
      <c r="L95" s="53">
        <f>AVERAGE(H$2:H95)</f>
        <v>9.2765957446808507</v>
      </c>
      <c r="M95" s="2">
        <v>94</v>
      </c>
      <c r="N95">
        <v>7.3433351648378791</v>
      </c>
    </row>
    <row r="96" spans="1:14" x14ac:dyDescent="0.25">
      <c r="A96" s="2" t="s">
        <v>189</v>
      </c>
      <c r="B96" s="2" t="str">
        <f t="shared" si="14"/>
        <v>2026</v>
      </c>
      <c r="C96" s="2" t="str">
        <f t="shared" si="15"/>
        <v>29</v>
      </c>
      <c r="D96" s="3">
        <f t="shared" si="20"/>
        <v>46216</v>
      </c>
      <c r="E96" s="3">
        <f t="shared" si="19"/>
        <v>46222</v>
      </c>
      <c r="F96" s="2">
        <v>0</v>
      </c>
      <c r="G96" s="2">
        <v>4</v>
      </c>
      <c r="H96" s="2">
        <f t="shared" si="16"/>
        <v>4</v>
      </c>
      <c r="I96" s="2">
        <f>COUNTIF('Fonte de Dados - Essentia'!C:C,"&lt;=46096")</f>
        <v>157</v>
      </c>
      <c r="J96" s="2">
        <f t="shared" si="22"/>
        <v>4</v>
      </c>
      <c r="K96" s="53">
        <f>SUM($F$2:G96)/M96</f>
        <v>9.2210526315789476</v>
      </c>
      <c r="L96" s="53">
        <f>AVERAGE(H$2:H96)</f>
        <v>9.2210526315789476</v>
      </c>
      <c r="M96" s="2">
        <v>95</v>
      </c>
      <c r="N96">
        <v>9.2846532541390836</v>
      </c>
    </row>
    <row r="97" spans="1:14" x14ac:dyDescent="0.25">
      <c r="A97" s="2" t="s">
        <v>190</v>
      </c>
      <c r="B97" s="2" t="str">
        <f t="shared" si="14"/>
        <v>2026</v>
      </c>
      <c r="C97" s="2" t="str">
        <f t="shared" si="15"/>
        <v>30</v>
      </c>
      <c r="D97" s="3">
        <f t="shared" si="20"/>
        <v>46223</v>
      </c>
      <c r="E97" s="3">
        <f t="shared" si="19"/>
        <v>46229</v>
      </c>
      <c r="F97" s="2">
        <v>0</v>
      </c>
      <c r="G97" s="2">
        <v>4</v>
      </c>
      <c r="H97" s="2">
        <f t="shared" si="16"/>
        <v>4</v>
      </c>
      <c r="I97" s="2"/>
      <c r="J97" s="2">
        <f t="shared" si="21"/>
        <v>4</v>
      </c>
      <c r="K97" s="53"/>
      <c r="L97" s="53"/>
      <c r="M97" s="2">
        <v>96</v>
      </c>
      <c r="N97">
        <v>8.6534314655122273</v>
      </c>
    </row>
    <row r="98" spans="1:14" x14ac:dyDescent="0.25">
      <c r="A98" s="2" t="s">
        <v>191</v>
      </c>
      <c r="B98" s="2" t="str">
        <f t="shared" ref="B98:B119" si="23">LEFT(A98,4)</f>
        <v>2026</v>
      </c>
      <c r="C98" s="2" t="str">
        <f t="shared" ref="C98:C119" si="24">RIGHT(A98,2)</f>
        <v>31</v>
      </c>
      <c r="D98" s="3">
        <f t="shared" si="20"/>
        <v>46230</v>
      </c>
      <c r="E98" s="3">
        <f t="shared" si="19"/>
        <v>46236</v>
      </c>
      <c r="F98" s="2">
        <v>0</v>
      </c>
      <c r="G98" s="2">
        <v>3</v>
      </c>
      <c r="H98" s="2">
        <f t="shared" ref="H98:H119" si="25">F98+G98</f>
        <v>3</v>
      </c>
      <c r="I98" s="2"/>
      <c r="J98" s="2">
        <f t="shared" si="21"/>
        <v>3</v>
      </c>
      <c r="K98" s="53"/>
      <c r="L98" s="53"/>
      <c r="M98" s="2">
        <v>97</v>
      </c>
      <c r="N98">
        <v>9.337415162777889</v>
      </c>
    </row>
    <row r="99" spans="1:14" x14ac:dyDescent="0.25">
      <c r="A99" s="2" t="s">
        <v>192</v>
      </c>
      <c r="B99" s="2" t="str">
        <f t="shared" si="23"/>
        <v>2026</v>
      </c>
      <c r="C99" s="2" t="str">
        <f t="shared" si="24"/>
        <v>32</v>
      </c>
      <c r="D99" s="3">
        <f t="shared" si="20"/>
        <v>46237</v>
      </c>
      <c r="E99" s="3">
        <f t="shared" si="19"/>
        <v>46243</v>
      </c>
      <c r="F99" s="2">
        <v>1</v>
      </c>
      <c r="G99" s="2">
        <v>5</v>
      </c>
      <c r="H99" s="2">
        <f t="shared" si="25"/>
        <v>6</v>
      </c>
      <c r="I99" s="2"/>
      <c r="J99" s="2">
        <f t="shared" si="21"/>
        <v>6</v>
      </c>
      <c r="K99" s="53"/>
      <c r="L99" s="53"/>
      <c r="M99" s="2">
        <v>98</v>
      </c>
    </row>
    <row r="100" spans="1:14" x14ac:dyDescent="0.25">
      <c r="A100" s="2" t="s">
        <v>193</v>
      </c>
      <c r="B100" s="2" t="str">
        <f t="shared" si="23"/>
        <v>2026</v>
      </c>
      <c r="C100" s="2" t="str">
        <f t="shared" si="24"/>
        <v>33</v>
      </c>
      <c r="D100" s="3">
        <f t="shared" si="20"/>
        <v>46244</v>
      </c>
      <c r="E100" s="3">
        <f t="shared" si="19"/>
        <v>46250</v>
      </c>
      <c r="F100" s="2">
        <v>1</v>
      </c>
      <c r="G100" s="2">
        <v>5</v>
      </c>
      <c r="H100" s="2">
        <f t="shared" si="25"/>
        <v>6</v>
      </c>
      <c r="I100" s="2"/>
      <c r="J100" s="2">
        <f t="shared" si="21"/>
        <v>6</v>
      </c>
      <c r="K100" s="53"/>
      <c r="L100" s="53"/>
      <c r="M100" s="2">
        <v>99</v>
      </c>
    </row>
    <row r="101" spans="1:14" x14ac:dyDescent="0.25">
      <c r="A101" s="2" t="s">
        <v>194</v>
      </c>
      <c r="B101" s="2" t="str">
        <f t="shared" si="23"/>
        <v>2026</v>
      </c>
      <c r="C101" s="2" t="str">
        <f t="shared" si="24"/>
        <v>34</v>
      </c>
      <c r="D101" s="3">
        <f t="shared" si="20"/>
        <v>46251</v>
      </c>
      <c r="E101" s="3">
        <f t="shared" si="19"/>
        <v>46257</v>
      </c>
      <c r="F101" s="2">
        <v>0</v>
      </c>
      <c r="G101" s="2">
        <v>3</v>
      </c>
      <c r="H101" s="2">
        <f t="shared" si="25"/>
        <v>3</v>
      </c>
      <c r="I101" s="2"/>
      <c r="J101" s="2">
        <f t="shared" si="21"/>
        <v>3</v>
      </c>
      <c r="K101" s="53"/>
      <c r="L101" s="53"/>
      <c r="M101" s="2">
        <v>100</v>
      </c>
    </row>
    <row r="102" spans="1:14" x14ac:dyDescent="0.25">
      <c r="A102" s="2" t="s">
        <v>195</v>
      </c>
      <c r="B102" s="2" t="str">
        <f t="shared" si="23"/>
        <v>2026</v>
      </c>
      <c r="C102" s="2" t="str">
        <f t="shared" si="24"/>
        <v>35</v>
      </c>
      <c r="D102" s="3">
        <f t="shared" si="20"/>
        <v>46258</v>
      </c>
      <c r="E102" s="3">
        <f t="shared" si="19"/>
        <v>46264</v>
      </c>
      <c r="F102" s="2">
        <v>0</v>
      </c>
      <c r="G102" s="2">
        <v>2</v>
      </c>
      <c r="H102" s="2">
        <f t="shared" si="25"/>
        <v>2</v>
      </c>
      <c r="I102" s="2"/>
      <c r="J102" s="2">
        <f t="shared" si="21"/>
        <v>2</v>
      </c>
      <c r="K102" s="53"/>
      <c r="L102" s="53"/>
      <c r="M102" s="2">
        <v>101</v>
      </c>
    </row>
    <row r="103" spans="1:14" x14ac:dyDescent="0.25">
      <c r="A103" s="2" t="s">
        <v>196</v>
      </c>
      <c r="B103" s="2" t="str">
        <f t="shared" si="23"/>
        <v>2026</v>
      </c>
      <c r="C103" s="2" t="str">
        <f t="shared" si="24"/>
        <v>36</v>
      </c>
      <c r="D103" s="3">
        <f t="shared" si="20"/>
        <v>46265</v>
      </c>
      <c r="E103" s="3">
        <f t="shared" si="19"/>
        <v>46271</v>
      </c>
      <c r="F103" s="2">
        <v>1</v>
      </c>
      <c r="G103" s="2">
        <v>2</v>
      </c>
      <c r="H103" s="2">
        <f t="shared" si="25"/>
        <v>3</v>
      </c>
      <c r="I103" s="2"/>
      <c r="J103" s="2">
        <f t="shared" si="21"/>
        <v>3</v>
      </c>
      <c r="K103" s="53"/>
      <c r="L103" s="53"/>
      <c r="M103" s="2">
        <v>102</v>
      </c>
    </row>
    <row r="104" spans="1:14" x14ac:dyDescent="0.25">
      <c r="A104" s="2" t="s">
        <v>197</v>
      </c>
      <c r="B104" s="2" t="str">
        <f t="shared" si="23"/>
        <v>2026</v>
      </c>
      <c r="C104" s="2" t="str">
        <f t="shared" si="24"/>
        <v>37</v>
      </c>
      <c r="D104" s="3">
        <f t="shared" si="20"/>
        <v>46272</v>
      </c>
      <c r="E104" s="3">
        <f t="shared" si="19"/>
        <v>46278</v>
      </c>
      <c r="F104" s="2">
        <v>0</v>
      </c>
      <c r="G104" s="2">
        <v>2</v>
      </c>
      <c r="H104" s="2">
        <f t="shared" si="25"/>
        <v>2</v>
      </c>
      <c r="I104" s="2"/>
      <c r="J104" s="2">
        <f t="shared" si="21"/>
        <v>2</v>
      </c>
      <c r="K104" s="53"/>
      <c r="L104" s="53"/>
      <c r="M104" s="2">
        <v>103</v>
      </c>
    </row>
    <row r="105" spans="1:14" x14ac:dyDescent="0.25">
      <c r="A105" s="2" t="s">
        <v>198</v>
      </c>
      <c r="B105" s="2" t="str">
        <f t="shared" si="23"/>
        <v>2026</v>
      </c>
      <c r="C105" s="2" t="str">
        <f t="shared" si="24"/>
        <v>38</v>
      </c>
      <c r="D105" s="3">
        <f t="shared" si="20"/>
        <v>46279</v>
      </c>
      <c r="E105" s="3">
        <f t="shared" si="19"/>
        <v>46285</v>
      </c>
      <c r="F105" s="2">
        <v>1</v>
      </c>
      <c r="G105" s="2">
        <v>3</v>
      </c>
      <c r="H105" s="2">
        <f t="shared" si="25"/>
        <v>4</v>
      </c>
      <c r="I105" s="2"/>
      <c r="J105" s="2">
        <f t="shared" si="21"/>
        <v>4</v>
      </c>
      <c r="K105" s="53"/>
      <c r="L105" s="53"/>
      <c r="M105" s="2">
        <v>104</v>
      </c>
    </row>
    <row r="106" spans="1:14" x14ac:dyDescent="0.25">
      <c r="A106" s="2" t="s">
        <v>199</v>
      </c>
      <c r="B106" s="2" t="str">
        <f t="shared" si="23"/>
        <v>2026</v>
      </c>
      <c r="C106" s="2" t="str">
        <f t="shared" si="24"/>
        <v>39</v>
      </c>
      <c r="D106" s="3">
        <f t="shared" si="20"/>
        <v>46286</v>
      </c>
      <c r="E106" s="3">
        <f t="shared" si="19"/>
        <v>46292</v>
      </c>
      <c r="F106" s="2">
        <v>0</v>
      </c>
      <c r="G106" s="2">
        <v>4</v>
      </c>
      <c r="H106" s="2">
        <f t="shared" si="25"/>
        <v>4</v>
      </c>
      <c r="I106" s="2"/>
      <c r="J106" s="2">
        <f t="shared" si="21"/>
        <v>4</v>
      </c>
      <c r="K106" s="53"/>
      <c r="L106" s="53"/>
      <c r="M106" s="2">
        <v>105</v>
      </c>
    </row>
    <row r="107" spans="1:14" x14ac:dyDescent="0.25">
      <c r="A107" s="2" t="s">
        <v>200</v>
      </c>
      <c r="B107" s="2" t="str">
        <f t="shared" si="23"/>
        <v>2026</v>
      </c>
      <c r="C107" s="2" t="str">
        <f t="shared" si="24"/>
        <v>40</v>
      </c>
      <c r="D107" s="3">
        <f t="shared" si="20"/>
        <v>46293</v>
      </c>
      <c r="E107" s="3">
        <f t="shared" si="19"/>
        <v>46299</v>
      </c>
      <c r="F107" s="2"/>
      <c r="G107" s="2"/>
      <c r="H107" s="2">
        <f t="shared" si="25"/>
        <v>0</v>
      </c>
      <c r="I107" s="2"/>
      <c r="J107" s="2">
        <f t="shared" si="21"/>
        <v>0</v>
      </c>
      <c r="K107" s="53"/>
      <c r="L107" s="53"/>
      <c r="M107" s="2">
        <v>106</v>
      </c>
    </row>
    <row r="108" spans="1:14" x14ac:dyDescent="0.25">
      <c r="A108" s="2" t="s">
        <v>201</v>
      </c>
      <c r="B108" s="2" t="str">
        <f t="shared" si="23"/>
        <v>2026</v>
      </c>
      <c r="C108" s="2" t="str">
        <f t="shared" si="24"/>
        <v>41</v>
      </c>
      <c r="D108" s="3">
        <f t="shared" si="20"/>
        <v>46300</v>
      </c>
      <c r="E108" s="3">
        <f t="shared" si="19"/>
        <v>46306</v>
      </c>
      <c r="F108" s="2"/>
      <c r="G108" s="2"/>
      <c r="H108" s="2">
        <f t="shared" si="25"/>
        <v>0</v>
      </c>
      <c r="I108" s="2"/>
      <c r="J108" s="2">
        <f t="shared" si="21"/>
        <v>0</v>
      </c>
      <c r="K108" s="53"/>
      <c r="L108" s="53"/>
      <c r="M108" s="2">
        <v>107</v>
      </c>
    </row>
    <row r="109" spans="1:14" x14ac:dyDescent="0.25">
      <c r="A109" s="2" t="s">
        <v>202</v>
      </c>
      <c r="B109" s="2" t="str">
        <f t="shared" si="23"/>
        <v>2026</v>
      </c>
      <c r="C109" s="2" t="str">
        <f t="shared" si="24"/>
        <v>42</v>
      </c>
      <c r="D109" s="3">
        <f t="shared" si="20"/>
        <v>46307</v>
      </c>
      <c r="E109" s="3">
        <f t="shared" si="19"/>
        <v>46313</v>
      </c>
      <c r="F109" s="2"/>
      <c r="G109" s="2"/>
      <c r="H109" s="2">
        <f t="shared" si="25"/>
        <v>0</v>
      </c>
      <c r="I109" s="2"/>
      <c r="J109" s="2">
        <f t="shared" si="21"/>
        <v>0</v>
      </c>
      <c r="K109" s="53"/>
      <c r="L109" s="53"/>
      <c r="M109" s="2">
        <v>108</v>
      </c>
    </row>
    <row r="110" spans="1:14" x14ac:dyDescent="0.25">
      <c r="A110" s="2" t="s">
        <v>203</v>
      </c>
      <c r="B110" s="2" t="str">
        <f t="shared" si="23"/>
        <v>2026</v>
      </c>
      <c r="C110" s="2" t="str">
        <f t="shared" si="24"/>
        <v>43</v>
      </c>
      <c r="D110" s="3">
        <f t="shared" si="20"/>
        <v>46314</v>
      </c>
      <c r="E110" s="3">
        <f t="shared" si="19"/>
        <v>46320</v>
      </c>
      <c r="F110" s="2"/>
      <c r="G110" s="2"/>
      <c r="H110" s="2">
        <f t="shared" si="25"/>
        <v>0</v>
      </c>
      <c r="I110" s="2"/>
      <c r="J110" s="2">
        <f t="shared" si="21"/>
        <v>0</v>
      </c>
      <c r="K110" s="53"/>
      <c r="L110" s="53"/>
      <c r="M110" s="2">
        <v>109</v>
      </c>
    </row>
    <row r="111" spans="1:14" x14ac:dyDescent="0.25">
      <c r="A111" s="2" t="s">
        <v>204</v>
      </c>
      <c r="B111" s="2" t="str">
        <f t="shared" si="23"/>
        <v>2026</v>
      </c>
      <c r="C111" s="2" t="str">
        <f t="shared" si="24"/>
        <v>44</v>
      </c>
      <c r="D111" s="3">
        <f t="shared" si="20"/>
        <v>46321</v>
      </c>
      <c r="E111" s="3">
        <f t="shared" si="19"/>
        <v>46327</v>
      </c>
      <c r="F111" s="2"/>
      <c r="G111" s="2"/>
      <c r="H111" s="2">
        <f t="shared" si="25"/>
        <v>0</v>
      </c>
      <c r="I111" s="2"/>
      <c r="J111" s="2">
        <f t="shared" si="21"/>
        <v>0</v>
      </c>
      <c r="K111" s="53"/>
      <c r="L111" s="53"/>
      <c r="M111" s="2">
        <v>110</v>
      </c>
    </row>
    <row r="112" spans="1:14" x14ac:dyDescent="0.25">
      <c r="A112" s="2" t="s">
        <v>205</v>
      </c>
      <c r="B112" s="2" t="str">
        <f t="shared" si="23"/>
        <v>2026</v>
      </c>
      <c r="C112" s="2" t="str">
        <f t="shared" si="24"/>
        <v>45</v>
      </c>
      <c r="D112" s="3">
        <f t="shared" si="20"/>
        <v>46328</v>
      </c>
      <c r="E112" s="3">
        <f t="shared" si="19"/>
        <v>46334</v>
      </c>
      <c r="F112" s="2"/>
      <c r="G112" s="2"/>
      <c r="H112" s="2">
        <f t="shared" si="25"/>
        <v>0</v>
      </c>
      <c r="I112" s="2"/>
      <c r="J112" s="2">
        <f t="shared" si="21"/>
        <v>0</v>
      </c>
      <c r="K112" s="53"/>
      <c r="L112" s="53"/>
      <c r="M112" s="2">
        <v>111</v>
      </c>
    </row>
    <row r="113" spans="1:13" x14ac:dyDescent="0.25">
      <c r="A113" s="2" t="s">
        <v>206</v>
      </c>
      <c r="B113" s="2" t="str">
        <f t="shared" si="23"/>
        <v>2026</v>
      </c>
      <c r="C113" s="2" t="str">
        <f t="shared" si="24"/>
        <v>46</v>
      </c>
      <c r="D113" s="3">
        <f t="shared" si="20"/>
        <v>46335</v>
      </c>
      <c r="E113" s="3">
        <f t="shared" si="19"/>
        <v>46341</v>
      </c>
      <c r="F113" s="2"/>
      <c r="G113" s="2"/>
      <c r="H113" s="2">
        <f t="shared" si="25"/>
        <v>0</v>
      </c>
      <c r="I113" s="2"/>
      <c r="J113" s="2">
        <f t="shared" si="21"/>
        <v>0</v>
      </c>
      <c r="K113" s="53"/>
      <c r="L113" s="53"/>
      <c r="M113" s="2">
        <v>112</v>
      </c>
    </row>
    <row r="114" spans="1:13" x14ac:dyDescent="0.25">
      <c r="A114" s="2" t="s">
        <v>207</v>
      </c>
      <c r="B114" s="2" t="str">
        <f t="shared" si="23"/>
        <v>2026</v>
      </c>
      <c r="C114" s="2" t="str">
        <f t="shared" si="24"/>
        <v>47</v>
      </c>
      <c r="D114" s="3">
        <f t="shared" si="20"/>
        <v>46342</v>
      </c>
      <c r="E114" s="3">
        <f t="shared" si="19"/>
        <v>46348</v>
      </c>
      <c r="F114" s="2"/>
      <c r="G114" s="2"/>
      <c r="H114" s="2">
        <f t="shared" si="25"/>
        <v>0</v>
      </c>
      <c r="I114" s="2"/>
      <c r="J114" s="2">
        <f t="shared" si="21"/>
        <v>0</v>
      </c>
      <c r="K114" s="53"/>
      <c r="L114" s="53"/>
      <c r="M114" s="2">
        <v>113</v>
      </c>
    </row>
    <row r="115" spans="1:13" x14ac:dyDescent="0.25">
      <c r="A115" s="2" t="s">
        <v>208</v>
      </c>
      <c r="B115" s="2" t="str">
        <f t="shared" si="23"/>
        <v>2026</v>
      </c>
      <c r="C115" s="2" t="str">
        <f t="shared" si="24"/>
        <v>48</v>
      </c>
      <c r="D115" s="3">
        <f t="shared" si="20"/>
        <v>46349</v>
      </c>
      <c r="E115" s="3">
        <f t="shared" si="19"/>
        <v>46355</v>
      </c>
      <c r="F115" s="2"/>
      <c r="G115" s="2"/>
      <c r="H115" s="2">
        <f t="shared" si="25"/>
        <v>0</v>
      </c>
      <c r="I115" s="2"/>
      <c r="J115" s="2">
        <f t="shared" si="21"/>
        <v>0</v>
      </c>
      <c r="K115" s="53"/>
      <c r="L115" s="53"/>
      <c r="M115" s="2">
        <v>114</v>
      </c>
    </row>
    <row r="116" spans="1:13" x14ac:dyDescent="0.25">
      <c r="A116" s="2" t="s">
        <v>209</v>
      </c>
      <c r="B116" s="2" t="str">
        <f t="shared" si="23"/>
        <v>2026</v>
      </c>
      <c r="C116" s="2" t="str">
        <f t="shared" si="24"/>
        <v>49</v>
      </c>
      <c r="D116" s="3">
        <f t="shared" si="20"/>
        <v>46356</v>
      </c>
      <c r="E116" s="3">
        <f t="shared" si="19"/>
        <v>46362</v>
      </c>
      <c r="F116" s="2"/>
      <c r="G116" s="2"/>
      <c r="H116" s="2">
        <f t="shared" si="25"/>
        <v>0</v>
      </c>
      <c r="I116" s="2"/>
      <c r="J116" s="2">
        <f t="shared" si="21"/>
        <v>0</v>
      </c>
      <c r="K116" s="53"/>
      <c r="L116" s="53"/>
      <c r="M116" s="2">
        <v>115</v>
      </c>
    </row>
    <row r="117" spans="1:13" x14ac:dyDescent="0.25">
      <c r="A117" s="2" t="s">
        <v>210</v>
      </c>
      <c r="B117" s="2" t="str">
        <f t="shared" si="23"/>
        <v>2026</v>
      </c>
      <c r="C117" s="2" t="str">
        <f t="shared" si="24"/>
        <v>50</v>
      </c>
      <c r="D117" s="3">
        <f t="shared" si="20"/>
        <v>46363</v>
      </c>
      <c r="E117" s="3">
        <f t="shared" si="19"/>
        <v>46369</v>
      </c>
      <c r="F117" s="2"/>
      <c r="G117" s="2"/>
      <c r="H117" s="2">
        <f t="shared" si="25"/>
        <v>0</v>
      </c>
      <c r="I117" s="2"/>
      <c r="J117" s="2">
        <f t="shared" si="21"/>
        <v>0</v>
      </c>
      <c r="K117" s="53"/>
      <c r="L117" s="53"/>
      <c r="M117" s="2">
        <v>116</v>
      </c>
    </row>
    <row r="118" spans="1:13" x14ac:dyDescent="0.25">
      <c r="A118" s="2" t="s">
        <v>211</v>
      </c>
      <c r="B118" s="2" t="str">
        <f t="shared" si="23"/>
        <v>2026</v>
      </c>
      <c r="C118" s="2" t="str">
        <f t="shared" si="24"/>
        <v>51</v>
      </c>
      <c r="D118" s="3">
        <f t="shared" si="20"/>
        <v>46370</v>
      </c>
      <c r="E118" s="3">
        <f t="shared" si="19"/>
        <v>46376</v>
      </c>
      <c r="F118" s="2"/>
      <c r="G118" s="2"/>
      <c r="H118" s="2">
        <f t="shared" si="25"/>
        <v>0</v>
      </c>
      <c r="I118" s="2"/>
      <c r="J118" s="2">
        <f t="shared" si="21"/>
        <v>0</v>
      </c>
      <c r="K118" s="53"/>
      <c r="L118" s="53"/>
      <c r="M118" s="2">
        <v>117</v>
      </c>
    </row>
    <row r="119" spans="1:13" x14ac:dyDescent="0.25">
      <c r="A119" s="2" t="s">
        <v>212</v>
      </c>
      <c r="B119" s="2" t="str">
        <f t="shared" si="23"/>
        <v>2026</v>
      </c>
      <c r="C119" s="2" t="str">
        <f t="shared" si="24"/>
        <v>52</v>
      </c>
      <c r="D119" s="3">
        <f t="shared" si="20"/>
        <v>46377</v>
      </c>
      <c r="E119" s="3">
        <f t="shared" si="19"/>
        <v>46383</v>
      </c>
      <c r="F119" s="2"/>
      <c r="G119" s="2"/>
      <c r="H119" s="2">
        <f t="shared" si="25"/>
        <v>0</v>
      </c>
      <c r="I119" s="2"/>
      <c r="J119" s="2">
        <f t="shared" si="21"/>
        <v>0</v>
      </c>
      <c r="K119" s="53"/>
      <c r="L119" s="53"/>
      <c r="M119" s="2">
        <v>118</v>
      </c>
    </row>
  </sheetData>
  <autoFilter ref="A1:N119" xr:uid="{EF7123D2-8105-4128-A4BE-C471EE1E4C9F}">
    <filterColumn colId="1">
      <filters>
        <filter val="2025"/>
        <filter val="2026"/>
      </filters>
    </filterColumn>
  </autoFilter>
  <phoneticPr fontId="10" type="noConversion"/>
  <pageMargins left="0.511811024" right="0.511811024" top="0.78740157499999996" bottom="0.78740157499999996" header="0.31496062000000002" footer="0.31496062000000002"/>
  <ignoredErrors>
    <ignoredError sqref="I2" formulaRange="1"/>
  </ignoredErrors>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F38918-2000-41EC-828D-D3D1F33E2FA2}">
  <sheetPr codeName="Planilha7" filterMode="1">
    <tabColor rgb="FF004976"/>
  </sheetPr>
  <dimension ref="A1:T1048576"/>
  <sheetViews>
    <sheetView showGridLines="0" tabSelected="1" zoomScale="85" zoomScaleNormal="85" workbookViewId="0">
      <pane xSplit="2" ySplit="3" topLeftCell="C233" activePane="bottomRight" state="frozen"/>
      <selection pane="topRight" activeCell="C1" sqref="C1"/>
      <selection pane="bottomLeft" activeCell="A3" sqref="A3"/>
      <selection pane="bottomRight" activeCell="C237" sqref="C237"/>
    </sheetView>
  </sheetViews>
  <sheetFormatPr defaultColWidth="0" defaultRowHeight="15" x14ac:dyDescent="0.25"/>
  <cols>
    <col min="1" max="1" width="11.28515625" style="68" customWidth="1"/>
    <col min="2" max="2" width="13.28515625" style="68" bestFit="1" customWidth="1"/>
    <col min="3" max="3" width="14.7109375" style="68" customWidth="1"/>
    <col min="4" max="4" width="12.42578125" style="68" customWidth="1"/>
    <col min="5" max="5" width="13.28515625" style="87" customWidth="1"/>
    <col min="6" max="6" width="14" style="68" customWidth="1"/>
    <col min="7" max="7" width="20.28515625" style="86" customWidth="1"/>
    <col min="8" max="8" width="48.7109375" style="71" customWidth="1"/>
    <col min="9" max="9" width="19.7109375" style="68" customWidth="1"/>
    <col min="10" max="10" width="24.7109375" style="68" customWidth="1"/>
    <col min="11" max="11" width="74.7109375" style="72" customWidth="1"/>
    <col min="12" max="12" width="9.7109375" style="73" customWidth="1"/>
    <col min="13" max="13" width="27.7109375" style="74" bestFit="1" customWidth="1"/>
    <col min="14" max="14" width="24" style="57" hidden="1" customWidth="1"/>
    <col min="15" max="15" width="14.28515625" style="72" hidden="1" customWidth="1"/>
    <col min="16" max="16" width="15.7109375" style="72" hidden="1" customWidth="1"/>
    <col min="17" max="17" width="19.140625" style="57" hidden="1" customWidth="1"/>
    <col min="18" max="19" width="10.28515625" style="57" hidden="1" customWidth="1"/>
    <col min="20" max="20" width="0" style="57" hidden="1" customWidth="1"/>
    <col min="21" max="16384" width="8.85546875" style="57" hidden="1"/>
  </cols>
  <sheetData>
    <row r="1" spans="1:20" s="56" customFormat="1" ht="42.6" customHeight="1" x14ac:dyDescent="0.25">
      <c r="A1" s="62"/>
      <c r="B1" s="62"/>
      <c r="C1" s="62"/>
      <c r="D1" s="62"/>
      <c r="E1" s="63"/>
      <c r="F1" s="62"/>
      <c r="G1" s="64"/>
      <c r="H1" s="79" t="s">
        <v>60</v>
      </c>
      <c r="I1" s="62"/>
      <c r="J1" s="62"/>
      <c r="K1" s="65"/>
      <c r="L1" s="66"/>
      <c r="M1" s="67"/>
      <c r="O1" s="65"/>
      <c r="P1" s="65"/>
    </row>
    <row r="2" spans="1:20" x14ac:dyDescent="0.25">
      <c r="C2" s="76" t="s">
        <v>213</v>
      </c>
      <c r="D2" s="77"/>
      <c r="E2" s="69"/>
      <c r="F2" s="78">
        <f ca="1">TODAY()</f>
        <v>46290</v>
      </c>
      <c r="G2" s="70"/>
      <c r="P2" s="75"/>
    </row>
    <row r="3" spans="1:20" s="6" customFormat="1" ht="46.9" customHeight="1" x14ac:dyDescent="0.25">
      <c r="A3" s="80" t="s">
        <v>34</v>
      </c>
      <c r="B3" s="80" t="s">
        <v>33</v>
      </c>
      <c r="C3" s="80" t="s">
        <v>45</v>
      </c>
      <c r="D3" s="80" t="s">
        <v>214</v>
      </c>
      <c r="E3" s="80" t="s">
        <v>62</v>
      </c>
      <c r="F3" s="80" t="s">
        <v>47</v>
      </c>
      <c r="G3" s="81" t="s">
        <v>46</v>
      </c>
      <c r="H3" s="80" t="s">
        <v>48</v>
      </c>
      <c r="I3" s="80" t="s">
        <v>49</v>
      </c>
      <c r="J3" s="80" t="s">
        <v>39</v>
      </c>
      <c r="K3" s="82" t="s">
        <v>215</v>
      </c>
      <c r="L3" s="83" t="s">
        <v>216</v>
      </c>
      <c r="M3" s="84" t="s">
        <v>217</v>
      </c>
      <c r="N3" s="42" t="s">
        <v>218</v>
      </c>
      <c r="O3" s="45" t="s">
        <v>219</v>
      </c>
      <c r="P3" s="41" t="s">
        <v>220</v>
      </c>
      <c r="Q3" s="41" t="s">
        <v>221</v>
      </c>
      <c r="R3" s="15">
        <v>45292</v>
      </c>
    </row>
    <row r="4" spans="1:20" s="99" customFormat="1" ht="14.45" hidden="1" x14ac:dyDescent="0.25">
      <c r="A4" s="88" t="s">
        <v>77</v>
      </c>
      <c r="B4" s="89" t="s">
        <v>222</v>
      </c>
      <c r="C4" s="90">
        <v>45610</v>
      </c>
      <c r="D4" s="90">
        <v>45610</v>
      </c>
      <c r="E4" s="90" t="s">
        <v>223</v>
      </c>
      <c r="F4" s="88" t="str">
        <f ca="1">IF(D4="",TODAY()-C4,"-")</f>
        <v>-</v>
      </c>
      <c r="G4" s="90">
        <v>45610</v>
      </c>
      <c r="H4" s="91" t="s">
        <v>224</v>
      </c>
      <c r="I4" s="92" t="s">
        <v>225</v>
      </c>
      <c r="J4" s="92" t="s">
        <v>225</v>
      </c>
      <c r="K4" s="93" t="s">
        <v>226</v>
      </c>
      <c r="L4" s="94"/>
      <c r="M4" s="95" t="s">
        <v>227</v>
      </c>
      <c r="N4" s="96" t="s">
        <v>228</v>
      </c>
      <c r="O4" s="93" t="s">
        <v>229</v>
      </c>
      <c r="P4" s="97">
        <f ca="1">IF(O4="Invenergy",IF(F4="-",(D4-C4)*24,F4*24),0)</f>
        <v>0</v>
      </c>
      <c r="Q4" s="98">
        <f ca="1">P4/VLOOKUP(A4,'YTD Hours'!$A$2:$D$5,4,0)</f>
        <v>0</v>
      </c>
      <c r="R4" s="96">
        <f>(C4-$R$3)/7</f>
        <v>45.428571428571431</v>
      </c>
      <c r="S4" s="99">
        <f t="shared" ref="S4:S27" si="0">IF(D4=0,"",(D4-$R$3)/7)</f>
        <v>45.428571428571431</v>
      </c>
      <c r="T4" s="99">
        <v>1</v>
      </c>
    </row>
    <row r="5" spans="1:20" s="99" customFormat="1" ht="14.45" hidden="1" x14ac:dyDescent="0.25">
      <c r="A5" s="88" t="s">
        <v>44</v>
      </c>
      <c r="B5" s="89" t="s">
        <v>230</v>
      </c>
      <c r="C5" s="100">
        <v>45609</v>
      </c>
      <c r="D5" s="90">
        <v>45611</v>
      </c>
      <c r="E5" s="90" t="s">
        <v>223</v>
      </c>
      <c r="F5" s="88" t="str">
        <f ca="1">IF(D5="",TODAY()-C5,"-")</f>
        <v>-</v>
      </c>
      <c r="G5" s="90">
        <v>45611</v>
      </c>
      <c r="H5" s="91" t="s">
        <v>51</v>
      </c>
      <c r="I5" s="88" t="s">
        <v>52</v>
      </c>
      <c r="J5" s="88" t="s">
        <v>225</v>
      </c>
      <c r="K5" s="93" t="s">
        <v>231</v>
      </c>
      <c r="L5" s="94"/>
      <c r="M5" s="95" t="s">
        <v>232</v>
      </c>
      <c r="N5" s="96" t="s">
        <v>233</v>
      </c>
      <c r="O5" s="93" t="s">
        <v>229</v>
      </c>
      <c r="P5" s="97">
        <f ca="1">IF(O5="Invenergy",IF(F5="-",(D5-C5)*24,F5*24),0)</f>
        <v>48</v>
      </c>
      <c r="Q5" s="98">
        <f ca="1">P5/VLOOKUP(A5,'YTD Hours'!$A$2:$D$5,4,0)</f>
        <v>2.7624309392265193E-5</v>
      </c>
      <c r="R5" s="96">
        <f>(C5-$R$3)/7</f>
        <v>45.285714285714285</v>
      </c>
      <c r="S5" s="99">
        <f t="shared" si="0"/>
        <v>45.571428571428569</v>
      </c>
      <c r="T5" s="99">
        <v>1</v>
      </c>
    </row>
    <row r="6" spans="1:20" s="99" customFormat="1" ht="43.15" hidden="1" x14ac:dyDescent="0.25">
      <c r="A6" s="88" t="s">
        <v>78</v>
      </c>
      <c r="B6" s="89" t="s">
        <v>234</v>
      </c>
      <c r="C6" s="90">
        <v>45607</v>
      </c>
      <c r="D6" s="90">
        <v>45612</v>
      </c>
      <c r="E6" s="90" t="s">
        <v>223</v>
      </c>
      <c r="F6" s="88" t="str">
        <f ca="1">IF(D6="",TODAY()-C6,"-")</f>
        <v>-</v>
      </c>
      <c r="G6" s="90">
        <v>45610</v>
      </c>
      <c r="H6" s="91" t="s">
        <v>235</v>
      </c>
      <c r="I6" s="88" t="s">
        <v>52</v>
      </c>
      <c r="J6" s="88" t="s">
        <v>75</v>
      </c>
      <c r="K6" s="93" t="s">
        <v>236</v>
      </c>
      <c r="L6" s="94"/>
      <c r="M6" s="95" t="s">
        <v>227</v>
      </c>
      <c r="N6" s="96" t="s">
        <v>228</v>
      </c>
      <c r="O6" s="93" t="s">
        <v>229</v>
      </c>
      <c r="P6" s="97">
        <f ca="1">IF(O6="Invenergy",IF(F6="-",(D6-C6)*24,F6*24),0)</f>
        <v>120</v>
      </c>
      <c r="Q6" s="98">
        <f ca="1">P6/VLOOKUP(A6,'YTD Hours'!$A$2:$D$5,4,0)</f>
        <v>6.9060773480662989E-5</v>
      </c>
      <c r="R6" s="96">
        <f>(C6-$R$3)/7</f>
        <v>45</v>
      </c>
      <c r="S6" s="99">
        <f t="shared" si="0"/>
        <v>45.714285714285715</v>
      </c>
      <c r="T6" s="99">
        <v>1</v>
      </c>
    </row>
    <row r="7" spans="1:20" s="102" customFormat="1" ht="14.45" hidden="1" x14ac:dyDescent="0.25">
      <c r="A7" s="88" t="s">
        <v>44</v>
      </c>
      <c r="B7" s="89" t="s">
        <v>237</v>
      </c>
      <c r="C7" s="100">
        <v>45606</v>
      </c>
      <c r="D7" s="90">
        <v>45613</v>
      </c>
      <c r="E7" s="90" t="s">
        <v>223</v>
      </c>
      <c r="F7" s="88" t="str">
        <f ca="1">IF(D7="",TODAY()-C7,"-")</f>
        <v>-</v>
      </c>
      <c r="G7" s="92">
        <v>45610</v>
      </c>
      <c r="H7" s="91" t="s">
        <v>51</v>
      </c>
      <c r="I7" s="88" t="s">
        <v>52</v>
      </c>
      <c r="J7" s="88" t="s">
        <v>225</v>
      </c>
      <c r="K7" s="93" t="s">
        <v>55</v>
      </c>
      <c r="L7" s="94"/>
      <c r="M7" s="101" t="s">
        <v>232</v>
      </c>
      <c r="N7" s="96" t="s">
        <v>238</v>
      </c>
      <c r="O7" s="93" t="s">
        <v>229</v>
      </c>
      <c r="P7" s="97">
        <f ca="1">IF(O7="Invenergy",IF(F7="-",(D7-C7)*24,F7*24),0)</f>
        <v>168</v>
      </c>
      <c r="Q7" s="98">
        <f ca="1">P7/VLOOKUP(A7,'YTD Hours'!$A$2:$D$5,4,0)</f>
        <v>9.6685082872928179E-5</v>
      </c>
      <c r="R7" s="96">
        <f>(C7-$R$3)/7</f>
        <v>44.857142857142854</v>
      </c>
      <c r="S7" s="102">
        <f t="shared" si="0"/>
        <v>45.857142857142854</v>
      </c>
      <c r="T7" s="102">
        <v>1</v>
      </c>
    </row>
    <row r="8" spans="1:20" s="99" customFormat="1" ht="14.45" hidden="1" x14ac:dyDescent="0.25">
      <c r="A8" s="88" t="s">
        <v>78</v>
      </c>
      <c r="B8" s="89" t="s">
        <v>239</v>
      </c>
      <c r="C8" s="92">
        <v>45600</v>
      </c>
      <c r="D8" s="90">
        <v>45616</v>
      </c>
      <c r="E8" s="90" t="s">
        <v>223</v>
      </c>
      <c r="F8" s="88" t="str">
        <f ca="1">IF(D8="",TODAY()-C8,"-")</f>
        <v>-</v>
      </c>
      <c r="G8" s="90">
        <v>45615</v>
      </c>
      <c r="H8" s="91" t="s">
        <v>57</v>
      </c>
      <c r="I8" s="88" t="s">
        <v>16</v>
      </c>
      <c r="J8" s="88" t="s">
        <v>75</v>
      </c>
      <c r="K8" s="93" t="s">
        <v>240</v>
      </c>
      <c r="L8" s="94"/>
      <c r="M8" s="95" t="s">
        <v>227</v>
      </c>
      <c r="N8" s="96" t="s">
        <v>228</v>
      </c>
      <c r="O8" s="93" t="s">
        <v>10</v>
      </c>
      <c r="P8" s="97">
        <f>IF(O8="Invenergy",IF(F8="-",(D8-C8)*24,F8*24),0)</f>
        <v>0</v>
      </c>
      <c r="Q8" s="98">
        <f ca="1">P8/VLOOKUP(A8,'YTD Hours'!$A$2:$D$5,4,0)</f>
        <v>0</v>
      </c>
      <c r="R8" s="96">
        <f>(C8-$R$3)/7</f>
        <v>44</v>
      </c>
      <c r="S8" s="99">
        <f t="shared" si="0"/>
        <v>46.285714285714285</v>
      </c>
      <c r="T8" s="99">
        <v>1</v>
      </c>
    </row>
    <row r="9" spans="1:20" s="99" customFormat="1" ht="57.6" hidden="1" x14ac:dyDescent="0.25">
      <c r="A9" s="88" t="s">
        <v>78</v>
      </c>
      <c r="B9" s="89" t="s">
        <v>241</v>
      </c>
      <c r="C9" s="90">
        <v>45615</v>
      </c>
      <c r="D9" s="90">
        <v>45618</v>
      </c>
      <c r="E9" s="88" t="s">
        <v>242</v>
      </c>
      <c r="F9" s="88" t="str">
        <f ca="1">IF(D9="",TODAY()-C9,"-")</f>
        <v>-</v>
      </c>
      <c r="G9" s="90">
        <v>45618</v>
      </c>
      <c r="H9" s="91" t="s">
        <v>243</v>
      </c>
      <c r="I9" s="92" t="s">
        <v>244</v>
      </c>
      <c r="J9" s="92" t="s">
        <v>75</v>
      </c>
      <c r="K9" s="91" t="s">
        <v>245</v>
      </c>
      <c r="L9" s="103"/>
      <c r="M9" s="95" t="s">
        <v>246</v>
      </c>
      <c r="N9" s="96"/>
      <c r="O9" s="93" t="s">
        <v>229</v>
      </c>
      <c r="P9" s="97">
        <f ca="1">IF(O9="Invenergy",IF(F9="-",(D9-C9)*24,F9*24),0)</f>
        <v>72</v>
      </c>
      <c r="Q9" s="98">
        <f ca="1">P9/VLOOKUP(A9,'YTD Hours'!$A$2:$D$5,4,0)</f>
        <v>4.1436464088397792E-5</v>
      </c>
      <c r="R9" s="96">
        <f>(C9-$R$3)/7</f>
        <v>46.142857142857146</v>
      </c>
      <c r="S9" s="99">
        <f t="shared" si="0"/>
        <v>46.571428571428569</v>
      </c>
      <c r="T9" s="99">
        <v>1</v>
      </c>
    </row>
    <row r="10" spans="1:20" s="99" customFormat="1" ht="14.45" hidden="1" x14ac:dyDescent="0.25">
      <c r="A10" s="88" t="s">
        <v>77</v>
      </c>
      <c r="B10" s="89" t="s">
        <v>247</v>
      </c>
      <c r="C10" s="100">
        <v>45566</v>
      </c>
      <c r="D10" s="90">
        <v>45622</v>
      </c>
      <c r="E10" s="88" t="s">
        <v>242</v>
      </c>
      <c r="F10" s="88" t="str">
        <f ca="1">IF(D10="",TODAY()-C10,"-")</f>
        <v>-</v>
      </c>
      <c r="G10" s="104">
        <v>45607</v>
      </c>
      <c r="H10" s="91" t="s">
        <v>248</v>
      </c>
      <c r="I10" s="88" t="s">
        <v>27</v>
      </c>
      <c r="J10" s="88" t="s">
        <v>74</v>
      </c>
      <c r="K10" s="93" t="s">
        <v>249</v>
      </c>
      <c r="L10" s="94"/>
      <c r="M10" s="101" t="s">
        <v>250</v>
      </c>
      <c r="N10" s="96" t="s">
        <v>10</v>
      </c>
      <c r="O10" s="93" t="s">
        <v>10</v>
      </c>
      <c r="P10" s="97">
        <f>IF(O10="Invenergy",IF(F10="-",(D10-C10)*24,F10*24),0)</f>
        <v>0</v>
      </c>
      <c r="Q10" s="98">
        <f ca="1">P10/VLOOKUP(A10,'YTD Hours'!$A$2:$D$5,4,0)</f>
        <v>0</v>
      </c>
      <c r="R10" s="96">
        <f>(C10-$R$3)/7</f>
        <v>39.142857142857146</v>
      </c>
      <c r="S10" s="99">
        <f t="shared" si="0"/>
        <v>47.142857142857146</v>
      </c>
      <c r="T10" s="99">
        <v>1</v>
      </c>
    </row>
    <row r="11" spans="1:20" s="99" customFormat="1" ht="14.45" hidden="1" x14ac:dyDescent="0.25">
      <c r="A11" s="88" t="s">
        <v>77</v>
      </c>
      <c r="B11" s="89" t="s">
        <v>251</v>
      </c>
      <c r="C11" s="100">
        <v>45566</v>
      </c>
      <c r="D11" s="90">
        <v>45622</v>
      </c>
      <c r="E11" s="88" t="s">
        <v>242</v>
      </c>
      <c r="F11" s="88" t="str">
        <f ca="1">IF(D11="",TODAY()-C11,"-")</f>
        <v>-</v>
      </c>
      <c r="G11" s="90">
        <v>45618</v>
      </c>
      <c r="H11" s="91" t="s">
        <v>252</v>
      </c>
      <c r="I11" s="88" t="s">
        <v>16</v>
      </c>
      <c r="J11" s="88"/>
      <c r="K11" s="93" t="s">
        <v>249</v>
      </c>
      <c r="L11" s="94"/>
      <c r="M11" s="101" t="s">
        <v>250</v>
      </c>
      <c r="N11" s="96" t="s">
        <v>10</v>
      </c>
      <c r="O11" s="93" t="s">
        <v>10</v>
      </c>
      <c r="P11" s="97">
        <f>IF(O11="Invenergy",IF(F11="-",(D11-C11)*24,F11*24),0)</f>
        <v>0</v>
      </c>
      <c r="Q11" s="98">
        <f ca="1">P11/VLOOKUP(A11,'YTD Hours'!$A$2:$D$5,4,0)</f>
        <v>0</v>
      </c>
      <c r="R11" s="96">
        <f>(C11-$R$3)/7</f>
        <v>39.142857142857146</v>
      </c>
      <c r="S11" s="99">
        <f t="shared" si="0"/>
        <v>47.142857142857146</v>
      </c>
      <c r="T11" s="99">
        <v>1</v>
      </c>
    </row>
    <row r="12" spans="1:20" s="99" customFormat="1" ht="86.45" hidden="1" x14ac:dyDescent="0.25">
      <c r="A12" s="105" t="s">
        <v>79</v>
      </c>
      <c r="B12" s="106" t="s">
        <v>253</v>
      </c>
      <c r="C12" s="92">
        <v>45601</v>
      </c>
      <c r="D12" s="90">
        <v>45624</v>
      </c>
      <c r="E12" s="88" t="s">
        <v>223</v>
      </c>
      <c r="F12" s="88" t="str">
        <f ca="1">IF(D12="",TODAY()-C12,"-")</f>
        <v>-</v>
      </c>
      <c r="G12" s="92">
        <v>45625</v>
      </c>
      <c r="H12" s="91" t="s">
        <v>254</v>
      </c>
      <c r="I12" s="88" t="s">
        <v>255</v>
      </c>
      <c r="J12" s="88" t="s">
        <v>225</v>
      </c>
      <c r="K12" s="91" t="s">
        <v>256</v>
      </c>
      <c r="L12" s="103"/>
      <c r="M12" s="95" t="s">
        <v>246</v>
      </c>
      <c r="N12" s="96" t="s">
        <v>228</v>
      </c>
      <c r="O12" s="93" t="s">
        <v>229</v>
      </c>
      <c r="P12" s="97">
        <f ca="1">IF(O12="Invenergy",IF(F12="-",(D12-C12)*24,F12*24),0)</f>
        <v>552</v>
      </c>
      <c r="Q12" s="98">
        <f ca="1">P12/VLOOKUP(A12,'YTD Hours'!$A$2:$D$5,4,0)</f>
        <v>9.9274861878453045E-4</v>
      </c>
      <c r="R12" s="96">
        <f>(C12-$R$3)/7</f>
        <v>44.142857142857146</v>
      </c>
      <c r="S12" s="99">
        <f t="shared" si="0"/>
        <v>47.428571428571431</v>
      </c>
      <c r="T12" s="99">
        <v>1</v>
      </c>
    </row>
    <row r="13" spans="1:20" s="99" customFormat="1" ht="43.15" hidden="1" x14ac:dyDescent="0.25">
      <c r="A13" s="88" t="s">
        <v>77</v>
      </c>
      <c r="B13" s="89" t="s">
        <v>257</v>
      </c>
      <c r="C13" s="90">
        <v>45567</v>
      </c>
      <c r="D13" s="90">
        <v>45625</v>
      </c>
      <c r="E13" s="88" t="s">
        <v>223</v>
      </c>
      <c r="F13" s="88" t="str">
        <f ca="1">IF(D13="",TODAY()-C13,"-")</f>
        <v>-</v>
      </c>
      <c r="G13" s="90">
        <v>45625</v>
      </c>
      <c r="H13" s="91" t="s">
        <v>258</v>
      </c>
      <c r="I13" s="88" t="s">
        <v>16</v>
      </c>
      <c r="J13" s="88" t="s">
        <v>75</v>
      </c>
      <c r="K13" s="91" t="s">
        <v>259</v>
      </c>
      <c r="L13" s="103"/>
      <c r="M13" s="101" t="s">
        <v>260</v>
      </c>
      <c r="N13" s="96" t="s">
        <v>261</v>
      </c>
      <c r="O13" s="93" t="s">
        <v>10</v>
      </c>
      <c r="P13" s="97">
        <f>IF(O13="Invenergy",IF(F13="-",(D13-C13)*24,F13*24),0)</f>
        <v>0</v>
      </c>
      <c r="Q13" s="98">
        <f ca="1">P13/VLOOKUP(A13,'YTD Hours'!$A$2:$D$5,4,0)</f>
        <v>0</v>
      </c>
      <c r="R13" s="96">
        <f>(C13-$R$3)/7</f>
        <v>39.285714285714285</v>
      </c>
      <c r="S13" s="99">
        <f t="shared" si="0"/>
        <v>47.571428571428569</v>
      </c>
      <c r="T13" s="99">
        <v>1</v>
      </c>
    </row>
    <row r="14" spans="1:20" s="99" customFormat="1" ht="14.45" hidden="1" x14ac:dyDescent="0.25">
      <c r="A14" s="88" t="s">
        <v>77</v>
      </c>
      <c r="B14" s="89" t="s">
        <v>262</v>
      </c>
      <c r="C14" s="100">
        <v>45566</v>
      </c>
      <c r="D14" s="90">
        <v>45632</v>
      </c>
      <c r="E14" s="88" t="s">
        <v>223</v>
      </c>
      <c r="F14" s="88" t="str">
        <f ca="1">IF(D14="",TODAY()-C14,"-")</f>
        <v>-</v>
      </c>
      <c r="G14" s="104">
        <v>45625</v>
      </c>
      <c r="H14" s="91" t="s">
        <v>263</v>
      </c>
      <c r="I14" s="88" t="s">
        <v>16</v>
      </c>
      <c r="J14" s="88"/>
      <c r="K14" s="93" t="s">
        <v>249</v>
      </c>
      <c r="L14" s="94"/>
      <c r="M14" s="101" t="s">
        <v>250</v>
      </c>
      <c r="N14" s="96" t="s">
        <v>10</v>
      </c>
      <c r="O14" s="93" t="s">
        <v>10</v>
      </c>
      <c r="P14" s="97">
        <f>IF(O14="Invenergy",IF(F14="-",(D14-C14)*24,F14*24),0)</f>
        <v>0</v>
      </c>
      <c r="Q14" s="98">
        <f ca="1">P14/VLOOKUP(A14,'YTD Hours'!$A$2:$D$5,4,0)</f>
        <v>0</v>
      </c>
      <c r="R14" s="96">
        <f>(C14-$R$3)/7</f>
        <v>39.142857142857146</v>
      </c>
      <c r="S14" s="99">
        <f t="shared" si="0"/>
        <v>48.571428571428569</v>
      </c>
      <c r="T14" s="99">
        <v>1</v>
      </c>
    </row>
    <row r="15" spans="1:20" s="99" customFormat="1" ht="57.6" hidden="1" x14ac:dyDescent="0.25">
      <c r="A15" s="88" t="s">
        <v>78</v>
      </c>
      <c r="B15" s="89" t="s">
        <v>264</v>
      </c>
      <c r="C15" s="90">
        <v>45566</v>
      </c>
      <c r="D15" s="90">
        <v>45637</v>
      </c>
      <c r="E15" s="88" t="s">
        <v>223</v>
      </c>
      <c r="F15" s="88" t="str">
        <f ca="1">IF(D15="",TODAY()-C15,"-")</f>
        <v>-</v>
      </c>
      <c r="G15" s="90">
        <v>45632</v>
      </c>
      <c r="H15" s="91" t="s">
        <v>57</v>
      </c>
      <c r="I15" s="88" t="s">
        <v>16</v>
      </c>
      <c r="J15" s="88"/>
      <c r="K15" s="91" t="s">
        <v>265</v>
      </c>
      <c r="L15" s="103"/>
      <c r="M15" s="101" t="s">
        <v>227</v>
      </c>
      <c r="N15" s="96" t="s">
        <v>10</v>
      </c>
      <c r="O15" s="93" t="s">
        <v>10</v>
      </c>
      <c r="P15" s="97">
        <f>IF(O15="Invenergy",IF(F15="-",(D15-C15)*24,F15*24),0)</f>
        <v>0</v>
      </c>
      <c r="Q15" s="98">
        <f ca="1">P15/VLOOKUP(A15,'YTD Hours'!$A$2:$D$5,4,0)</f>
        <v>0</v>
      </c>
      <c r="R15" s="96">
        <f>(C15-$R$3)/7</f>
        <v>39.142857142857146</v>
      </c>
      <c r="S15" s="99">
        <f t="shared" si="0"/>
        <v>49.285714285714285</v>
      </c>
      <c r="T15" s="99">
        <v>1</v>
      </c>
    </row>
    <row r="16" spans="1:20" s="99" customFormat="1" ht="14.45" hidden="1" x14ac:dyDescent="0.25">
      <c r="A16" s="88" t="s">
        <v>44</v>
      </c>
      <c r="B16" s="89" t="s">
        <v>266</v>
      </c>
      <c r="C16" s="100">
        <v>45607</v>
      </c>
      <c r="D16" s="90">
        <v>45637</v>
      </c>
      <c r="E16" s="88" t="s">
        <v>223</v>
      </c>
      <c r="F16" s="88" t="str">
        <f ca="1">IF(D16="",TODAY()-C16,"-")</f>
        <v>-</v>
      </c>
      <c r="G16" s="92">
        <v>45637</v>
      </c>
      <c r="H16" s="91" t="s">
        <v>57</v>
      </c>
      <c r="I16" s="88" t="s">
        <v>16</v>
      </c>
      <c r="J16" s="88" t="s">
        <v>75</v>
      </c>
      <c r="K16" s="93" t="s">
        <v>267</v>
      </c>
      <c r="L16" s="94"/>
      <c r="M16" s="95" t="s">
        <v>227</v>
      </c>
      <c r="N16" s="96" t="s">
        <v>268</v>
      </c>
      <c r="O16" s="93" t="s">
        <v>10</v>
      </c>
      <c r="P16" s="97">
        <f>IF(O16="Invenergy",IF(F16="-",(D16-C16)*24,F16*24),0)</f>
        <v>0</v>
      </c>
      <c r="Q16" s="98">
        <f ca="1">P16/VLOOKUP(A16,'YTD Hours'!$A$2:$D$5,4,0)</f>
        <v>0</v>
      </c>
      <c r="R16" s="96">
        <f>(C16-$R$3)/7</f>
        <v>45</v>
      </c>
      <c r="S16" s="99">
        <f t="shared" si="0"/>
        <v>49.285714285714285</v>
      </c>
      <c r="T16" s="99">
        <v>1</v>
      </c>
    </row>
    <row r="17" spans="1:20" s="99" customFormat="1" ht="28.9" hidden="1" x14ac:dyDescent="0.25">
      <c r="A17" s="88" t="s">
        <v>77</v>
      </c>
      <c r="B17" s="89" t="s">
        <v>269</v>
      </c>
      <c r="C17" s="100">
        <v>45614</v>
      </c>
      <c r="D17" s="90">
        <v>45645</v>
      </c>
      <c r="E17" s="88" t="s">
        <v>223</v>
      </c>
      <c r="F17" s="88" t="str">
        <f ca="1">IF(D17="",TODAY()-C17,"-")</f>
        <v>-</v>
      </c>
      <c r="G17" s="90">
        <v>45646</v>
      </c>
      <c r="H17" s="91" t="s">
        <v>270</v>
      </c>
      <c r="I17" s="92" t="s">
        <v>16</v>
      </c>
      <c r="J17" s="92" t="s">
        <v>74</v>
      </c>
      <c r="K17" s="93" t="s">
        <v>271</v>
      </c>
      <c r="L17" s="94"/>
      <c r="M17" s="101" t="s">
        <v>272</v>
      </c>
      <c r="N17" s="96"/>
      <c r="O17" s="93" t="s">
        <v>229</v>
      </c>
      <c r="P17" s="97">
        <f ca="1">IF(O17="Invenergy",IF(F17="-",(D17-C17)*24,F17*24),0)</f>
        <v>744</v>
      </c>
      <c r="Q17" s="98">
        <f ca="1">P17/VLOOKUP(A17,'YTD Hours'!$A$2:$D$5,4,0)</f>
        <v>3.7232764833053085E-4</v>
      </c>
      <c r="R17" s="96">
        <f>(C17-$R$3)/7</f>
        <v>46</v>
      </c>
      <c r="S17" s="99">
        <f t="shared" si="0"/>
        <v>50.428571428571431</v>
      </c>
      <c r="T17" s="99">
        <v>1</v>
      </c>
    </row>
    <row r="18" spans="1:20" s="99" customFormat="1" ht="14.45" hidden="1" x14ac:dyDescent="0.25">
      <c r="A18" s="88" t="s">
        <v>77</v>
      </c>
      <c r="B18" s="89" t="s">
        <v>273</v>
      </c>
      <c r="C18" s="90">
        <v>45595</v>
      </c>
      <c r="D18" s="92">
        <v>45646</v>
      </c>
      <c r="E18" s="88" t="s">
        <v>223</v>
      </c>
      <c r="F18" s="88" t="str">
        <f ca="1">IF(D18="",TODAY()-C18,"-")</f>
        <v>-</v>
      </c>
      <c r="G18" s="92">
        <v>45646</v>
      </c>
      <c r="H18" s="91" t="s">
        <v>274</v>
      </c>
      <c r="I18" s="88" t="s">
        <v>19</v>
      </c>
      <c r="J18" s="88" t="s">
        <v>225</v>
      </c>
      <c r="K18" s="93" t="s">
        <v>275</v>
      </c>
      <c r="L18" s="94"/>
      <c r="M18" s="95" t="s">
        <v>227</v>
      </c>
      <c r="N18" s="96" t="s">
        <v>276</v>
      </c>
      <c r="O18" s="93" t="s">
        <v>229</v>
      </c>
      <c r="P18" s="97">
        <f ca="1">IF(O18="Invenergy",IF(F18="-",(D18-C18)*24,F18*24),0)</f>
        <v>1224</v>
      </c>
      <c r="Q18" s="98">
        <f ca="1">P18/VLOOKUP(A18,'YTD Hours'!$A$2:$D$5,4,0)</f>
        <v>6.1253903435022823E-4</v>
      </c>
      <c r="R18" s="96">
        <f>(C18-$R$3)/7</f>
        <v>43.285714285714285</v>
      </c>
      <c r="S18" s="99">
        <f t="shared" si="0"/>
        <v>50.571428571428569</v>
      </c>
      <c r="T18" s="99">
        <v>1</v>
      </c>
    </row>
    <row r="19" spans="1:20" s="99" customFormat="1" ht="43.15" hidden="1" x14ac:dyDescent="0.25">
      <c r="A19" s="88" t="s">
        <v>78</v>
      </c>
      <c r="B19" s="89" t="s">
        <v>277</v>
      </c>
      <c r="C19" s="90">
        <v>45581</v>
      </c>
      <c r="D19" s="90">
        <v>45652</v>
      </c>
      <c r="E19" s="88" t="s">
        <v>223</v>
      </c>
      <c r="F19" s="88" t="str">
        <f ca="1">IF(D19="",TODAY()-C19,"-")</f>
        <v>-</v>
      </c>
      <c r="G19" s="90">
        <v>45652</v>
      </c>
      <c r="H19" s="91" t="s">
        <v>278</v>
      </c>
      <c r="I19" s="88" t="s">
        <v>279</v>
      </c>
      <c r="J19" s="88" t="s">
        <v>75</v>
      </c>
      <c r="K19" s="91" t="s">
        <v>280</v>
      </c>
      <c r="L19" s="103"/>
      <c r="M19" s="95" t="s">
        <v>227</v>
      </c>
      <c r="N19" s="96" t="s">
        <v>281</v>
      </c>
      <c r="O19" s="93" t="s">
        <v>229</v>
      </c>
      <c r="P19" s="97">
        <f ca="1">IF(O19="Invenergy",IF(F19="-",(D19-C19)*24,F19*24),0)</f>
        <v>1704</v>
      </c>
      <c r="Q19" s="98">
        <f ca="1">P19/VLOOKUP(A19,'YTD Hours'!$A$2:$D$5,4,0)</f>
        <v>9.8066298342541444E-4</v>
      </c>
      <c r="R19" s="96">
        <f>(C19-$R$3)/7</f>
        <v>41.285714285714285</v>
      </c>
      <c r="S19" s="99">
        <f t="shared" si="0"/>
        <v>51.428571428571431</v>
      </c>
      <c r="T19" s="99">
        <v>1</v>
      </c>
    </row>
    <row r="20" spans="1:20" s="99" customFormat="1" ht="14.45" hidden="1" x14ac:dyDescent="0.25">
      <c r="A20" s="88" t="s">
        <v>77</v>
      </c>
      <c r="B20" s="88" t="s">
        <v>282</v>
      </c>
      <c r="C20" s="90">
        <v>45643</v>
      </c>
      <c r="D20" s="90">
        <v>45659</v>
      </c>
      <c r="E20" s="88" t="s">
        <v>223</v>
      </c>
      <c r="F20" s="88" t="str">
        <f ca="1">IF(D20="",TODAY()-C20,"-")</f>
        <v>-</v>
      </c>
      <c r="G20" s="90">
        <v>45660</v>
      </c>
      <c r="H20" s="91" t="s">
        <v>283</v>
      </c>
      <c r="I20" s="92" t="s">
        <v>16</v>
      </c>
      <c r="J20" s="88" t="s">
        <v>75</v>
      </c>
      <c r="K20" s="93" t="s">
        <v>284</v>
      </c>
      <c r="L20" s="94"/>
      <c r="M20" s="101" t="s">
        <v>10</v>
      </c>
      <c r="N20" s="93" t="s">
        <v>10</v>
      </c>
      <c r="O20" s="93" t="s">
        <v>10</v>
      </c>
      <c r="P20" s="97">
        <f>IF(O20="Invenergy",IF(F20="-",(D20-C20)*24,F20*24),0)</f>
        <v>0</v>
      </c>
      <c r="Q20" s="98">
        <f ca="1">P20/VLOOKUP(A20,'YTD Hours'!$A$2:$D$5,4,0)</f>
        <v>0</v>
      </c>
      <c r="R20" s="96">
        <f>(C20-$R$3)/7</f>
        <v>50.142857142857146</v>
      </c>
      <c r="S20" s="99">
        <f t="shared" si="0"/>
        <v>52.428571428571431</v>
      </c>
      <c r="T20" s="99">
        <v>1</v>
      </c>
    </row>
    <row r="21" spans="1:20" s="99" customFormat="1" ht="28.9" hidden="1" x14ac:dyDescent="0.25">
      <c r="A21" s="88" t="s">
        <v>77</v>
      </c>
      <c r="B21" s="89" t="s">
        <v>285</v>
      </c>
      <c r="C21" s="100">
        <v>45633</v>
      </c>
      <c r="D21" s="90">
        <v>45665</v>
      </c>
      <c r="E21" s="88" t="s">
        <v>242</v>
      </c>
      <c r="F21" s="88" t="str">
        <f ca="1">IF(D21="",TODAY()-C21,"-")</f>
        <v>-</v>
      </c>
      <c r="G21" s="90">
        <v>45660</v>
      </c>
      <c r="H21" s="91" t="s">
        <v>286</v>
      </c>
      <c r="I21" s="92" t="s">
        <v>16</v>
      </c>
      <c r="J21" s="88" t="s">
        <v>75</v>
      </c>
      <c r="K21" s="107" t="s">
        <v>287</v>
      </c>
      <c r="L21" s="108"/>
      <c r="M21" s="101" t="s">
        <v>227</v>
      </c>
      <c r="N21" s="97"/>
      <c r="O21" s="93" t="s">
        <v>10</v>
      </c>
      <c r="P21" s="97">
        <f>IF(O21="Invenergy",IF(F21="-",(D21-C21)*24,F21*24),0)</f>
        <v>0</v>
      </c>
      <c r="Q21" s="98">
        <f ca="1">P21/VLOOKUP(A21,'YTD Hours'!$A$2:$D$5,4,0)</f>
        <v>0</v>
      </c>
      <c r="R21" s="96">
        <f>(C21-$R$3)/7</f>
        <v>48.714285714285715</v>
      </c>
      <c r="S21" s="99">
        <f t="shared" si="0"/>
        <v>53.285714285714285</v>
      </c>
      <c r="T21" s="99">
        <v>1</v>
      </c>
    </row>
    <row r="22" spans="1:20" s="99" customFormat="1" ht="28.9" hidden="1" x14ac:dyDescent="0.25">
      <c r="A22" s="88" t="s">
        <v>77</v>
      </c>
      <c r="B22" s="88" t="s">
        <v>288</v>
      </c>
      <c r="C22" s="90">
        <v>45652</v>
      </c>
      <c r="D22" s="90">
        <v>45665</v>
      </c>
      <c r="E22" s="88" t="s">
        <v>223</v>
      </c>
      <c r="F22" s="88" t="str">
        <f ca="1">IF(D22="",TODAY()-C22,"-")</f>
        <v>-</v>
      </c>
      <c r="G22" s="90"/>
      <c r="H22" s="91" t="s">
        <v>289</v>
      </c>
      <c r="I22" s="92" t="s">
        <v>19</v>
      </c>
      <c r="J22" s="92" t="s">
        <v>75</v>
      </c>
      <c r="K22" s="91" t="s">
        <v>290</v>
      </c>
      <c r="L22" s="103"/>
      <c r="M22" s="101" t="s">
        <v>232</v>
      </c>
      <c r="N22" s="93"/>
      <c r="O22" s="93" t="s">
        <v>229</v>
      </c>
      <c r="P22" s="97">
        <f ca="1">IF(O22="Invenergy",IF(F22="-",(D22-C22)*24,F22*24),0)</f>
        <v>312</v>
      </c>
      <c r="Q22" s="98">
        <f ca="1">P22/VLOOKUP(A22,'YTD Hours'!$A$2:$D$5,4,0)</f>
        <v>1.5613740091280327E-4</v>
      </c>
      <c r="R22" s="96">
        <f>(C22-$R$3)/7</f>
        <v>51.428571428571431</v>
      </c>
      <c r="S22" s="99">
        <f t="shared" si="0"/>
        <v>53.285714285714285</v>
      </c>
      <c r="T22" s="99">
        <v>1</v>
      </c>
    </row>
    <row r="23" spans="1:20" s="99" customFormat="1" ht="28.9" hidden="1" x14ac:dyDescent="0.25">
      <c r="A23" s="88" t="s">
        <v>78</v>
      </c>
      <c r="B23" s="88" t="s">
        <v>291</v>
      </c>
      <c r="C23" s="90">
        <v>45659</v>
      </c>
      <c r="D23" s="90">
        <v>45666</v>
      </c>
      <c r="E23" s="88" t="s">
        <v>223</v>
      </c>
      <c r="F23" s="88" t="str">
        <f ca="1">IF(D23="",TODAY()-C23,"-")</f>
        <v>-</v>
      </c>
      <c r="G23" s="88"/>
      <c r="H23" s="91" t="s">
        <v>292</v>
      </c>
      <c r="I23" s="105" t="s">
        <v>25</v>
      </c>
      <c r="J23" s="105" t="s">
        <v>75</v>
      </c>
      <c r="K23" s="91" t="s">
        <v>293</v>
      </c>
      <c r="L23" s="103"/>
      <c r="M23" s="101" t="s">
        <v>227</v>
      </c>
      <c r="N23" s="96"/>
      <c r="O23" s="93" t="s">
        <v>229</v>
      </c>
      <c r="P23" s="97">
        <f ca="1">IF(O23="Invenergy",IF(F23="-",(D23-C23)*24,F23*24),0)</f>
        <v>168</v>
      </c>
      <c r="Q23" s="98">
        <f ca="1">P23/VLOOKUP(A23,'YTD Hours'!$A$2:$D$5,4,0)</f>
        <v>9.6685082872928179E-5</v>
      </c>
      <c r="R23" s="96">
        <f>(C23-$R$3)/7</f>
        <v>52.428571428571431</v>
      </c>
      <c r="S23" s="99">
        <f t="shared" si="0"/>
        <v>53.428571428571431</v>
      </c>
      <c r="T23" s="99">
        <v>1</v>
      </c>
    </row>
    <row r="24" spans="1:20" s="99" customFormat="1" ht="43.15" hidden="1" x14ac:dyDescent="0.25">
      <c r="A24" s="88" t="s">
        <v>79</v>
      </c>
      <c r="B24" s="88" t="s">
        <v>294</v>
      </c>
      <c r="C24" s="90">
        <v>45678</v>
      </c>
      <c r="D24" s="90">
        <v>45685</v>
      </c>
      <c r="E24" s="88" t="s">
        <v>223</v>
      </c>
      <c r="F24" s="88" t="str">
        <f ca="1">IF(D24="",TODAY()-C24,"-")</f>
        <v>-</v>
      </c>
      <c r="G24" s="88"/>
      <c r="H24" s="91" t="s">
        <v>295</v>
      </c>
      <c r="I24" s="105" t="s">
        <v>16</v>
      </c>
      <c r="J24" s="105" t="s">
        <v>75</v>
      </c>
      <c r="K24" s="91" t="s">
        <v>296</v>
      </c>
      <c r="L24" s="103"/>
      <c r="M24" s="101" t="s">
        <v>227</v>
      </c>
      <c r="N24" s="96"/>
      <c r="O24" s="93" t="s">
        <v>229</v>
      </c>
      <c r="P24" s="97">
        <f ca="1">IF(O24="Invenergy",IF(F24="-",(D24-C24)*24,F24*24),0)</f>
        <v>168</v>
      </c>
      <c r="Q24" s="98">
        <f ca="1">P24/VLOOKUP(A24,'YTD Hours'!$A$2:$D$5,4,0)</f>
        <v>3.0214088397790054E-4</v>
      </c>
      <c r="R24" s="96">
        <f>(C24-$R$3)/7</f>
        <v>55.142857142857146</v>
      </c>
      <c r="S24" s="99">
        <f t="shared" si="0"/>
        <v>56.142857142857146</v>
      </c>
      <c r="T24" s="99">
        <v>1</v>
      </c>
    </row>
    <row r="25" spans="1:20" s="99" customFormat="1" ht="14.45" hidden="1" x14ac:dyDescent="0.25">
      <c r="A25" s="88" t="s">
        <v>77</v>
      </c>
      <c r="B25" s="88" t="s">
        <v>297</v>
      </c>
      <c r="C25" s="90">
        <v>45664</v>
      </c>
      <c r="D25" s="90">
        <v>45687</v>
      </c>
      <c r="E25" s="88" t="s">
        <v>223</v>
      </c>
      <c r="F25" s="88" t="str">
        <f ca="1">IF(D25="",TODAY()-C25,"-")</f>
        <v>-</v>
      </c>
      <c r="G25" s="88"/>
      <c r="H25" s="91" t="s">
        <v>298</v>
      </c>
      <c r="I25" s="105" t="s">
        <v>19</v>
      </c>
      <c r="J25" s="105" t="s">
        <v>74</v>
      </c>
      <c r="K25" s="93" t="s">
        <v>299</v>
      </c>
      <c r="L25" s="94"/>
      <c r="M25" s="101" t="s">
        <v>250</v>
      </c>
      <c r="N25" s="96"/>
      <c r="O25" s="93" t="s">
        <v>229</v>
      </c>
      <c r="P25" s="97">
        <f ca="1">IF(O25="Invenergy",IF(F25="-",(D25-C25)*24,F25*24),0)</f>
        <v>552</v>
      </c>
      <c r="Q25" s="98">
        <f ca="1">P25/VLOOKUP(A25,'YTD Hours'!$A$2:$D$5,4,0)</f>
        <v>2.7624309392265195E-4</v>
      </c>
      <c r="R25" s="96">
        <f>(C25-$R$3)/7</f>
        <v>53.142857142857146</v>
      </c>
      <c r="S25" s="99">
        <f t="shared" si="0"/>
        <v>56.428571428571431</v>
      </c>
      <c r="T25" s="99">
        <v>1</v>
      </c>
    </row>
    <row r="26" spans="1:20" s="99" customFormat="1" ht="14.45" hidden="1" x14ac:dyDescent="0.25">
      <c r="A26" s="88" t="s">
        <v>77</v>
      </c>
      <c r="B26" s="89" t="s">
        <v>300</v>
      </c>
      <c r="C26" s="100">
        <v>45618</v>
      </c>
      <c r="D26" s="100">
        <v>45693</v>
      </c>
      <c r="E26" s="88" t="s">
        <v>223</v>
      </c>
      <c r="F26" s="88" t="str">
        <f ca="1">IF(D26="",TODAY()-C26,"-")</f>
        <v>-</v>
      </c>
      <c r="G26" s="90"/>
      <c r="H26" s="91" t="s">
        <v>301</v>
      </c>
      <c r="I26" s="92" t="s">
        <v>27</v>
      </c>
      <c r="J26" s="92" t="s">
        <v>74</v>
      </c>
      <c r="K26" s="107" t="s">
        <v>302</v>
      </c>
      <c r="L26" s="108"/>
      <c r="M26" s="101" t="s">
        <v>250</v>
      </c>
      <c r="N26" s="97"/>
      <c r="O26" s="93" t="s">
        <v>229</v>
      </c>
      <c r="P26" s="97">
        <f ca="1">IF(O26="Invenergy",IF(F26="-",(D26-C26)*24,F26*24),0)</f>
        <v>1800</v>
      </c>
      <c r="Q26" s="98">
        <f ca="1">P26/VLOOKUP(A26,'YTD Hours'!$A$2:$D$5,4,0)</f>
        <v>9.0079269757386497E-4</v>
      </c>
      <c r="R26" s="96">
        <f>(C26-$R$3)/7</f>
        <v>46.571428571428569</v>
      </c>
      <c r="S26" s="99">
        <f t="shared" si="0"/>
        <v>57.285714285714285</v>
      </c>
      <c r="T26" s="99">
        <v>1</v>
      </c>
    </row>
    <row r="27" spans="1:20" s="99" customFormat="1" ht="14.45" hidden="1" x14ac:dyDescent="0.25">
      <c r="A27" s="88" t="s">
        <v>44</v>
      </c>
      <c r="B27" s="88" t="s">
        <v>303</v>
      </c>
      <c r="C27" s="90">
        <v>45672</v>
      </c>
      <c r="D27" s="90">
        <v>45700</v>
      </c>
      <c r="E27" s="88" t="s">
        <v>223</v>
      </c>
      <c r="F27" s="88" t="str">
        <f ca="1">IF(D27="",TODAY()-C27,"-")</f>
        <v>-</v>
      </c>
      <c r="G27" s="90">
        <v>45708</v>
      </c>
      <c r="H27" s="91" t="s">
        <v>304</v>
      </c>
      <c r="I27" s="105" t="s">
        <v>21</v>
      </c>
      <c r="J27" s="105" t="s">
        <v>75</v>
      </c>
      <c r="K27" s="93" t="s">
        <v>305</v>
      </c>
      <c r="L27" s="94"/>
      <c r="M27" s="101" t="s">
        <v>10</v>
      </c>
      <c r="N27" s="96"/>
      <c r="O27" s="93" t="s">
        <v>10</v>
      </c>
      <c r="P27" s="97">
        <f>IF(O27="Invenergy",IF(F27="-",(D27-C27)*24,F27*24),0)</f>
        <v>0</v>
      </c>
      <c r="Q27" s="98">
        <f ca="1">P27/VLOOKUP(A27,'YTD Hours'!$A$2:$D$5,4,0)</f>
        <v>0</v>
      </c>
      <c r="R27" s="96">
        <f>(C27-$R$3)/7</f>
        <v>54.285714285714285</v>
      </c>
      <c r="S27" s="99">
        <f t="shared" si="0"/>
        <v>58.285714285714285</v>
      </c>
      <c r="T27" s="99">
        <v>1</v>
      </c>
    </row>
    <row r="28" spans="1:20" s="99" customFormat="1" ht="57.6" hidden="1" x14ac:dyDescent="0.25">
      <c r="A28" s="88" t="s">
        <v>77</v>
      </c>
      <c r="B28" s="88" t="s">
        <v>306</v>
      </c>
      <c r="C28" s="90">
        <v>45630</v>
      </c>
      <c r="D28" s="90">
        <v>45701</v>
      </c>
      <c r="E28" s="88" t="s">
        <v>223</v>
      </c>
      <c r="F28" s="88" t="str">
        <f ca="1">IF(D28="",TODAY()-C28,"-")</f>
        <v>-</v>
      </c>
      <c r="G28" s="88"/>
      <c r="H28" s="91" t="s">
        <v>307</v>
      </c>
      <c r="I28" s="105" t="s">
        <v>25</v>
      </c>
      <c r="J28" s="105" t="s">
        <v>75</v>
      </c>
      <c r="K28" s="91" t="s">
        <v>308</v>
      </c>
      <c r="L28" s="103"/>
      <c r="M28" s="101" t="s">
        <v>10</v>
      </c>
      <c r="N28" s="96"/>
      <c r="O28" s="93" t="s">
        <v>10</v>
      </c>
      <c r="P28" s="97">
        <f>IF(O28="Invenergy",IF(F28="-",(D28-C28)*24,F28*24),0)</f>
        <v>0</v>
      </c>
      <c r="Q28" s="98">
        <f ca="1">P28/VLOOKUP(A28,'YTD Hours'!$A$2:$D$5,4,0)</f>
        <v>0</v>
      </c>
      <c r="R28" s="96">
        <f>(C28-$R$3)/7</f>
        <v>48.285714285714285</v>
      </c>
      <c r="T28" s="99">
        <v>1</v>
      </c>
    </row>
    <row r="29" spans="1:20" s="99" customFormat="1" ht="14.45" hidden="1" x14ac:dyDescent="0.25">
      <c r="A29" s="88" t="s">
        <v>77</v>
      </c>
      <c r="B29" s="89" t="s">
        <v>309</v>
      </c>
      <c r="C29" s="100">
        <v>45626</v>
      </c>
      <c r="D29" s="90">
        <v>45702</v>
      </c>
      <c r="E29" s="88" t="s">
        <v>223</v>
      </c>
      <c r="F29" s="88" t="str">
        <f ca="1">IF(D29="",TODAY()-C29,"-")</f>
        <v>-</v>
      </c>
      <c r="G29" s="90"/>
      <c r="H29" s="91" t="s">
        <v>301</v>
      </c>
      <c r="I29" s="92" t="s">
        <v>27</v>
      </c>
      <c r="J29" s="92" t="s">
        <v>74</v>
      </c>
      <c r="K29" s="107" t="s">
        <v>310</v>
      </c>
      <c r="L29" s="108"/>
      <c r="M29" s="101" t="s">
        <v>250</v>
      </c>
      <c r="N29" s="97"/>
      <c r="O29" s="93" t="s">
        <v>229</v>
      </c>
      <c r="P29" s="97">
        <f ca="1">IF(O29="Invenergy",IF(F29="-",(D29-C29)*24,F29*24),0)</f>
        <v>1824</v>
      </c>
      <c r="Q29" s="98">
        <f ca="1">P29/VLOOKUP(A29,'YTD Hours'!$A$2:$D$5,4,0)</f>
        <v>9.1280326687484992E-4</v>
      </c>
      <c r="R29" s="96">
        <f>(C29-$R$3)/7</f>
        <v>47.714285714285715</v>
      </c>
      <c r="S29" s="99">
        <f>IF(D29=0,"",(D29-$R$3)/7)</f>
        <v>58.571428571428569</v>
      </c>
      <c r="T29" s="99">
        <v>1</v>
      </c>
    </row>
    <row r="30" spans="1:20" s="99" customFormat="1" ht="28.9" hidden="1" x14ac:dyDescent="0.25">
      <c r="A30" s="88" t="s">
        <v>77</v>
      </c>
      <c r="B30" s="89" t="s">
        <v>311</v>
      </c>
      <c r="C30" s="100">
        <v>45566</v>
      </c>
      <c r="D30" s="90">
        <v>45708</v>
      </c>
      <c r="E30" s="88" t="s">
        <v>223</v>
      </c>
      <c r="F30" s="88" t="str">
        <f ca="1">IF(D30="",TODAY()-C30,"-")</f>
        <v>-</v>
      </c>
      <c r="G30" s="90"/>
      <c r="H30" s="91" t="s">
        <v>312</v>
      </c>
      <c r="I30" s="88" t="s">
        <v>19</v>
      </c>
      <c r="J30" s="88" t="s">
        <v>74</v>
      </c>
      <c r="K30" s="91" t="s">
        <v>313</v>
      </c>
      <c r="L30" s="103"/>
      <c r="M30" s="101" t="s">
        <v>250</v>
      </c>
      <c r="N30" s="96" t="s">
        <v>10</v>
      </c>
      <c r="O30" s="93" t="s">
        <v>10</v>
      </c>
      <c r="P30" s="97">
        <f>IF(O30="Invenergy",IF(F30="-",(D30-C30)*24,F30*24),0)</f>
        <v>0</v>
      </c>
      <c r="Q30" s="98">
        <f ca="1">P30/VLOOKUP(A30,'YTD Hours'!$A$2:$D$5,4,0)</f>
        <v>0</v>
      </c>
      <c r="R30" s="96">
        <f>(C30-$R$3)/7</f>
        <v>39.142857142857146</v>
      </c>
      <c r="S30" s="99">
        <f>IF(D30=0,"",(D30-$R$3)/7)</f>
        <v>59.428571428571431</v>
      </c>
      <c r="T30" s="99">
        <v>1</v>
      </c>
    </row>
    <row r="31" spans="1:20" s="99" customFormat="1" ht="14.45" hidden="1" x14ac:dyDescent="0.25">
      <c r="A31" s="88" t="s">
        <v>77</v>
      </c>
      <c r="B31" s="88" t="s">
        <v>314</v>
      </c>
      <c r="C31" s="90">
        <v>45660</v>
      </c>
      <c r="D31" s="90">
        <v>45708</v>
      </c>
      <c r="E31" s="88" t="s">
        <v>223</v>
      </c>
      <c r="F31" s="88" t="str">
        <f ca="1">IF(D31="",TODAY()-C31,"-")</f>
        <v>-</v>
      </c>
      <c r="G31" s="88"/>
      <c r="H31" s="91" t="s">
        <v>315</v>
      </c>
      <c r="I31" s="105" t="s">
        <v>27</v>
      </c>
      <c r="J31" s="105" t="s">
        <v>74</v>
      </c>
      <c r="K31" s="91" t="s">
        <v>316</v>
      </c>
      <c r="L31" s="103"/>
      <c r="M31" s="101" t="s">
        <v>250</v>
      </c>
      <c r="N31" s="93" t="s">
        <v>229</v>
      </c>
      <c r="O31" s="93" t="s">
        <v>229</v>
      </c>
      <c r="P31" s="97">
        <f ca="1">IF(O31="Invenergy",IF(F31="-",(D31-C31)*24,F31*24),0)</f>
        <v>1152</v>
      </c>
      <c r="Q31" s="98">
        <f ca="1">P31/VLOOKUP(A31,'YTD Hours'!$A$2:$D$5,4,0)</f>
        <v>5.7650732644727359E-4</v>
      </c>
      <c r="R31" s="96">
        <f>(C31-$R$3)/7</f>
        <v>52.571428571428569</v>
      </c>
      <c r="S31" s="99">
        <f>IF(D31=0,"",(D31-$R$3)/7)</f>
        <v>59.428571428571431</v>
      </c>
      <c r="T31" s="99">
        <v>1</v>
      </c>
    </row>
    <row r="32" spans="1:20" s="99" customFormat="1" ht="57.6" hidden="1" x14ac:dyDescent="0.25">
      <c r="A32" s="88" t="s">
        <v>77</v>
      </c>
      <c r="B32" s="89" t="s">
        <v>317</v>
      </c>
      <c r="C32" s="90">
        <v>45566</v>
      </c>
      <c r="D32" s="90">
        <v>45714</v>
      </c>
      <c r="E32" s="88" t="s">
        <v>223</v>
      </c>
      <c r="F32" s="88" t="str">
        <f ca="1">IF(D32="",TODAY()-C32,"-")</f>
        <v>-</v>
      </c>
      <c r="G32" s="90"/>
      <c r="H32" s="91" t="s">
        <v>318</v>
      </c>
      <c r="I32" s="88" t="s">
        <v>21</v>
      </c>
      <c r="J32" s="88" t="s">
        <v>74</v>
      </c>
      <c r="K32" s="91" t="s">
        <v>319</v>
      </c>
      <c r="L32" s="103"/>
      <c r="M32" s="101" t="s">
        <v>250</v>
      </c>
      <c r="N32" s="96" t="s">
        <v>10</v>
      </c>
      <c r="O32" s="93" t="s">
        <v>10</v>
      </c>
      <c r="P32" s="97">
        <f>IF(O32="Invenergy",IF(F32="-",(D32-C32)*24,F32*24),0)</f>
        <v>0</v>
      </c>
      <c r="Q32" s="109">
        <f ca="1">P32/VLOOKUP(A32,'YTD Hours'!$A$2:$D$5,4,0)</f>
        <v>0</v>
      </c>
      <c r="R32" s="93">
        <f>(C32-$R$3)/7</f>
        <v>39.142857142857146</v>
      </c>
      <c r="T32" s="99">
        <v>1</v>
      </c>
    </row>
    <row r="33" spans="1:20" s="99" customFormat="1" ht="14.45" hidden="1" x14ac:dyDescent="0.25">
      <c r="A33" s="88" t="s">
        <v>77</v>
      </c>
      <c r="B33" s="88" t="s">
        <v>320</v>
      </c>
      <c r="C33" s="90">
        <v>45710</v>
      </c>
      <c r="D33" s="90">
        <v>45716</v>
      </c>
      <c r="E33" s="88" t="s">
        <v>223</v>
      </c>
      <c r="F33" s="88" t="str">
        <f ca="1">IF(D33="",TODAY()-C33,"-")</f>
        <v>-</v>
      </c>
      <c r="G33" s="88"/>
      <c r="H33" s="91" t="s">
        <v>321</v>
      </c>
      <c r="I33" s="88" t="s">
        <v>27</v>
      </c>
      <c r="J33" s="88" t="s">
        <v>75</v>
      </c>
      <c r="K33" s="93" t="s">
        <v>322</v>
      </c>
      <c r="L33" s="94"/>
      <c r="M33" s="101" t="s">
        <v>227</v>
      </c>
      <c r="N33" s="96"/>
      <c r="O33" s="93" t="s">
        <v>229</v>
      </c>
      <c r="P33" s="93">
        <f ca="1">IF(O33="Invenergy",IF(F33="-",(D33-C33)*24,F33*24),0)</f>
        <v>144</v>
      </c>
      <c r="Q33" s="98">
        <f ca="1">P33/VLOOKUP(A33,'YTD Hours'!$A$2:$D$5,4,0)</f>
        <v>7.2063415805909199E-5</v>
      </c>
      <c r="R33" s="96">
        <f>(C33-$R$3)/7</f>
        <v>59.714285714285715</v>
      </c>
      <c r="T33" s="99">
        <v>1</v>
      </c>
    </row>
    <row r="34" spans="1:20" s="99" customFormat="1" ht="14.45" hidden="1" x14ac:dyDescent="0.25">
      <c r="A34" s="88" t="s">
        <v>79</v>
      </c>
      <c r="B34" s="88" t="s">
        <v>323</v>
      </c>
      <c r="C34" s="90">
        <v>45714</v>
      </c>
      <c r="D34" s="90">
        <v>45717</v>
      </c>
      <c r="E34" s="88" t="s">
        <v>223</v>
      </c>
      <c r="F34" s="88" t="str">
        <f ca="1">IF(D34="",TODAY()-C34,"-")</f>
        <v>-</v>
      </c>
      <c r="G34" s="88"/>
      <c r="H34" s="91" t="s">
        <v>321</v>
      </c>
      <c r="I34" s="88" t="s">
        <v>27</v>
      </c>
      <c r="J34" s="88" t="s">
        <v>75</v>
      </c>
      <c r="K34" s="93" t="s">
        <v>324</v>
      </c>
      <c r="L34" s="94"/>
      <c r="M34" s="101" t="s">
        <v>246</v>
      </c>
      <c r="N34" s="96"/>
      <c r="O34" s="93" t="s">
        <v>229</v>
      </c>
      <c r="P34" s="93">
        <f ca="1">IF(O34="Invenergy",IF(F34="-",(D34-C34)*24,F34*24),0)</f>
        <v>72</v>
      </c>
      <c r="Q34" s="98">
        <f ca="1">P34/VLOOKUP(A34,'YTD Hours'!$A$2:$D$5,4,0)</f>
        <v>1.2948895027624309E-4</v>
      </c>
      <c r="R34" s="96">
        <f>(C34-$R$3)/7</f>
        <v>60.285714285714285</v>
      </c>
      <c r="T34" s="99">
        <v>1</v>
      </c>
    </row>
    <row r="35" spans="1:20" s="99" customFormat="1" ht="14.45" hidden="1" x14ac:dyDescent="0.25">
      <c r="A35" s="88" t="s">
        <v>77</v>
      </c>
      <c r="B35" s="88" t="s">
        <v>325</v>
      </c>
      <c r="C35" s="90">
        <v>45686</v>
      </c>
      <c r="D35" s="90">
        <v>45721</v>
      </c>
      <c r="E35" s="88" t="s">
        <v>223</v>
      </c>
      <c r="F35" s="88" t="str">
        <f ca="1">IF(D35="",TODAY()-C35,"-")</f>
        <v>-</v>
      </c>
      <c r="G35" s="88"/>
      <c r="H35" s="91" t="s">
        <v>326</v>
      </c>
      <c r="I35" s="105" t="s">
        <v>27</v>
      </c>
      <c r="J35" s="105" t="s">
        <v>74</v>
      </c>
      <c r="K35" s="91" t="s">
        <v>327</v>
      </c>
      <c r="L35" s="103"/>
      <c r="M35" s="101" t="s">
        <v>250</v>
      </c>
      <c r="N35" s="96"/>
      <c r="O35" s="93" t="s">
        <v>10</v>
      </c>
      <c r="P35" s="97">
        <f>IF(O35="Invenergy",IF(F35="-",(D35-C35)*24,F35*24),0)</f>
        <v>0</v>
      </c>
      <c r="Q35" s="98">
        <f ca="1">P35/VLOOKUP(A35,'YTD Hours'!$A$2:$D$5,4,0)</f>
        <v>0</v>
      </c>
      <c r="R35" s="96">
        <f>(C35-$R$3)/7</f>
        <v>56.285714285714285</v>
      </c>
      <c r="T35" s="99">
        <v>1</v>
      </c>
    </row>
    <row r="36" spans="1:20" s="99" customFormat="1" ht="14.45" hidden="1" x14ac:dyDescent="0.25">
      <c r="A36" s="88" t="s">
        <v>77</v>
      </c>
      <c r="B36" s="88" t="s">
        <v>300</v>
      </c>
      <c r="C36" s="90">
        <v>45714</v>
      </c>
      <c r="D36" s="90">
        <v>45722</v>
      </c>
      <c r="E36" s="88" t="s">
        <v>223</v>
      </c>
      <c r="F36" s="88" t="str">
        <f ca="1">IF(D36="",TODAY()-C36,"-")</f>
        <v>-</v>
      </c>
      <c r="G36" s="88"/>
      <c r="H36" s="91" t="s">
        <v>328</v>
      </c>
      <c r="I36" s="88" t="s">
        <v>329</v>
      </c>
      <c r="J36" s="88" t="s">
        <v>75</v>
      </c>
      <c r="K36" s="93" t="s">
        <v>330</v>
      </c>
      <c r="L36" s="110" t="s">
        <v>65</v>
      </c>
      <c r="M36" s="101" t="s">
        <v>246</v>
      </c>
      <c r="N36" s="96"/>
      <c r="O36" s="93" t="s">
        <v>229</v>
      </c>
      <c r="P36" s="93">
        <f ca="1">IF(O36="Invenergy",IF(F36="-",(D36-C36)*24,F36*24),0)</f>
        <v>192</v>
      </c>
      <c r="Q36" s="98">
        <f ca="1">P36/VLOOKUP(A36,'YTD Hours'!$A$2:$D$5,4,0)</f>
        <v>9.6084554407878937E-5</v>
      </c>
      <c r="R36" s="96">
        <f>(C36-$R$3)/7</f>
        <v>60.285714285714285</v>
      </c>
      <c r="T36" s="99">
        <v>1</v>
      </c>
    </row>
    <row r="37" spans="1:20" s="99" customFormat="1" ht="14.45" hidden="1" x14ac:dyDescent="0.25">
      <c r="A37" s="88" t="s">
        <v>78</v>
      </c>
      <c r="B37" s="88" t="s">
        <v>331</v>
      </c>
      <c r="C37" s="90">
        <v>45708</v>
      </c>
      <c r="D37" s="90">
        <v>45727</v>
      </c>
      <c r="E37" s="88" t="s">
        <v>223</v>
      </c>
      <c r="F37" s="88" t="str">
        <f ca="1">IF(D37="",TODAY()-C37,"-")</f>
        <v>-</v>
      </c>
      <c r="G37" s="88"/>
      <c r="H37" s="91" t="s">
        <v>332</v>
      </c>
      <c r="I37" s="88" t="s">
        <v>19</v>
      </c>
      <c r="J37" s="88" t="s">
        <v>74</v>
      </c>
      <c r="K37" s="93" t="s">
        <v>333</v>
      </c>
      <c r="L37" s="110">
        <v>0.8</v>
      </c>
      <c r="M37" s="101" t="s">
        <v>250</v>
      </c>
      <c r="N37" s="96"/>
      <c r="O37" s="93" t="s">
        <v>10</v>
      </c>
      <c r="P37" s="97">
        <f>IF(O37="Invenergy",IF(F37="-",(D37-C37)*24,F37*24),0)</f>
        <v>0</v>
      </c>
      <c r="Q37" s="98">
        <f ca="1">P37/VLOOKUP(A37,'YTD Hours'!$A$2:$D$5,4,0)</f>
        <v>0</v>
      </c>
      <c r="R37" s="96">
        <f>(C37-$R$3)/7</f>
        <v>59.428571428571431</v>
      </c>
      <c r="T37" s="99">
        <v>1</v>
      </c>
    </row>
    <row r="38" spans="1:20" s="99" customFormat="1" ht="28.9" hidden="1" x14ac:dyDescent="0.25">
      <c r="A38" s="88" t="s">
        <v>77</v>
      </c>
      <c r="B38" s="89" t="s">
        <v>334</v>
      </c>
      <c r="C38" s="90">
        <v>45612</v>
      </c>
      <c r="D38" s="90">
        <v>45734</v>
      </c>
      <c r="E38" s="88" t="s">
        <v>223</v>
      </c>
      <c r="F38" s="88" t="str">
        <f ca="1">IF(D38="",TODAY()-C38,"-")</f>
        <v>-</v>
      </c>
      <c r="G38" s="90">
        <v>45752</v>
      </c>
      <c r="H38" s="91" t="s">
        <v>315</v>
      </c>
      <c r="I38" s="92" t="s">
        <v>27</v>
      </c>
      <c r="J38" s="92" t="s">
        <v>74</v>
      </c>
      <c r="K38" s="91" t="s">
        <v>335</v>
      </c>
      <c r="L38" s="111">
        <v>1</v>
      </c>
      <c r="M38" s="101" t="s">
        <v>250</v>
      </c>
      <c r="N38" s="96"/>
      <c r="O38" s="93" t="s">
        <v>10</v>
      </c>
      <c r="P38" s="97">
        <f>IF(O38="Invenergy",IF(F38="-",(D38-C38)*24,F38*24),0)</f>
        <v>0</v>
      </c>
      <c r="Q38" s="98">
        <f ca="1">P38/VLOOKUP(A38,'YTD Hours'!$A$2:$D$5,4,0)</f>
        <v>0</v>
      </c>
      <c r="R38" s="96">
        <f>(C38-$R$3)/7</f>
        <v>45.714285714285715</v>
      </c>
      <c r="T38" s="99">
        <v>1</v>
      </c>
    </row>
    <row r="39" spans="1:20" s="99" customFormat="1" ht="14.45" hidden="1" x14ac:dyDescent="0.25">
      <c r="A39" s="88" t="s">
        <v>78</v>
      </c>
      <c r="B39" s="88" t="s">
        <v>336</v>
      </c>
      <c r="C39" s="90">
        <v>45716</v>
      </c>
      <c r="D39" s="90">
        <v>45734</v>
      </c>
      <c r="E39" s="88" t="s">
        <v>223</v>
      </c>
      <c r="F39" s="88" t="str">
        <f ca="1">IF(D39="",TODAY()-C39,"-")</f>
        <v>-</v>
      </c>
      <c r="G39" s="88"/>
      <c r="H39" s="91" t="s">
        <v>337</v>
      </c>
      <c r="I39" s="88" t="s">
        <v>19</v>
      </c>
      <c r="J39" s="88" t="s">
        <v>74</v>
      </c>
      <c r="K39" s="93"/>
      <c r="L39" s="110">
        <v>0</v>
      </c>
      <c r="M39" s="101" t="s">
        <v>250</v>
      </c>
      <c r="N39" s="93" t="s">
        <v>10</v>
      </c>
      <c r="O39" s="97">
        <v>0</v>
      </c>
      <c r="P39" s="98">
        <v>0</v>
      </c>
      <c r="Q39" s="96">
        <v>61.571428571428569</v>
      </c>
      <c r="R39" s="96"/>
      <c r="S39" s="99">
        <f>IF(D39=0,"",(D39-$R$3)/7)</f>
        <v>63.142857142857146</v>
      </c>
      <c r="T39" s="99">
        <v>1</v>
      </c>
    </row>
    <row r="40" spans="1:20" s="99" customFormat="1" ht="14.45" hidden="1" x14ac:dyDescent="0.25">
      <c r="A40" s="88" t="s">
        <v>77</v>
      </c>
      <c r="B40" s="88" t="s">
        <v>338</v>
      </c>
      <c r="C40" s="90">
        <v>45721</v>
      </c>
      <c r="D40" s="90">
        <v>45737</v>
      </c>
      <c r="E40" s="88" t="s">
        <v>223</v>
      </c>
      <c r="F40" s="88" t="str">
        <f ca="1">IF(D40="",TODAY()-C40,"-")</f>
        <v>-</v>
      </c>
      <c r="G40" s="90">
        <v>45737</v>
      </c>
      <c r="H40" s="91" t="s">
        <v>339</v>
      </c>
      <c r="I40" s="88" t="s">
        <v>27</v>
      </c>
      <c r="J40" s="88" t="s">
        <v>74</v>
      </c>
      <c r="K40" s="93" t="s">
        <v>340</v>
      </c>
      <c r="L40" s="112">
        <v>1</v>
      </c>
      <c r="M40" s="101" t="s">
        <v>250</v>
      </c>
      <c r="N40" s="96"/>
      <c r="O40" s="93" t="s">
        <v>229</v>
      </c>
      <c r="P40" s="93">
        <f ca="1">IF(O40="Invenergy",IF(F40="-",(D40-C40)*24,F40*24),0)</f>
        <v>384</v>
      </c>
      <c r="Q40" s="98">
        <f ca="1">P40/VLOOKUP(A40,'YTD Hours'!$A$2:$D$5,4,0)</f>
        <v>1.9216910881575787E-4</v>
      </c>
      <c r="R40" s="96">
        <f>(C40-$R$3)/7</f>
        <v>61.285714285714285</v>
      </c>
      <c r="T40" s="99">
        <v>1</v>
      </c>
    </row>
    <row r="41" spans="1:20" s="99" customFormat="1" ht="14.45" hidden="1" x14ac:dyDescent="0.25">
      <c r="A41" s="88" t="s">
        <v>78</v>
      </c>
      <c r="B41" s="88" t="s">
        <v>341</v>
      </c>
      <c r="C41" s="90">
        <v>45728</v>
      </c>
      <c r="D41" s="90">
        <v>45741</v>
      </c>
      <c r="E41" s="88" t="s">
        <v>223</v>
      </c>
      <c r="F41" s="88" t="str">
        <f ca="1">IF(D41="",TODAY()-C41,"-")</f>
        <v>-</v>
      </c>
      <c r="G41" s="88" t="s">
        <v>342</v>
      </c>
      <c r="H41" s="91" t="s">
        <v>343</v>
      </c>
      <c r="I41" s="88" t="s">
        <v>19</v>
      </c>
      <c r="J41" s="88" t="s">
        <v>74</v>
      </c>
      <c r="K41" s="93" t="s">
        <v>344</v>
      </c>
      <c r="L41" s="110">
        <v>1</v>
      </c>
      <c r="M41" s="101" t="s">
        <v>250</v>
      </c>
      <c r="N41" s="96"/>
      <c r="O41" s="93" t="s">
        <v>10</v>
      </c>
      <c r="P41" s="97">
        <f>IF(O41="Invenergy",IF(F41="-",(D41-C41)*24,F41*24),0)</f>
        <v>0</v>
      </c>
      <c r="Q41" s="96">
        <f ca="1">P41/VLOOKUP(A41,'YTD Hours'!$A$2:$D$5,4,0)</f>
        <v>0</v>
      </c>
      <c r="R41" s="96">
        <f>(C41-$R$3)/7</f>
        <v>62.285714285714285</v>
      </c>
      <c r="T41" s="99">
        <v>1</v>
      </c>
    </row>
    <row r="42" spans="1:20" s="99" customFormat="1" ht="57.6" hidden="1" x14ac:dyDescent="0.25">
      <c r="A42" s="88" t="s">
        <v>77</v>
      </c>
      <c r="B42" s="88" t="s">
        <v>345</v>
      </c>
      <c r="C42" s="90">
        <v>45698</v>
      </c>
      <c r="D42" s="90">
        <v>45743</v>
      </c>
      <c r="E42" s="88" t="s">
        <v>223</v>
      </c>
      <c r="F42" s="88" t="str">
        <f ca="1">IF(D42="",TODAY()-C42,"-")</f>
        <v>-</v>
      </c>
      <c r="G42" s="88"/>
      <c r="H42" s="91" t="s">
        <v>346</v>
      </c>
      <c r="I42" s="88" t="s">
        <v>27</v>
      </c>
      <c r="J42" s="105" t="s">
        <v>75</v>
      </c>
      <c r="K42" s="91" t="s">
        <v>347</v>
      </c>
      <c r="L42" s="111">
        <v>1</v>
      </c>
      <c r="M42" s="101" t="s">
        <v>250</v>
      </c>
      <c r="N42" s="96"/>
      <c r="O42" s="93" t="s">
        <v>229</v>
      </c>
      <c r="P42" s="97">
        <f ca="1">IF(O42="Invenergy",IF(F42="-",(D42-C42)*24,F42*24),0)</f>
        <v>1080</v>
      </c>
      <c r="Q42" s="98">
        <f ca="1">P42/VLOOKUP(A42,'YTD Hours'!$A$2:$D$5,4,0)</f>
        <v>5.4047561854431896E-4</v>
      </c>
      <c r="R42" s="96">
        <f>(C42-$R$3)/7</f>
        <v>58</v>
      </c>
      <c r="T42" s="99">
        <v>1</v>
      </c>
    </row>
    <row r="43" spans="1:20" s="99" customFormat="1" ht="28.9" hidden="1" x14ac:dyDescent="0.25">
      <c r="A43" s="88" t="s">
        <v>77</v>
      </c>
      <c r="B43" s="88" t="s">
        <v>348</v>
      </c>
      <c r="C43" s="90">
        <v>45723</v>
      </c>
      <c r="D43" s="90">
        <v>45747</v>
      </c>
      <c r="E43" s="88" t="s">
        <v>223</v>
      </c>
      <c r="F43" s="88" t="str">
        <f ca="1">IF(D43="",TODAY()-C43,"-")</f>
        <v>-</v>
      </c>
      <c r="G43" s="88" t="s">
        <v>342</v>
      </c>
      <c r="H43" s="91" t="s">
        <v>349</v>
      </c>
      <c r="I43" s="88" t="s">
        <v>27</v>
      </c>
      <c r="J43" s="88" t="s">
        <v>74</v>
      </c>
      <c r="K43" s="91" t="s">
        <v>350</v>
      </c>
      <c r="L43" s="110">
        <v>1</v>
      </c>
      <c r="M43" s="101" t="s">
        <v>250</v>
      </c>
      <c r="N43" s="93"/>
      <c r="O43" s="93" t="s">
        <v>10</v>
      </c>
      <c r="P43" s="97">
        <f>IF(O43="Invenergy",IF(F43="-",(D43-C43)*24,F43*24),0)</f>
        <v>0</v>
      </c>
      <c r="Q43" s="96">
        <f ca="1">P43/VLOOKUP(A43,'YTD Hours'!$A$2:$D$5,4,0)</f>
        <v>0</v>
      </c>
      <c r="R43" s="96">
        <f>(C43-$R$3)/7</f>
        <v>61.571428571428569</v>
      </c>
      <c r="T43" s="99">
        <v>1</v>
      </c>
    </row>
    <row r="44" spans="1:20" s="99" customFormat="1" ht="14.45" hidden="1" x14ac:dyDescent="0.25">
      <c r="A44" s="88" t="s">
        <v>78</v>
      </c>
      <c r="B44" s="88" t="s">
        <v>291</v>
      </c>
      <c r="C44" s="90">
        <v>45734</v>
      </c>
      <c r="D44" s="90">
        <v>45748</v>
      </c>
      <c r="E44" s="88" t="s">
        <v>223</v>
      </c>
      <c r="F44" s="88" t="str">
        <f ca="1">IF(D44="",TODAY()-C44,"-")</f>
        <v>-</v>
      </c>
      <c r="G44" s="88" t="s">
        <v>342</v>
      </c>
      <c r="H44" s="91" t="s">
        <v>343</v>
      </c>
      <c r="I44" s="88" t="s">
        <v>19</v>
      </c>
      <c r="J44" s="88" t="s">
        <v>74</v>
      </c>
      <c r="K44" s="93" t="s">
        <v>344</v>
      </c>
      <c r="L44" s="110">
        <v>1</v>
      </c>
      <c r="M44" s="101" t="s">
        <v>250</v>
      </c>
      <c r="N44" s="93" t="s">
        <v>10</v>
      </c>
      <c r="O44" s="93" t="s">
        <v>10</v>
      </c>
      <c r="P44" s="97">
        <f>IF(O44="Invenergy",IF(F44="-",(D44-C44)*24,F44*24),0)</f>
        <v>0</v>
      </c>
      <c r="Q44" s="96">
        <f ca="1">P44/VLOOKUP(A44,'YTD Hours'!$A$2:$D$5,4,0)</f>
        <v>0</v>
      </c>
      <c r="R44" s="96">
        <f>(C44-$R$3)/7</f>
        <v>63.142857142857146</v>
      </c>
      <c r="T44" s="99">
        <v>1</v>
      </c>
    </row>
    <row r="45" spans="1:20" s="99" customFormat="1" ht="57.6" hidden="1" x14ac:dyDescent="0.25">
      <c r="A45" s="88" t="s">
        <v>78</v>
      </c>
      <c r="B45" s="88" t="s">
        <v>351</v>
      </c>
      <c r="C45" s="90">
        <v>45738</v>
      </c>
      <c r="D45" s="90">
        <v>45757</v>
      </c>
      <c r="E45" s="88" t="s">
        <v>223</v>
      </c>
      <c r="F45" s="88" t="str">
        <f ca="1">IF(D45="",TODAY()-C45,"-")</f>
        <v>-</v>
      </c>
      <c r="G45" s="90">
        <v>45757</v>
      </c>
      <c r="H45" s="91" t="s">
        <v>343</v>
      </c>
      <c r="I45" s="88" t="s">
        <v>19</v>
      </c>
      <c r="J45" s="88" t="s">
        <v>74</v>
      </c>
      <c r="K45" s="91" t="s">
        <v>352</v>
      </c>
      <c r="L45" s="110">
        <v>1</v>
      </c>
      <c r="M45" s="101" t="s">
        <v>250</v>
      </c>
      <c r="N45" s="93" t="s">
        <v>10</v>
      </c>
      <c r="O45" s="93" t="s">
        <v>10</v>
      </c>
      <c r="P45" s="97">
        <f>IF(O45="Invenergy",IF(F45="-",(D45-C45)*24,F45*24),0)</f>
        <v>0</v>
      </c>
      <c r="Q45" s="96">
        <f ca="1">P45/VLOOKUP(A45,'YTD Hours'!$A$2:$D$5,4,0)</f>
        <v>0</v>
      </c>
      <c r="R45" s="96">
        <f>(C45-$R$3)/7</f>
        <v>63.714285714285715</v>
      </c>
      <c r="T45" s="99">
        <v>1</v>
      </c>
    </row>
    <row r="46" spans="1:20" s="99" customFormat="1" ht="72" hidden="1" x14ac:dyDescent="0.25">
      <c r="A46" s="88" t="s">
        <v>79</v>
      </c>
      <c r="B46" s="89" t="s">
        <v>353</v>
      </c>
      <c r="C46" s="90">
        <v>45607</v>
      </c>
      <c r="D46" s="90">
        <v>45758</v>
      </c>
      <c r="E46" s="88" t="s">
        <v>223</v>
      </c>
      <c r="F46" s="88" t="str">
        <f ca="1">IF(D46="",TODAY()-C46,"-")</f>
        <v>-</v>
      </c>
      <c r="G46" s="90">
        <v>45755</v>
      </c>
      <c r="H46" s="91" t="s">
        <v>354</v>
      </c>
      <c r="I46" s="88" t="s">
        <v>27</v>
      </c>
      <c r="J46" s="88" t="s">
        <v>74</v>
      </c>
      <c r="K46" s="91" t="s">
        <v>355</v>
      </c>
      <c r="L46" s="111">
        <v>1</v>
      </c>
      <c r="M46" s="101" t="s">
        <v>250</v>
      </c>
      <c r="N46" s="96" t="s">
        <v>356</v>
      </c>
      <c r="O46" s="93" t="s">
        <v>229</v>
      </c>
      <c r="P46" s="97">
        <f ca="1">IF(O46="Invenergy",IF(F46="-",(D46-C46)*24,F46*24),0)</f>
        <v>3624</v>
      </c>
      <c r="Q46" s="98">
        <f ca="1">P46/VLOOKUP(A46,'YTD Hours'!$A$2:$D$5,4,0)</f>
        <v>6.5176104972375689E-3</v>
      </c>
      <c r="R46" s="96">
        <f>(C46-$R$3)/7</f>
        <v>45</v>
      </c>
      <c r="T46" s="99">
        <v>1</v>
      </c>
    </row>
    <row r="47" spans="1:20" s="99" customFormat="1" ht="72" hidden="1" x14ac:dyDescent="0.25">
      <c r="A47" s="88" t="s">
        <v>77</v>
      </c>
      <c r="B47" s="88" t="s">
        <v>357</v>
      </c>
      <c r="C47" s="90">
        <v>45712</v>
      </c>
      <c r="D47" s="90">
        <v>45763</v>
      </c>
      <c r="E47" s="88" t="s">
        <v>223</v>
      </c>
      <c r="F47" s="88" t="str">
        <f ca="1">IF(D47="",TODAY()-C47,"-")</f>
        <v>-</v>
      </c>
      <c r="G47" s="90" t="s">
        <v>342</v>
      </c>
      <c r="H47" s="91" t="s">
        <v>358</v>
      </c>
      <c r="I47" s="88" t="s">
        <v>25</v>
      </c>
      <c r="J47" s="88" t="s">
        <v>74</v>
      </c>
      <c r="K47" s="91" t="s">
        <v>359</v>
      </c>
      <c r="L47" s="110">
        <v>1</v>
      </c>
      <c r="M47" s="101" t="s">
        <v>360</v>
      </c>
      <c r="N47" s="96"/>
      <c r="O47" s="93" t="s">
        <v>229</v>
      </c>
      <c r="P47" s="93">
        <f ca="1">IF(O47="Invenergy",IF(F47="-",(D47-C47)*24,F47*24),0)</f>
        <v>1224</v>
      </c>
      <c r="Q47" s="98">
        <f ca="1">P47/VLOOKUP(A47,'YTD Hours'!$A$2:$D$5,4,0)</f>
        <v>6.1253903435022823E-4</v>
      </c>
      <c r="R47" s="96">
        <f>(C47-$R$3)/7</f>
        <v>60</v>
      </c>
      <c r="T47" s="99">
        <v>1</v>
      </c>
    </row>
    <row r="48" spans="1:20" s="99" customFormat="1" ht="172.9" hidden="1" x14ac:dyDescent="0.25">
      <c r="A48" s="88" t="s">
        <v>44</v>
      </c>
      <c r="B48" s="89" t="s">
        <v>361</v>
      </c>
      <c r="C48" s="90">
        <v>45601</v>
      </c>
      <c r="D48" s="90">
        <v>45764</v>
      </c>
      <c r="E48" s="88" t="s">
        <v>223</v>
      </c>
      <c r="F48" s="88" t="str">
        <f ca="1">IF(D48="",TODAY()-C48,"-")</f>
        <v>-</v>
      </c>
      <c r="G48" s="92">
        <v>45762</v>
      </c>
      <c r="H48" s="91" t="s">
        <v>362</v>
      </c>
      <c r="I48" s="88" t="s">
        <v>16</v>
      </c>
      <c r="J48" s="88" t="s">
        <v>74</v>
      </c>
      <c r="K48" s="91" t="s">
        <v>363</v>
      </c>
      <c r="L48" s="111">
        <v>0.8</v>
      </c>
      <c r="M48" s="95" t="s">
        <v>250</v>
      </c>
      <c r="N48" s="96" t="s">
        <v>268</v>
      </c>
      <c r="O48" s="93" t="s">
        <v>10</v>
      </c>
      <c r="P48" s="97">
        <f>IF(O48="Invenergy",IF(F48="-",(D48-C48)*24,F48*24),0)</f>
        <v>0</v>
      </c>
      <c r="Q48" s="98">
        <f ca="1">P48/VLOOKUP(A48,'YTD Hours'!$A$2:$D$5,4,0)</f>
        <v>0</v>
      </c>
      <c r="R48" s="96">
        <f>(C48-$R$3)/7</f>
        <v>44.142857142857146</v>
      </c>
      <c r="T48" s="99">
        <v>1</v>
      </c>
    </row>
    <row r="49" spans="1:18" s="99" customFormat="1" ht="86.45" hidden="1" x14ac:dyDescent="0.25">
      <c r="A49" s="88" t="s">
        <v>77</v>
      </c>
      <c r="B49" s="88" t="s">
        <v>257</v>
      </c>
      <c r="C49" s="90">
        <v>45750</v>
      </c>
      <c r="D49" s="90">
        <v>45769</v>
      </c>
      <c r="E49" s="88" t="s">
        <v>223</v>
      </c>
      <c r="F49" s="88" t="str">
        <f ca="1">IF(D49="",TODAY()-C49,"-")</f>
        <v>-</v>
      </c>
      <c r="G49" s="90">
        <v>45770</v>
      </c>
      <c r="H49" s="91" t="s">
        <v>364</v>
      </c>
      <c r="I49" s="88" t="s">
        <v>16</v>
      </c>
      <c r="J49" s="88" t="s">
        <v>225</v>
      </c>
      <c r="K49" s="91" t="s">
        <v>365</v>
      </c>
      <c r="L49" s="111" t="s">
        <v>65</v>
      </c>
      <c r="M49" s="101" t="s">
        <v>366</v>
      </c>
      <c r="N49" s="96"/>
      <c r="O49" s="93" t="s">
        <v>229</v>
      </c>
      <c r="P49" s="93">
        <f ca="1">IF(O49="Invenergy",IF(F49="-",(D49-C49)*24,F49*24),0)</f>
        <v>456</v>
      </c>
      <c r="Q49" s="96">
        <f ca="1">P49/VLOOKUP(A49,'YTD Hours'!$A$2:$D$5,4,0)</f>
        <v>2.2820081671871248E-4</v>
      </c>
      <c r="R49" s="96">
        <f>(C49-$R$3)/7</f>
        <v>65.428571428571431</v>
      </c>
    </row>
    <row r="50" spans="1:18" s="99" customFormat="1" ht="158.44999999999999" hidden="1" x14ac:dyDescent="0.25">
      <c r="A50" s="88" t="s">
        <v>78</v>
      </c>
      <c r="B50" s="88" t="s">
        <v>367</v>
      </c>
      <c r="C50" s="90">
        <v>45708</v>
      </c>
      <c r="D50" s="90">
        <v>45772</v>
      </c>
      <c r="E50" s="88" t="s">
        <v>223</v>
      </c>
      <c r="F50" s="88" t="str">
        <f ca="1">IF(D50="",TODAY()-C50,"-")</f>
        <v>-</v>
      </c>
      <c r="G50" s="90">
        <v>45771</v>
      </c>
      <c r="H50" s="91" t="s">
        <v>346</v>
      </c>
      <c r="I50" s="88" t="s">
        <v>27</v>
      </c>
      <c r="J50" s="105" t="s">
        <v>75</v>
      </c>
      <c r="K50" s="91" t="s">
        <v>368</v>
      </c>
      <c r="L50" s="110">
        <v>1</v>
      </c>
      <c r="M50" s="101" t="s">
        <v>250</v>
      </c>
      <c r="N50" s="96"/>
      <c r="O50" s="93" t="s">
        <v>229</v>
      </c>
      <c r="P50" s="97">
        <f ca="1">IF(O50="Invenergy",IF(F50="-",(D50-C50)*24,F50*24),0)</f>
        <v>1536</v>
      </c>
      <c r="Q50" s="98">
        <f ca="1">P50/VLOOKUP(A50,'YTD Hours'!$A$2:$D$5,4,0)</f>
        <v>8.8397790055248619E-4</v>
      </c>
      <c r="R50" s="96">
        <f>(C50-$R$3)/7</f>
        <v>59.428571428571431</v>
      </c>
    </row>
    <row r="51" spans="1:18" s="99" customFormat="1" ht="14.45" hidden="1" x14ac:dyDescent="0.25">
      <c r="A51" s="88" t="s">
        <v>77</v>
      </c>
      <c r="B51" s="88" t="s">
        <v>369</v>
      </c>
      <c r="C51" s="90">
        <v>45761</v>
      </c>
      <c r="D51" s="90">
        <v>45778</v>
      </c>
      <c r="E51" s="88" t="s">
        <v>223</v>
      </c>
      <c r="F51" s="88" t="str">
        <f ca="1">IF(D51="",TODAY()-C51,"-")</f>
        <v>-</v>
      </c>
      <c r="G51" s="90">
        <v>45772</v>
      </c>
      <c r="H51" s="113" t="s">
        <v>370</v>
      </c>
      <c r="I51" s="88" t="s">
        <v>21</v>
      </c>
      <c r="J51" s="88" t="s">
        <v>10</v>
      </c>
      <c r="K51" s="93" t="s">
        <v>371</v>
      </c>
      <c r="L51" s="114" t="s">
        <v>65</v>
      </c>
      <c r="M51" s="101" t="s">
        <v>10</v>
      </c>
      <c r="N51" s="96"/>
      <c r="O51" s="93" t="s">
        <v>10</v>
      </c>
      <c r="P51" s="93">
        <f>IF(O51="Invenergy",IF(F51="-",(D51-C51)*24,F51*24),0)</f>
        <v>0</v>
      </c>
      <c r="Q51" s="96">
        <f ca="1">P51/VLOOKUP(A51,'YTD Hours'!$A$2:$D$5,4,0)</f>
        <v>0</v>
      </c>
      <c r="R51" s="96">
        <f>(C51-$R$3)/7</f>
        <v>67</v>
      </c>
    </row>
    <row r="52" spans="1:18" s="99" customFormat="1" ht="28.9" hidden="1" x14ac:dyDescent="0.25">
      <c r="A52" s="88" t="s">
        <v>78</v>
      </c>
      <c r="B52" s="88" t="s">
        <v>372</v>
      </c>
      <c r="C52" s="90">
        <v>45763</v>
      </c>
      <c r="D52" s="90">
        <v>45778</v>
      </c>
      <c r="E52" s="88" t="s">
        <v>223</v>
      </c>
      <c r="F52" s="88" t="str">
        <f ca="1">IF(D52="",TODAY()-C52,"-")</f>
        <v>-</v>
      </c>
      <c r="G52" s="90">
        <v>45778</v>
      </c>
      <c r="H52" s="113" t="s">
        <v>373</v>
      </c>
      <c r="I52" s="88" t="s">
        <v>19</v>
      </c>
      <c r="J52" s="88" t="s">
        <v>74</v>
      </c>
      <c r="K52" s="91" t="s">
        <v>374</v>
      </c>
      <c r="L52" s="110">
        <v>1</v>
      </c>
      <c r="M52" s="101" t="s">
        <v>250</v>
      </c>
      <c r="N52" s="96"/>
      <c r="O52" s="93" t="s">
        <v>10</v>
      </c>
      <c r="P52" s="93">
        <f>IF(O52="Invenergy",IF(F52="-",(D52-C52)*24,F52*24),0)</f>
        <v>0</v>
      </c>
      <c r="Q52" s="96">
        <f ca="1">P52/VLOOKUP(A52,'YTD Hours'!$A$2:$D$5,4,0)</f>
        <v>0</v>
      </c>
      <c r="R52" s="96">
        <f>(C52-$R$3)/7</f>
        <v>67.285714285714292</v>
      </c>
    </row>
    <row r="53" spans="1:18" s="99" customFormat="1" ht="14.45" hidden="1" x14ac:dyDescent="0.25">
      <c r="A53" s="88" t="s">
        <v>78</v>
      </c>
      <c r="B53" s="88" t="s">
        <v>331</v>
      </c>
      <c r="C53" s="90">
        <v>45763</v>
      </c>
      <c r="D53" s="90">
        <v>45786</v>
      </c>
      <c r="E53" s="88" t="s">
        <v>223</v>
      </c>
      <c r="F53" s="88" t="str">
        <f ca="1">IF(D53="",TODAY()-C53,"-")</f>
        <v>-</v>
      </c>
      <c r="G53" s="90">
        <v>45786</v>
      </c>
      <c r="H53" s="113" t="s">
        <v>370</v>
      </c>
      <c r="I53" s="88" t="s">
        <v>21</v>
      </c>
      <c r="J53" s="88" t="s">
        <v>10</v>
      </c>
      <c r="K53" s="93" t="s">
        <v>371</v>
      </c>
      <c r="L53" s="114" t="s">
        <v>65</v>
      </c>
      <c r="M53" s="101" t="s">
        <v>10</v>
      </c>
      <c r="N53" s="96"/>
      <c r="O53" s="93" t="s">
        <v>10</v>
      </c>
      <c r="P53" s="93">
        <f>IF(O53="Invenergy",IF(F53="-",(D53-C53)*24,F53*24),0)</f>
        <v>0</v>
      </c>
      <c r="Q53" s="96">
        <f ca="1">P53/VLOOKUP(A53,'YTD Hours'!$A$2:$D$5,4,0)</f>
        <v>0</v>
      </c>
      <c r="R53" s="96">
        <f>(C53-$R$3)/7</f>
        <v>67.285714285714292</v>
      </c>
    </row>
    <row r="54" spans="1:18" s="99" customFormat="1" ht="14.45" hidden="1" x14ac:dyDescent="0.25">
      <c r="A54" s="88" t="s">
        <v>78</v>
      </c>
      <c r="B54" s="88" t="s">
        <v>375</v>
      </c>
      <c r="C54" s="90">
        <v>45775</v>
      </c>
      <c r="D54" s="90">
        <v>45786</v>
      </c>
      <c r="E54" s="88" t="s">
        <v>223</v>
      </c>
      <c r="F54" s="88" t="str">
        <f ca="1">IF(D54="",TODAY()-C54,"-")</f>
        <v>-</v>
      </c>
      <c r="G54" s="90">
        <v>45786</v>
      </c>
      <c r="H54" s="113" t="s">
        <v>370</v>
      </c>
      <c r="I54" s="88" t="s">
        <v>21</v>
      </c>
      <c r="J54" s="88" t="s">
        <v>10</v>
      </c>
      <c r="K54" s="93" t="s">
        <v>371</v>
      </c>
      <c r="L54" s="114" t="s">
        <v>65</v>
      </c>
      <c r="M54" s="101" t="s">
        <v>10</v>
      </c>
      <c r="N54" s="93" t="s">
        <v>10</v>
      </c>
      <c r="O54" s="93">
        <v>0</v>
      </c>
      <c r="P54" s="93">
        <f>IF(O54="Invenergy",IF(F54="-",(D54-C54)*24,F54*24),0)</f>
        <v>0</v>
      </c>
      <c r="Q54" s="96">
        <f ca="1">P54/VLOOKUP(A54,'YTD Hours'!$A$2:$D$5,4,0)</f>
        <v>0</v>
      </c>
      <c r="R54" s="96">
        <f>(C54-$R$3)/7</f>
        <v>69</v>
      </c>
    </row>
    <row r="55" spans="1:18" s="99" customFormat="1" ht="14.45" hidden="1" x14ac:dyDescent="0.25">
      <c r="A55" s="88" t="s">
        <v>78</v>
      </c>
      <c r="B55" s="88" t="s">
        <v>376</v>
      </c>
      <c r="C55" s="90">
        <v>45783</v>
      </c>
      <c r="D55" s="90">
        <v>45786</v>
      </c>
      <c r="E55" s="88" t="s">
        <v>223</v>
      </c>
      <c r="F55" s="88" t="str">
        <f ca="1">IF(D55="",TODAY()-C55,"-")</f>
        <v>-</v>
      </c>
      <c r="G55" s="90">
        <v>45793</v>
      </c>
      <c r="H55" s="113" t="s">
        <v>370</v>
      </c>
      <c r="I55" s="88" t="s">
        <v>21</v>
      </c>
      <c r="J55" s="88" t="s">
        <v>10</v>
      </c>
      <c r="K55" s="93" t="s">
        <v>371</v>
      </c>
      <c r="L55" s="114" t="s">
        <v>65</v>
      </c>
      <c r="M55" s="101" t="s">
        <v>10</v>
      </c>
      <c r="N55" s="93">
        <v>0</v>
      </c>
      <c r="O55" s="96">
        <v>0</v>
      </c>
      <c r="P55" s="93">
        <f>IF(O55="Invenergy",IF(F55="-",(D55-C55)*24,F55*24),0)</f>
        <v>0</v>
      </c>
      <c r="Q55" s="96">
        <f ca="1">P55/VLOOKUP(A55,'YTD Hours'!$A$2:$D$5,4,0)</f>
        <v>0</v>
      </c>
      <c r="R55" s="96">
        <f>(C55-$R$3)/7</f>
        <v>70.142857142857139</v>
      </c>
    </row>
    <row r="56" spans="1:18" s="99" customFormat="1" ht="14.45" hidden="1" x14ac:dyDescent="0.25">
      <c r="A56" s="88" t="s">
        <v>78</v>
      </c>
      <c r="B56" s="88" t="s">
        <v>348</v>
      </c>
      <c r="C56" s="90">
        <v>45782</v>
      </c>
      <c r="D56" s="90">
        <v>45789</v>
      </c>
      <c r="E56" s="88" t="s">
        <v>223</v>
      </c>
      <c r="F56" s="88" t="str">
        <f ca="1">IF(D56="",TODAY()-C56,"-")</f>
        <v>-</v>
      </c>
      <c r="G56" s="115">
        <v>45793</v>
      </c>
      <c r="H56" s="113" t="s">
        <v>370</v>
      </c>
      <c r="I56" s="88" t="s">
        <v>21</v>
      </c>
      <c r="J56" s="88" t="s">
        <v>10</v>
      </c>
      <c r="K56" s="93" t="s">
        <v>371</v>
      </c>
      <c r="L56" s="114" t="s">
        <v>65</v>
      </c>
      <c r="M56" s="101" t="s">
        <v>10</v>
      </c>
      <c r="N56" s="99">
        <v>0</v>
      </c>
      <c r="O56" s="96">
        <v>64</v>
      </c>
      <c r="P56" s="93">
        <f>IF(O56="Invenergy",IF(F56="-",(D56-C56)*24,F56*24),0)</f>
        <v>0</v>
      </c>
      <c r="Q56" s="96">
        <f ca="1">P56/VLOOKUP(A56,'YTD Hours'!$A$2:$D$5,4,0)</f>
        <v>0</v>
      </c>
      <c r="R56" s="96">
        <f>(C56-$R$3)/7</f>
        <v>70</v>
      </c>
    </row>
    <row r="57" spans="1:18" s="99" customFormat="1" ht="14.45" hidden="1" x14ac:dyDescent="0.25">
      <c r="A57" s="88" t="s">
        <v>78</v>
      </c>
      <c r="B57" s="88" t="s">
        <v>377</v>
      </c>
      <c r="C57" s="90">
        <v>45754</v>
      </c>
      <c r="D57" s="90">
        <v>45790</v>
      </c>
      <c r="E57" s="88" t="s">
        <v>223</v>
      </c>
      <c r="F57" s="88" t="str">
        <f ca="1">IF(D57="",TODAY()-C57,"-")</f>
        <v>-</v>
      </c>
      <c r="G57" s="90">
        <v>45786</v>
      </c>
      <c r="H57" s="91" t="s">
        <v>378</v>
      </c>
      <c r="I57" s="88" t="s">
        <v>27</v>
      </c>
      <c r="J57" s="88" t="s">
        <v>74</v>
      </c>
      <c r="K57" s="93" t="s">
        <v>379</v>
      </c>
      <c r="L57" s="110">
        <v>1</v>
      </c>
      <c r="M57" s="101" t="s">
        <v>250</v>
      </c>
      <c r="O57" s="93" t="s">
        <v>10</v>
      </c>
      <c r="P57" s="93">
        <f>IF(O57="Invenergy",IF(F57="-",(D57-C57)*24,F57*24),0)</f>
        <v>0</v>
      </c>
      <c r="Q57" s="96">
        <f ca="1">P57/VLOOKUP(A57,'YTD Hours'!$A$2:$D$5,4,0)</f>
        <v>0</v>
      </c>
      <c r="R57" s="96">
        <f>(C57-$R$3)/7</f>
        <v>66</v>
      </c>
    </row>
    <row r="58" spans="1:18" s="99" customFormat="1" ht="72" hidden="1" x14ac:dyDescent="0.25">
      <c r="A58" s="88" t="s">
        <v>79</v>
      </c>
      <c r="B58" s="88" t="s">
        <v>380</v>
      </c>
      <c r="C58" s="90">
        <v>45762</v>
      </c>
      <c r="D58" s="90">
        <v>45790</v>
      </c>
      <c r="E58" s="88" t="s">
        <v>223</v>
      </c>
      <c r="F58" s="88" t="str">
        <f ca="1">IF(D58="",TODAY()-C58,"-")</f>
        <v>-</v>
      </c>
      <c r="G58" s="88"/>
      <c r="H58" s="113" t="s">
        <v>381</v>
      </c>
      <c r="I58" s="88" t="s">
        <v>16</v>
      </c>
      <c r="J58" s="88" t="s">
        <v>225</v>
      </c>
      <c r="K58" s="91" t="s">
        <v>382</v>
      </c>
      <c r="L58" s="114" t="s">
        <v>65</v>
      </c>
      <c r="M58" s="101" t="s">
        <v>232</v>
      </c>
      <c r="N58" s="93" t="s">
        <v>229</v>
      </c>
      <c r="O58" s="93" t="s">
        <v>229</v>
      </c>
      <c r="P58" s="93">
        <f ca="1">IF(O58="Invenergy",IF(F58="-",(D58-C58)*24,F58*24),0)</f>
        <v>672</v>
      </c>
      <c r="Q58" s="96">
        <f ca="1">P58/VLOOKUP(A58,'YTD Hours'!$A$2:$D$5,4,0)</f>
        <v>1.2085635359116022E-3</v>
      </c>
      <c r="R58" s="99">
        <f>(C58-$R$3)/7</f>
        <v>67.142857142857139</v>
      </c>
    </row>
    <row r="59" spans="1:18" s="99" customFormat="1" ht="250.15" hidden="1" customHeight="1" x14ac:dyDescent="0.25">
      <c r="A59" s="88" t="s">
        <v>44</v>
      </c>
      <c r="B59" s="88" t="s">
        <v>266</v>
      </c>
      <c r="C59" s="90">
        <v>45652</v>
      </c>
      <c r="D59" s="90">
        <v>45791</v>
      </c>
      <c r="E59" s="116" t="s">
        <v>223</v>
      </c>
      <c r="F59" s="88" t="str">
        <f ca="1">IF(D59="",TODAY()-C59,"-")</f>
        <v>-</v>
      </c>
      <c r="G59" s="90">
        <v>45793</v>
      </c>
      <c r="H59" s="91" t="s">
        <v>383</v>
      </c>
      <c r="I59" s="92" t="s">
        <v>16</v>
      </c>
      <c r="J59" s="105" t="s">
        <v>74</v>
      </c>
      <c r="K59" s="91" t="s">
        <v>384</v>
      </c>
      <c r="L59" s="111">
        <v>0</v>
      </c>
      <c r="M59" s="101" t="s">
        <v>272</v>
      </c>
      <c r="N59" s="96"/>
      <c r="O59" s="93" t="s">
        <v>10</v>
      </c>
      <c r="P59" s="97">
        <f>IF(O59="Invenergy",IF(F59="-",(D59-C59)*24,F59*24),0)</f>
        <v>0</v>
      </c>
      <c r="Q59" s="98">
        <f ca="1">P59/VLOOKUP(A59,'YTD Hours'!$A$2:$D$5,4,0)</f>
        <v>0</v>
      </c>
      <c r="R59" s="96">
        <f>(C59-$R$3)/7</f>
        <v>51.428571428571431</v>
      </c>
    </row>
    <row r="60" spans="1:18" s="99" customFormat="1" ht="14.45" hidden="1" x14ac:dyDescent="0.25">
      <c r="A60" s="88" t="s">
        <v>78</v>
      </c>
      <c r="B60" s="88" t="s">
        <v>385</v>
      </c>
      <c r="C60" s="90">
        <v>45740</v>
      </c>
      <c r="D60" s="90">
        <v>45807</v>
      </c>
      <c r="E60" s="88" t="s">
        <v>223</v>
      </c>
      <c r="F60" s="88" t="str">
        <f ca="1">IF(D60="",TODAY()-C60,"-")</f>
        <v>-</v>
      </c>
      <c r="G60" s="90">
        <v>45814</v>
      </c>
      <c r="H60" s="113" t="s">
        <v>370</v>
      </c>
      <c r="I60" s="88" t="s">
        <v>21</v>
      </c>
      <c r="J60" s="88" t="s">
        <v>10</v>
      </c>
      <c r="K60" s="93" t="s">
        <v>371</v>
      </c>
      <c r="L60" s="114" t="s">
        <v>65</v>
      </c>
      <c r="M60" s="101" t="s">
        <v>10</v>
      </c>
      <c r="N60" s="96"/>
      <c r="O60" s="93" t="s">
        <v>10</v>
      </c>
      <c r="P60" s="93">
        <f>IF(O60="Invenergy",IF(F60="-",(D60-C60)*24,F60*24),0)</f>
        <v>0</v>
      </c>
      <c r="Q60" s="96">
        <f ca="1">P60/VLOOKUP(A60,'YTD Hours'!$A$2:$D$5,4,0)</f>
        <v>0</v>
      </c>
      <c r="R60" s="99">
        <f>(C60-$R$3)/7</f>
        <v>64</v>
      </c>
    </row>
    <row r="61" spans="1:18" s="99" customFormat="1" ht="43.15" hidden="1" x14ac:dyDescent="0.25">
      <c r="A61" s="88" t="s">
        <v>77</v>
      </c>
      <c r="B61" s="88" t="s">
        <v>386</v>
      </c>
      <c r="C61" s="90">
        <v>45654</v>
      </c>
      <c r="D61" s="90">
        <v>45808</v>
      </c>
      <c r="E61" s="88" t="s">
        <v>223</v>
      </c>
      <c r="F61" s="88" t="str">
        <f ca="1">IF(D61="",TODAY()-C61,"-")</f>
        <v>-</v>
      </c>
      <c r="G61" s="90">
        <v>45807</v>
      </c>
      <c r="H61" s="91" t="s">
        <v>387</v>
      </c>
      <c r="I61" s="105" t="s">
        <v>16</v>
      </c>
      <c r="J61" s="105" t="s">
        <v>74</v>
      </c>
      <c r="K61" s="91" t="s">
        <v>388</v>
      </c>
      <c r="L61" s="111">
        <v>1</v>
      </c>
      <c r="M61" s="101" t="s">
        <v>250</v>
      </c>
      <c r="O61" s="93" t="s">
        <v>229</v>
      </c>
      <c r="P61" s="97">
        <f ca="1">IF(O61="Invenergy",IF(F61="-",(D61-C61)*24,F61*24),0)</f>
        <v>3696</v>
      </c>
      <c r="Q61" s="98">
        <f ca="1">P61/VLOOKUP(A63,'YTD Hours'!$A$2:$D$5,4,0)</f>
        <v>2.1270718232044199E-3</v>
      </c>
      <c r="R61" s="99">
        <f>(C61-$R$3)/7</f>
        <v>51.714285714285715</v>
      </c>
    </row>
    <row r="62" spans="1:18" s="99" customFormat="1" ht="14.45" hidden="1" x14ac:dyDescent="0.25">
      <c r="A62" s="88" t="s">
        <v>44</v>
      </c>
      <c r="B62" s="88" t="s">
        <v>389</v>
      </c>
      <c r="C62" s="90">
        <v>45798</v>
      </c>
      <c r="D62" s="90">
        <v>45816</v>
      </c>
      <c r="E62" s="88" t="s">
        <v>223</v>
      </c>
      <c r="F62" s="88" t="str">
        <f ca="1">IF(D62="",TODAY()-C62,"-")</f>
        <v>-</v>
      </c>
      <c r="G62" s="90">
        <v>45815</v>
      </c>
      <c r="H62" s="91" t="s">
        <v>390</v>
      </c>
      <c r="I62" s="88" t="s">
        <v>21</v>
      </c>
      <c r="J62" s="88" t="s">
        <v>74</v>
      </c>
      <c r="K62" s="93" t="s">
        <v>391</v>
      </c>
      <c r="L62" s="110"/>
      <c r="M62" s="101" t="s">
        <v>250</v>
      </c>
      <c r="N62" s="96"/>
      <c r="O62" s="93" t="s">
        <v>229</v>
      </c>
      <c r="P62" s="93">
        <f ca="1">IF(O62="Invenergy",IF(F62="-",(D62-C62)*24,F62*24),0)</f>
        <v>432</v>
      </c>
      <c r="Q62" s="96"/>
      <c r="R62" s="99">
        <f>(C62-$R$3)/7</f>
        <v>72.285714285714292</v>
      </c>
    </row>
    <row r="63" spans="1:18" s="99" customFormat="1" ht="14.45" hidden="1" x14ac:dyDescent="0.25">
      <c r="A63" s="88" t="s">
        <v>78</v>
      </c>
      <c r="B63" s="88" t="s">
        <v>392</v>
      </c>
      <c r="C63" s="90">
        <v>45796</v>
      </c>
      <c r="D63" s="90">
        <v>45821</v>
      </c>
      <c r="E63" s="88" t="s">
        <v>223</v>
      </c>
      <c r="F63" s="88" t="str">
        <f ca="1">IF(D63="",TODAY()-C63,"-")</f>
        <v>-</v>
      </c>
      <c r="G63" s="90">
        <v>45821</v>
      </c>
      <c r="H63" s="113" t="s">
        <v>370</v>
      </c>
      <c r="I63" s="88" t="s">
        <v>21</v>
      </c>
      <c r="J63" s="88" t="s">
        <v>10</v>
      </c>
      <c r="K63" s="93" t="s">
        <v>371</v>
      </c>
      <c r="L63" s="114" t="s">
        <v>65</v>
      </c>
      <c r="M63" s="101" t="s">
        <v>10</v>
      </c>
      <c r="N63" s="117" t="s">
        <v>10</v>
      </c>
      <c r="O63" s="118"/>
      <c r="P63" s="118">
        <v>0</v>
      </c>
      <c r="Q63" s="119">
        <v>0</v>
      </c>
      <c r="R63" s="99">
        <f>(C63-$R$3)/7</f>
        <v>72</v>
      </c>
    </row>
    <row r="64" spans="1:18" s="99" customFormat="1" ht="28.9" hidden="1" x14ac:dyDescent="0.25">
      <c r="A64" s="88" t="s">
        <v>78</v>
      </c>
      <c r="B64" s="88" t="s">
        <v>393</v>
      </c>
      <c r="C64" s="90">
        <v>45810</v>
      </c>
      <c r="D64" s="90">
        <v>45821</v>
      </c>
      <c r="E64" s="88" t="s">
        <v>223</v>
      </c>
      <c r="F64" s="88" t="str">
        <f ca="1">IF(D64="",TODAY()-C64,"-")</f>
        <v>-</v>
      </c>
      <c r="G64" s="88"/>
      <c r="H64" s="113" t="s">
        <v>248</v>
      </c>
      <c r="I64" s="88" t="s">
        <v>27</v>
      </c>
      <c r="J64" s="88" t="s">
        <v>74</v>
      </c>
      <c r="K64" s="91" t="s">
        <v>394</v>
      </c>
      <c r="L64" s="110">
        <v>1</v>
      </c>
      <c r="M64" s="101" t="s">
        <v>250</v>
      </c>
      <c r="O64" s="93"/>
      <c r="P64" s="93">
        <v>0</v>
      </c>
      <c r="Q64" s="96">
        <v>0</v>
      </c>
      <c r="R64" s="96">
        <f>(C64-$R$3)/7</f>
        <v>74</v>
      </c>
    </row>
    <row r="65" spans="1:18" s="99" customFormat="1" ht="100.9" hidden="1" x14ac:dyDescent="0.25">
      <c r="A65" s="116" t="s">
        <v>79</v>
      </c>
      <c r="B65" s="116" t="s">
        <v>395</v>
      </c>
      <c r="C65" s="120">
        <v>45756</v>
      </c>
      <c r="D65" s="120">
        <v>45822</v>
      </c>
      <c r="E65" s="116" t="s">
        <v>223</v>
      </c>
      <c r="F65" s="116" t="str">
        <f ca="1">IF(D65="",TODAY()-C65,"-")</f>
        <v>-</v>
      </c>
      <c r="G65" s="120">
        <v>45820</v>
      </c>
      <c r="H65" s="121" t="s">
        <v>396</v>
      </c>
      <c r="I65" s="116" t="s">
        <v>27</v>
      </c>
      <c r="J65" s="116" t="s">
        <v>74</v>
      </c>
      <c r="K65" s="121" t="s">
        <v>397</v>
      </c>
      <c r="L65" s="122">
        <v>1</v>
      </c>
      <c r="M65" s="123" t="s">
        <v>398</v>
      </c>
      <c r="O65" s="124" t="s">
        <v>229</v>
      </c>
      <c r="P65" s="124">
        <f ca="1">IF(O65="Invenergy",IF(F65="-",(D65-C65)*24,F65*24),0)</f>
        <v>1584</v>
      </c>
      <c r="Q65" s="125">
        <f ca="1">P65/VLOOKUP(A65,'YTD Hours'!$A$2:$D$5,4,0)</f>
        <v>2.8487569060773482E-3</v>
      </c>
      <c r="R65" s="99">
        <f>(C65-$R$3)/7</f>
        <v>66.285714285714292</v>
      </c>
    </row>
    <row r="66" spans="1:18" s="99" customFormat="1" ht="14.45" hidden="1" x14ac:dyDescent="0.25">
      <c r="A66" s="88" t="s">
        <v>78</v>
      </c>
      <c r="B66" s="88" t="s">
        <v>399</v>
      </c>
      <c r="C66" s="90">
        <v>45821</v>
      </c>
      <c r="D66" s="90">
        <v>45839</v>
      </c>
      <c r="E66" s="88" t="s">
        <v>223</v>
      </c>
      <c r="F66" s="88" t="str">
        <f ca="1">IF(D66="",TODAY()-C66,"-")</f>
        <v>-</v>
      </c>
      <c r="G66" s="90">
        <v>45852</v>
      </c>
      <c r="H66" s="91" t="s">
        <v>400</v>
      </c>
      <c r="I66" s="88" t="s">
        <v>21</v>
      </c>
      <c r="J66" s="88" t="s">
        <v>10</v>
      </c>
      <c r="K66" s="93" t="s">
        <v>401</v>
      </c>
      <c r="L66" s="110">
        <v>1</v>
      </c>
      <c r="M66" s="101" t="s">
        <v>10</v>
      </c>
      <c r="O66" s="93" t="s">
        <v>10</v>
      </c>
      <c r="P66" s="93">
        <f>IF(O66="Invenergy",IF(F66="-",(D66-C66)*24,F66*24),0)</f>
        <v>0</v>
      </c>
      <c r="Q66" s="96">
        <v>0</v>
      </c>
      <c r="R66" s="96">
        <f>(C66-$R$3)/7</f>
        <v>75.571428571428569</v>
      </c>
    </row>
    <row r="67" spans="1:18" s="99" customFormat="1" ht="14.45" hidden="1" x14ac:dyDescent="0.25">
      <c r="A67" s="88" t="s">
        <v>77</v>
      </c>
      <c r="B67" s="88" t="s">
        <v>402</v>
      </c>
      <c r="C67" s="90">
        <v>45821</v>
      </c>
      <c r="D67" s="90">
        <v>45840</v>
      </c>
      <c r="E67" s="88" t="s">
        <v>223</v>
      </c>
      <c r="F67" s="88" t="str">
        <f ca="1">IF(D67="",TODAY()-C67,"-")</f>
        <v>-</v>
      </c>
      <c r="G67" s="90">
        <v>45852</v>
      </c>
      <c r="H67" s="91" t="s">
        <v>400</v>
      </c>
      <c r="I67" s="88" t="s">
        <v>21</v>
      </c>
      <c r="J67" s="88" t="s">
        <v>10</v>
      </c>
      <c r="K67" s="93" t="s">
        <v>401</v>
      </c>
      <c r="L67" s="110">
        <v>1</v>
      </c>
      <c r="M67" s="101" t="s">
        <v>10</v>
      </c>
      <c r="O67" s="93" t="s">
        <v>10</v>
      </c>
      <c r="P67" s="93">
        <f>IF(O67="Invenergy",IF(F67="-",(D67-C67)*24,F67*24),0)</f>
        <v>0</v>
      </c>
      <c r="Q67" s="96">
        <v>0</v>
      </c>
      <c r="R67" s="96">
        <f>(C67-$R$3)/7</f>
        <v>75.571428571428569</v>
      </c>
    </row>
    <row r="68" spans="1:18" s="99" customFormat="1" ht="104.65" hidden="1" customHeight="1" x14ac:dyDescent="0.25">
      <c r="A68" s="116" t="s">
        <v>79</v>
      </c>
      <c r="B68" s="116" t="s">
        <v>403</v>
      </c>
      <c r="C68" s="120">
        <v>45821</v>
      </c>
      <c r="D68" s="120">
        <v>45842</v>
      </c>
      <c r="E68" s="116" t="s">
        <v>223</v>
      </c>
      <c r="F68" s="116" t="str">
        <f ca="1">IF(D68="",TODAY()-C68,"-")</f>
        <v>-</v>
      </c>
      <c r="G68" s="116" t="s">
        <v>65</v>
      </c>
      <c r="H68" s="121" t="s">
        <v>400</v>
      </c>
      <c r="I68" s="116" t="s">
        <v>21</v>
      </c>
      <c r="J68" s="116" t="s">
        <v>10</v>
      </c>
      <c r="K68" s="118" t="s">
        <v>401</v>
      </c>
      <c r="L68" s="126">
        <v>1</v>
      </c>
      <c r="M68" s="123" t="s">
        <v>10</v>
      </c>
      <c r="O68" s="93" t="s">
        <v>10</v>
      </c>
      <c r="P68" s="93">
        <f>IF(O68="Invenergy",IF(F68="-",(D68-C68)*24,F68*24),0)</f>
        <v>0</v>
      </c>
      <c r="Q68" s="96">
        <v>0</v>
      </c>
      <c r="R68" s="96">
        <f>(C68-$R$3)/7</f>
        <v>75.571428571428569</v>
      </c>
    </row>
    <row r="69" spans="1:18" s="99" customFormat="1" ht="72" hidden="1" customHeight="1" x14ac:dyDescent="0.25">
      <c r="A69" s="116" t="s">
        <v>44</v>
      </c>
      <c r="B69" s="116" t="s">
        <v>404</v>
      </c>
      <c r="C69" s="120">
        <v>45835</v>
      </c>
      <c r="D69" s="120">
        <v>45846</v>
      </c>
      <c r="E69" s="116" t="s">
        <v>223</v>
      </c>
      <c r="F69" s="116" t="str">
        <f ca="1">IF(D69="",TODAY()-C69,"-")</f>
        <v>-</v>
      </c>
      <c r="G69" s="116" t="s">
        <v>65</v>
      </c>
      <c r="H69" s="121" t="s">
        <v>400</v>
      </c>
      <c r="I69" s="116" t="s">
        <v>21</v>
      </c>
      <c r="J69" s="116" t="s">
        <v>10</v>
      </c>
      <c r="K69" s="118" t="s">
        <v>401</v>
      </c>
      <c r="L69" s="126">
        <v>0</v>
      </c>
      <c r="M69" s="123" t="s">
        <v>405</v>
      </c>
      <c r="N69" s="127"/>
      <c r="O69" s="93" t="s">
        <v>10</v>
      </c>
      <c r="P69" s="93">
        <f>IF(O69="Invenergy",IF(F69="-",(D69-C69)*24,F69*24),0)</f>
        <v>0</v>
      </c>
      <c r="Q69" s="96"/>
      <c r="R69" s="96">
        <f>(C69-$R$3)/7</f>
        <v>77.571428571428569</v>
      </c>
    </row>
    <row r="70" spans="1:18" s="99" customFormat="1" ht="14.65" hidden="1" customHeight="1" x14ac:dyDescent="0.25">
      <c r="A70" s="88" t="s">
        <v>78</v>
      </c>
      <c r="B70" s="88" t="s">
        <v>406</v>
      </c>
      <c r="C70" s="90">
        <v>45693</v>
      </c>
      <c r="D70" s="90">
        <v>45847</v>
      </c>
      <c r="E70" s="88" t="s">
        <v>223</v>
      </c>
      <c r="F70" s="88" t="str">
        <f ca="1">IF(D70="",TODAY()-C70,"-")</f>
        <v>-</v>
      </c>
      <c r="G70" s="90">
        <v>45839</v>
      </c>
      <c r="H70" s="91" t="s">
        <v>407</v>
      </c>
      <c r="I70" s="88" t="s">
        <v>16</v>
      </c>
      <c r="J70" s="105" t="s">
        <v>74</v>
      </c>
      <c r="K70" s="91" t="s">
        <v>408</v>
      </c>
      <c r="L70" s="111">
        <v>1</v>
      </c>
      <c r="M70" s="101" t="s">
        <v>250</v>
      </c>
      <c r="O70" s="93" t="s">
        <v>229</v>
      </c>
      <c r="P70" s="97">
        <f ca="1">IF(O70="Invenergy",IF(F70="-",(D70-C70)*24,F70*24),0)</f>
        <v>3696</v>
      </c>
      <c r="Q70" s="98">
        <f ca="1">P70/VLOOKUP(A70,'YTD Hours'!$A$2:$D$5,4,0)</f>
        <v>2.1270718232044199E-3</v>
      </c>
      <c r="R70" s="96">
        <f>(C70-$R$3)/7</f>
        <v>57.285714285714285</v>
      </c>
    </row>
    <row r="71" spans="1:18" s="99" customFormat="1" ht="124.9" hidden="1" customHeight="1" x14ac:dyDescent="0.25">
      <c r="A71" s="88" t="s">
        <v>77</v>
      </c>
      <c r="B71" s="88" t="s">
        <v>273</v>
      </c>
      <c r="C71" s="90">
        <v>45821</v>
      </c>
      <c r="D71" s="90">
        <v>45848</v>
      </c>
      <c r="E71" s="88" t="s">
        <v>223</v>
      </c>
      <c r="F71" s="88" t="str">
        <f ca="1">IF(D71="",TODAY()-C71,"-")</f>
        <v>-</v>
      </c>
      <c r="G71" s="88" t="s">
        <v>65</v>
      </c>
      <c r="H71" s="91" t="s">
        <v>400</v>
      </c>
      <c r="I71" s="88" t="s">
        <v>21</v>
      </c>
      <c r="J71" s="88" t="s">
        <v>10</v>
      </c>
      <c r="K71" s="93" t="s">
        <v>401</v>
      </c>
      <c r="L71" s="110">
        <v>0</v>
      </c>
      <c r="M71" s="101" t="s">
        <v>10</v>
      </c>
      <c r="O71" s="93" t="s">
        <v>10</v>
      </c>
      <c r="P71" s="93">
        <f>IF(O71="Invenergy",IF(F71="-",(D71-C71)*24,F71*24),0)</f>
        <v>0</v>
      </c>
      <c r="Q71" s="96">
        <v>0</v>
      </c>
      <c r="R71" s="96">
        <f>(C71-$R$3)/7</f>
        <v>75.571428571428569</v>
      </c>
    </row>
    <row r="72" spans="1:18" s="99" customFormat="1" ht="14.65" hidden="1" customHeight="1" x14ac:dyDescent="0.25">
      <c r="A72" s="116" t="s">
        <v>77</v>
      </c>
      <c r="B72" s="116" t="s">
        <v>409</v>
      </c>
      <c r="C72" s="120">
        <v>45821</v>
      </c>
      <c r="D72" s="120">
        <v>45848</v>
      </c>
      <c r="E72" s="116" t="s">
        <v>223</v>
      </c>
      <c r="F72" s="116" t="str">
        <f ca="1">IF(D72="",TODAY()-C72,"-")</f>
        <v>-</v>
      </c>
      <c r="G72" s="120">
        <v>45859</v>
      </c>
      <c r="H72" s="121" t="s">
        <v>400</v>
      </c>
      <c r="I72" s="116" t="s">
        <v>21</v>
      </c>
      <c r="J72" s="116" t="s">
        <v>10</v>
      </c>
      <c r="K72" s="118" t="s">
        <v>401</v>
      </c>
      <c r="L72" s="126">
        <v>0</v>
      </c>
      <c r="M72" s="123" t="s">
        <v>10</v>
      </c>
      <c r="O72" s="124" t="s">
        <v>10</v>
      </c>
      <c r="P72" s="124">
        <f>IF(O72="Invenergy",IF(F72="-",(D72-C72)*24,F72*24),0)</f>
        <v>0</v>
      </c>
      <c r="Q72" s="125">
        <v>0</v>
      </c>
      <c r="R72" s="128">
        <f>(C72-$R$3)/7</f>
        <v>75.571428571428569</v>
      </c>
    </row>
    <row r="73" spans="1:18" s="99" customFormat="1" ht="28.9" hidden="1" customHeight="1" x14ac:dyDescent="0.25">
      <c r="A73" s="88" t="s">
        <v>78</v>
      </c>
      <c r="B73" s="88" t="s">
        <v>410</v>
      </c>
      <c r="C73" s="90">
        <v>45789</v>
      </c>
      <c r="D73" s="90">
        <v>45849</v>
      </c>
      <c r="E73" s="88" t="s">
        <v>223</v>
      </c>
      <c r="F73" s="88" t="str">
        <f ca="1">IF(D73="",TODAY()-C73,"-")</f>
        <v>-</v>
      </c>
      <c r="G73" s="90">
        <v>45849</v>
      </c>
      <c r="H73" s="113" t="s">
        <v>411</v>
      </c>
      <c r="I73" s="88" t="s">
        <v>16</v>
      </c>
      <c r="J73" s="88" t="s">
        <v>412</v>
      </c>
      <c r="K73" s="91" t="s">
        <v>413</v>
      </c>
      <c r="L73" s="110">
        <v>1</v>
      </c>
      <c r="M73" s="101" t="s">
        <v>250</v>
      </c>
      <c r="N73" s="99">
        <v>64</v>
      </c>
      <c r="O73" s="119"/>
      <c r="P73" s="118">
        <f>IF(O73="Invenergy",IF(F73="-",(D73-C73)*24,F73*24),0)</f>
        <v>0</v>
      </c>
      <c r="Q73" s="119">
        <f ca="1">P73/VLOOKUP(A73,'YTD Hours'!$A$2:$D$5,4,0)</f>
        <v>0</v>
      </c>
      <c r="R73" s="129">
        <f>(C73-$R$3)/7</f>
        <v>71</v>
      </c>
    </row>
    <row r="74" spans="1:18" s="99" customFormat="1" ht="14.65" hidden="1" customHeight="1" x14ac:dyDescent="0.25">
      <c r="A74" s="88" t="s">
        <v>78</v>
      </c>
      <c r="B74" s="88" t="s">
        <v>414</v>
      </c>
      <c r="C74" s="90">
        <v>45821</v>
      </c>
      <c r="D74" s="90">
        <v>45853</v>
      </c>
      <c r="E74" s="88" t="s">
        <v>223</v>
      </c>
      <c r="F74" s="88" t="str">
        <f ca="1">IF(D74="",TODAY()-C74,"-")</f>
        <v>-</v>
      </c>
      <c r="G74" s="88" t="s">
        <v>65</v>
      </c>
      <c r="H74" s="91" t="s">
        <v>400</v>
      </c>
      <c r="I74" s="88" t="s">
        <v>21</v>
      </c>
      <c r="J74" s="88" t="s">
        <v>10</v>
      </c>
      <c r="K74" s="93" t="s">
        <v>401</v>
      </c>
      <c r="L74" s="110">
        <v>1</v>
      </c>
      <c r="M74" s="101" t="s">
        <v>10</v>
      </c>
      <c r="N74" s="96"/>
      <c r="O74" s="93" t="s">
        <v>10</v>
      </c>
      <c r="P74" s="93">
        <f>IF(O74="Invenergy",IF(F74="-",(D74-C74)*24,F74*24),0)</f>
        <v>0</v>
      </c>
      <c r="Q74" s="96">
        <v>0</v>
      </c>
      <c r="R74" s="96">
        <f>(C74-$R$3)/7</f>
        <v>75.571428571428569</v>
      </c>
    </row>
    <row r="75" spans="1:18" s="99" customFormat="1" ht="14.65" hidden="1" customHeight="1" x14ac:dyDescent="0.25">
      <c r="A75" s="88" t="s">
        <v>78</v>
      </c>
      <c r="B75" s="89" t="s">
        <v>415</v>
      </c>
      <c r="C75" s="90">
        <v>45566</v>
      </c>
      <c r="D75" s="90">
        <v>45855</v>
      </c>
      <c r="E75" s="88" t="s">
        <v>242</v>
      </c>
      <c r="F75" s="88" t="str">
        <f ca="1">IF(D75="",TODAY()-C75,"-")</f>
        <v>-</v>
      </c>
      <c r="G75" s="90">
        <v>45849</v>
      </c>
      <c r="H75" s="91" t="s">
        <v>301</v>
      </c>
      <c r="I75" s="88" t="s">
        <v>27</v>
      </c>
      <c r="J75" s="88" t="s">
        <v>74</v>
      </c>
      <c r="K75" s="91" t="s">
        <v>416</v>
      </c>
      <c r="L75" s="111">
        <v>1</v>
      </c>
      <c r="M75" s="101" t="s">
        <v>250</v>
      </c>
      <c r="N75" s="96" t="s">
        <v>10</v>
      </c>
      <c r="O75" s="93" t="s">
        <v>10</v>
      </c>
      <c r="P75" s="97">
        <f>IF(O75="Invenergy",IF(F75="-",(D75-C75)*24,F75*24),0)</f>
        <v>0</v>
      </c>
      <c r="Q75" s="98">
        <f ca="1">P75/VLOOKUP(A75,'YTD Hours'!$A$2:$D$5,4,0)</f>
        <v>0</v>
      </c>
      <c r="R75" s="96">
        <f>(C75-$R$3)/7</f>
        <v>39.142857142857146</v>
      </c>
    </row>
    <row r="76" spans="1:18" s="99" customFormat="1" ht="14.65" hidden="1" customHeight="1" x14ac:dyDescent="0.25">
      <c r="A76" s="88" t="s">
        <v>78</v>
      </c>
      <c r="B76" s="88" t="s">
        <v>239</v>
      </c>
      <c r="C76" s="90">
        <v>45694</v>
      </c>
      <c r="D76" s="90">
        <v>45856</v>
      </c>
      <c r="E76" s="88" t="s">
        <v>223</v>
      </c>
      <c r="F76" s="88" t="str">
        <f ca="1">IF(D76="",TODAY()-C76,"-")</f>
        <v>-</v>
      </c>
      <c r="G76" s="90">
        <v>45849</v>
      </c>
      <c r="H76" s="91" t="s">
        <v>407</v>
      </c>
      <c r="I76" s="88" t="s">
        <v>16</v>
      </c>
      <c r="J76" s="88" t="s">
        <v>74</v>
      </c>
      <c r="K76" s="91" t="s">
        <v>417</v>
      </c>
      <c r="L76" s="111">
        <v>1</v>
      </c>
      <c r="M76" s="101" t="s">
        <v>250</v>
      </c>
      <c r="N76" s="93" t="s">
        <v>229</v>
      </c>
      <c r="O76" s="93" t="s">
        <v>229</v>
      </c>
      <c r="P76" s="97">
        <f ca="1">IF(O76="Invenergy",IF(F76="-",(D76-C76)*24,F76*24),0)</f>
        <v>3888</v>
      </c>
      <c r="Q76" s="98">
        <f ca="1">P76/VLOOKUP(A76,'YTD Hours'!$A$2:$D$5,4,0)</f>
        <v>2.2375690607734804E-3</v>
      </c>
      <c r="R76" s="96">
        <f>(C76-$R$3)/7</f>
        <v>57.428571428571431</v>
      </c>
    </row>
    <row r="77" spans="1:18" s="99" customFormat="1" ht="86.45" hidden="1" x14ac:dyDescent="0.25">
      <c r="A77" s="88" t="s">
        <v>77</v>
      </c>
      <c r="B77" s="88" t="s">
        <v>300</v>
      </c>
      <c r="C77" s="90">
        <v>45737</v>
      </c>
      <c r="D77" s="90">
        <v>45861</v>
      </c>
      <c r="E77" s="88" t="s">
        <v>223</v>
      </c>
      <c r="F77" s="88" t="str">
        <f ca="1">IF(D77="",TODAY()-C77,"-")</f>
        <v>-</v>
      </c>
      <c r="G77" s="90">
        <v>45859</v>
      </c>
      <c r="H77" s="91" t="s">
        <v>418</v>
      </c>
      <c r="I77" s="88" t="s">
        <v>16</v>
      </c>
      <c r="J77" s="88" t="s">
        <v>74</v>
      </c>
      <c r="K77" s="91" t="s">
        <v>419</v>
      </c>
      <c r="L77" s="110">
        <v>1</v>
      </c>
      <c r="M77" s="101" t="s">
        <v>250</v>
      </c>
      <c r="N77" s="96"/>
      <c r="O77" s="93" t="s">
        <v>229</v>
      </c>
      <c r="P77" s="93">
        <f ca="1">IF(O77="Invenergy",IF(F77="-",(D77-C77)*24,F77*24),0)</f>
        <v>2976</v>
      </c>
      <c r="Q77" s="96">
        <f ca="1">P77/VLOOKUP(A77,'YTD Hours'!$A$2:$D$5,4,0)</f>
        <v>1.4893105933221234E-3</v>
      </c>
      <c r="R77" s="96">
        <f>(C77-$R$3)/7</f>
        <v>63.571428571428569</v>
      </c>
    </row>
    <row r="78" spans="1:18" s="99" customFormat="1" ht="210.6" hidden="1" customHeight="1" x14ac:dyDescent="0.25">
      <c r="A78" s="88" t="s">
        <v>78</v>
      </c>
      <c r="B78" s="88" t="s">
        <v>420</v>
      </c>
      <c r="C78" s="90">
        <v>45754</v>
      </c>
      <c r="D78" s="90">
        <v>45862</v>
      </c>
      <c r="E78" s="88" t="s">
        <v>223</v>
      </c>
      <c r="F78" s="88" t="str">
        <f ca="1">IF(D78="",TODAY()-C78,"-")</f>
        <v>-</v>
      </c>
      <c r="G78" s="90">
        <v>45862</v>
      </c>
      <c r="H78" s="91" t="s">
        <v>421</v>
      </c>
      <c r="I78" s="88" t="s">
        <v>19</v>
      </c>
      <c r="J78" s="88" t="s">
        <v>74</v>
      </c>
      <c r="K78" s="91" t="s">
        <v>422</v>
      </c>
      <c r="L78" s="110">
        <v>1</v>
      </c>
      <c r="M78" s="101" t="s">
        <v>250</v>
      </c>
      <c r="O78" s="93" t="s">
        <v>10</v>
      </c>
      <c r="P78" s="93">
        <f>IF(O78="Invenergy",IF(F78="-",(D78-C78)*24,F78*24),0)</f>
        <v>0</v>
      </c>
      <c r="Q78" s="96">
        <f ca="1">P78/VLOOKUP(A78,'YTD Hours'!$A$2:$D$5,4,0)</f>
        <v>0</v>
      </c>
      <c r="R78" s="96"/>
    </row>
    <row r="79" spans="1:18" s="99" customFormat="1" ht="187.15" hidden="1" x14ac:dyDescent="0.25">
      <c r="A79" s="88" t="s">
        <v>44</v>
      </c>
      <c r="B79" s="88" t="s">
        <v>423</v>
      </c>
      <c r="C79" s="90">
        <v>45791</v>
      </c>
      <c r="D79" s="90">
        <v>45863</v>
      </c>
      <c r="E79" s="88" t="s">
        <v>223</v>
      </c>
      <c r="F79" s="88" t="str">
        <f ca="1">IF(D79="",TODAY()-C79,"-")</f>
        <v>-</v>
      </c>
      <c r="G79" s="90">
        <v>45863</v>
      </c>
      <c r="H79" s="113" t="s">
        <v>424</v>
      </c>
      <c r="I79" s="88" t="s">
        <v>23</v>
      </c>
      <c r="J79" s="88" t="s">
        <v>74</v>
      </c>
      <c r="K79" s="91" t="s">
        <v>425</v>
      </c>
      <c r="L79" s="110">
        <v>1</v>
      </c>
      <c r="M79" s="101" t="s">
        <v>250</v>
      </c>
      <c r="N79" s="130"/>
      <c r="O79" s="93" t="s">
        <v>10</v>
      </c>
      <c r="P79" s="93">
        <f>IF(O79="Invenergy",IF(F79="-",(D79-C79)*24,F79*24),0)</f>
        <v>0</v>
      </c>
      <c r="Q79" s="96"/>
      <c r="R79" s="96">
        <f>(C79-$R$3)/7</f>
        <v>71.285714285714292</v>
      </c>
    </row>
    <row r="80" spans="1:18" s="99" customFormat="1" ht="14.65" hidden="1" customHeight="1" x14ac:dyDescent="0.25">
      <c r="A80" s="88" t="s">
        <v>78</v>
      </c>
      <c r="B80" s="88" t="s">
        <v>426</v>
      </c>
      <c r="C80" s="90">
        <v>45847</v>
      </c>
      <c r="D80" s="90">
        <v>45868</v>
      </c>
      <c r="E80" s="88" t="s">
        <v>223</v>
      </c>
      <c r="F80" s="88" t="str">
        <f ca="1">IF(D80="",TODAY()-C80,"-")</f>
        <v>-</v>
      </c>
      <c r="G80" s="90" t="s">
        <v>427</v>
      </c>
      <c r="H80" s="91" t="s">
        <v>428</v>
      </c>
      <c r="I80" s="88" t="s">
        <v>16</v>
      </c>
      <c r="J80" s="88" t="s">
        <v>75</v>
      </c>
      <c r="K80" s="91" t="s">
        <v>429</v>
      </c>
      <c r="L80" s="110">
        <v>1</v>
      </c>
      <c r="M80" s="101" t="s">
        <v>250</v>
      </c>
      <c r="N80" s="130"/>
      <c r="O80" s="93" t="s">
        <v>229</v>
      </c>
      <c r="P80" s="93">
        <f ca="1">IF(O80="Invenergy",IF(F80="-",(D80-C80)*24,F80*24),0)</f>
        <v>504</v>
      </c>
      <c r="Q80" s="96"/>
      <c r="R80" s="96">
        <f>(C80-$R$3)/7</f>
        <v>79.285714285714292</v>
      </c>
    </row>
    <row r="81" spans="1:18" s="99" customFormat="1" ht="44.65" hidden="1" customHeight="1" x14ac:dyDescent="0.25">
      <c r="A81" s="88" t="s">
        <v>78</v>
      </c>
      <c r="B81" s="88" t="s">
        <v>430</v>
      </c>
      <c r="C81" s="90">
        <v>45839</v>
      </c>
      <c r="D81" s="90">
        <v>45872</v>
      </c>
      <c r="E81" s="88" t="s">
        <v>223</v>
      </c>
      <c r="F81" s="88" t="str">
        <f ca="1">IF(D81="",TODAY()-C81,"-")</f>
        <v>-</v>
      </c>
      <c r="G81" s="88" t="s">
        <v>65</v>
      </c>
      <c r="H81" s="91" t="s">
        <v>315</v>
      </c>
      <c r="I81" s="88" t="s">
        <v>27</v>
      </c>
      <c r="J81" s="88" t="s">
        <v>74</v>
      </c>
      <c r="K81" s="91" t="s">
        <v>431</v>
      </c>
      <c r="L81" s="110">
        <v>1</v>
      </c>
      <c r="M81" s="101" t="s">
        <v>250</v>
      </c>
      <c r="O81" s="93" t="s">
        <v>229</v>
      </c>
      <c r="P81" s="93">
        <f ca="1">IF(O81="Invenergy",IF(F81="-",(D81-C81)*24,F81*24),0)</f>
        <v>792</v>
      </c>
      <c r="Q81" s="96">
        <v>0</v>
      </c>
      <c r="R81" s="96">
        <f>(C81-$R$3)/7</f>
        <v>78.142857142857139</v>
      </c>
    </row>
    <row r="82" spans="1:18" s="99" customFormat="1" ht="354.6" hidden="1" customHeight="1" x14ac:dyDescent="0.25">
      <c r="A82" s="88" t="s">
        <v>78</v>
      </c>
      <c r="B82" s="88" t="s">
        <v>432</v>
      </c>
      <c r="C82" s="90">
        <v>45726</v>
      </c>
      <c r="D82" s="90">
        <v>45876</v>
      </c>
      <c r="E82" s="88" t="s">
        <v>223</v>
      </c>
      <c r="F82" s="88" t="str">
        <f ca="1">IF(D82="",TODAY()-C82,"-")</f>
        <v>-</v>
      </c>
      <c r="G82" s="88" t="s">
        <v>342</v>
      </c>
      <c r="H82" s="91" t="s">
        <v>433</v>
      </c>
      <c r="I82" s="88" t="s">
        <v>434</v>
      </c>
      <c r="J82" s="88" t="s">
        <v>74</v>
      </c>
      <c r="K82" s="91" t="s">
        <v>435</v>
      </c>
      <c r="L82" s="110">
        <v>1</v>
      </c>
      <c r="M82" s="101" t="s">
        <v>250</v>
      </c>
      <c r="N82" s="93" t="s">
        <v>229</v>
      </c>
      <c r="O82" s="93" t="s">
        <v>229</v>
      </c>
      <c r="P82" s="97">
        <f ca="1">IF(O82="Invenergy",IF(F82="-",(D82-C82)*24,F82*24),0)</f>
        <v>3600</v>
      </c>
      <c r="Q82" s="98">
        <f ca="1">P82/VLOOKUP(A82,'YTD Hours'!$A$2:$D$5,4,0)</f>
        <v>2.0718232044198894E-3</v>
      </c>
      <c r="R82" s="96">
        <f>(C82-$R$3)/7</f>
        <v>62</v>
      </c>
    </row>
    <row r="83" spans="1:18" s="99" customFormat="1" ht="305.64999999999998" hidden="1" customHeight="1" x14ac:dyDescent="0.25">
      <c r="A83" s="88" t="s">
        <v>78</v>
      </c>
      <c r="B83" s="88" t="s">
        <v>294</v>
      </c>
      <c r="C83" s="90">
        <v>45838</v>
      </c>
      <c r="D83" s="90">
        <v>45882</v>
      </c>
      <c r="E83" s="88" t="s">
        <v>223</v>
      </c>
      <c r="F83" s="88" t="str">
        <f ca="1">IF(D83="",TODAY()-C83,"-")</f>
        <v>-</v>
      </c>
      <c r="G83" s="88" t="s">
        <v>65</v>
      </c>
      <c r="H83" s="91" t="s">
        <v>436</v>
      </c>
      <c r="I83" s="88" t="s">
        <v>27</v>
      </c>
      <c r="J83" s="88" t="s">
        <v>74</v>
      </c>
      <c r="K83" s="91" t="s">
        <v>437</v>
      </c>
      <c r="L83" s="110">
        <v>1</v>
      </c>
      <c r="M83" s="101" t="s">
        <v>250</v>
      </c>
      <c r="N83" s="96"/>
      <c r="O83" s="93" t="s">
        <v>229</v>
      </c>
      <c r="P83" s="93">
        <f ca="1">IF(O83="Invenergy",IF(F83="-",(D83-C83)*24,F83*24),0)</f>
        <v>1056</v>
      </c>
      <c r="Q83" s="96">
        <v>0</v>
      </c>
      <c r="R83" s="96">
        <f>(C83-$R$3)/7</f>
        <v>78</v>
      </c>
    </row>
    <row r="84" spans="1:18" s="99" customFormat="1" ht="57.6" hidden="1" x14ac:dyDescent="0.25">
      <c r="A84" s="88" t="s">
        <v>78</v>
      </c>
      <c r="B84" s="88" t="s">
        <v>438</v>
      </c>
      <c r="C84" s="90">
        <v>45858</v>
      </c>
      <c r="D84" s="90">
        <v>45884</v>
      </c>
      <c r="E84" s="88" t="s">
        <v>223</v>
      </c>
      <c r="F84" s="88" t="str">
        <f ca="1">IF(D84="",TODAY()-C84,"-")</f>
        <v>-</v>
      </c>
      <c r="G84" s="90" t="s">
        <v>342</v>
      </c>
      <c r="H84" s="91" t="s">
        <v>439</v>
      </c>
      <c r="I84" s="88" t="s">
        <v>25</v>
      </c>
      <c r="J84" s="88" t="s">
        <v>74</v>
      </c>
      <c r="K84" s="91" t="s">
        <v>440</v>
      </c>
      <c r="L84" s="110">
        <v>1</v>
      </c>
      <c r="M84" s="101" t="s">
        <v>250</v>
      </c>
      <c r="O84" s="93" t="s">
        <v>229</v>
      </c>
      <c r="P84" s="93">
        <f ca="1">IF(O84="Invenergy",IF(F84="-",(D84-C84)*24,F84*24),0)</f>
        <v>624</v>
      </c>
      <c r="Q84" s="96"/>
      <c r="R84" s="96">
        <f>(C84-$R$3)/7</f>
        <v>80.857142857142861</v>
      </c>
    </row>
    <row r="85" spans="1:18" s="99" customFormat="1" ht="57.6" hidden="1" x14ac:dyDescent="0.25">
      <c r="A85" s="88" t="s">
        <v>78</v>
      </c>
      <c r="B85" s="88" t="s">
        <v>441</v>
      </c>
      <c r="C85" s="90">
        <v>45866</v>
      </c>
      <c r="D85" s="90">
        <v>45890</v>
      </c>
      <c r="E85" s="88" t="s">
        <v>223</v>
      </c>
      <c r="F85" s="88" t="str">
        <f ca="1">IF(D85="",TODAY()-C85,"-")</f>
        <v>-</v>
      </c>
      <c r="G85" s="90">
        <v>45891</v>
      </c>
      <c r="H85" s="91" t="s">
        <v>442</v>
      </c>
      <c r="I85" s="88" t="s">
        <v>27</v>
      </c>
      <c r="J85" s="88" t="s">
        <v>74</v>
      </c>
      <c r="K85" s="91" t="s">
        <v>443</v>
      </c>
      <c r="L85" s="110">
        <v>0.95</v>
      </c>
      <c r="M85" s="101" t="s">
        <v>250</v>
      </c>
      <c r="O85" s="93" t="s">
        <v>229</v>
      </c>
      <c r="P85" s="93">
        <f ca="1">IF(O85="Invenergy",IF(F85="-",(D85-C85)*24,F85*24),0)</f>
        <v>576</v>
      </c>
      <c r="Q85" s="96"/>
      <c r="R85" s="96">
        <f>(C85-$R$3)/7</f>
        <v>82</v>
      </c>
    </row>
    <row r="86" spans="1:18" s="99" customFormat="1" ht="288" hidden="1" x14ac:dyDescent="0.25">
      <c r="A86" s="88" t="s">
        <v>78</v>
      </c>
      <c r="B86" s="88" t="s">
        <v>444</v>
      </c>
      <c r="C86" s="90">
        <v>45818</v>
      </c>
      <c r="D86" s="90">
        <v>45894</v>
      </c>
      <c r="E86" s="88" t="s">
        <v>223</v>
      </c>
      <c r="F86" s="88" t="str">
        <f ca="1">IF(D86="",TODAY()-C86,"-")</f>
        <v>-</v>
      </c>
      <c r="G86" s="90"/>
      <c r="H86" s="113" t="s">
        <v>445</v>
      </c>
      <c r="I86" s="88" t="s">
        <v>23</v>
      </c>
      <c r="J86" s="88" t="s">
        <v>74</v>
      </c>
      <c r="K86" s="91" t="s">
        <v>446</v>
      </c>
      <c r="L86" s="110">
        <v>0.95</v>
      </c>
      <c r="M86" s="101" t="s">
        <v>250</v>
      </c>
      <c r="N86" s="102"/>
      <c r="O86" s="93"/>
      <c r="P86" s="93">
        <f>IF(O86="Invenergy",IF(F86="-",(D86-C86)*24,F86*24),0)</f>
        <v>0</v>
      </c>
      <c r="Q86" s="96">
        <v>0</v>
      </c>
      <c r="R86" s="96">
        <f>(C86-$R$3)/7</f>
        <v>75.142857142857139</v>
      </c>
    </row>
    <row r="87" spans="1:18" s="99" customFormat="1" ht="158.44999999999999" hidden="1" x14ac:dyDescent="0.25">
      <c r="A87" s="88" t="s">
        <v>78</v>
      </c>
      <c r="B87" s="88" t="s">
        <v>341</v>
      </c>
      <c r="C87" s="90">
        <v>45822</v>
      </c>
      <c r="D87" s="90">
        <v>45894</v>
      </c>
      <c r="E87" s="88" t="s">
        <v>223</v>
      </c>
      <c r="F87" s="88" t="str">
        <f ca="1">IF(D87="",TODAY()-C87,"-")</f>
        <v>-</v>
      </c>
      <c r="G87" s="90">
        <v>45894</v>
      </c>
      <c r="H87" s="91" t="s">
        <v>315</v>
      </c>
      <c r="I87" s="88" t="s">
        <v>27</v>
      </c>
      <c r="J87" s="88" t="s">
        <v>74</v>
      </c>
      <c r="K87" s="91" t="s">
        <v>447</v>
      </c>
      <c r="L87" s="110">
        <v>1</v>
      </c>
      <c r="M87" s="101" t="s">
        <v>250</v>
      </c>
      <c r="O87" s="93" t="s">
        <v>229</v>
      </c>
      <c r="P87" s="93">
        <f ca="1">IF(O87="Invenergy",IF(F87="-",(D87-C87)*24,F87*24),0)</f>
        <v>1728</v>
      </c>
      <c r="Q87" s="96">
        <v>0</v>
      </c>
      <c r="R87" s="96">
        <f>(C87-$R$3)/7</f>
        <v>75.714285714285708</v>
      </c>
    </row>
    <row r="88" spans="1:18" s="99" customFormat="1" ht="158.44999999999999" hidden="1" x14ac:dyDescent="0.25">
      <c r="A88" s="88" t="s">
        <v>78</v>
      </c>
      <c r="B88" s="88" t="s">
        <v>399</v>
      </c>
      <c r="C88" s="90">
        <v>45854</v>
      </c>
      <c r="D88" s="90">
        <v>45897</v>
      </c>
      <c r="E88" s="88" t="s">
        <v>223</v>
      </c>
      <c r="F88" s="88" t="str">
        <f ca="1">IF(D88="",TODAY()-C88,"-")</f>
        <v>-</v>
      </c>
      <c r="G88" s="90"/>
      <c r="H88" s="91" t="s">
        <v>448</v>
      </c>
      <c r="I88" s="88" t="s">
        <v>434</v>
      </c>
      <c r="J88" s="88" t="s">
        <v>75</v>
      </c>
      <c r="K88" s="91" t="s">
        <v>449</v>
      </c>
      <c r="L88" s="110">
        <v>1</v>
      </c>
      <c r="M88" s="101" t="s">
        <v>250</v>
      </c>
      <c r="O88" s="93" t="s">
        <v>229</v>
      </c>
      <c r="P88" s="93">
        <f ca="1">IF(O88="Invenergy",IF(F88="-",(D88-C88)*24,F88*24),0)</f>
        <v>1032</v>
      </c>
      <c r="Q88" s="96"/>
      <c r="R88" s="96">
        <f>(C88-$R$3)/7</f>
        <v>80.285714285714292</v>
      </c>
    </row>
    <row r="89" spans="1:18" s="99" customFormat="1" ht="14.45" hidden="1" x14ac:dyDescent="0.25">
      <c r="A89" s="88" t="s">
        <v>78</v>
      </c>
      <c r="B89" s="88" t="s">
        <v>450</v>
      </c>
      <c r="C89" s="90">
        <v>45885</v>
      </c>
      <c r="D89" s="90">
        <v>45897</v>
      </c>
      <c r="E89" s="88" t="s">
        <v>223</v>
      </c>
      <c r="F89" s="88" t="str">
        <f ca="1">IF(D89="",TODAY()-C89,"-")</f>
        <v>-</v>
      </c>
      <c r="G89" s="90"/>
      <c r="H89" s="91" t="s">
        <v>451</v>
      </c>
      <c r="I89" s="88" t="s">
        <v>255</v>
      </c>
      <c r="J89" s="88" t="s">
        <v>75</v>
      </c>
      <c r="K89" s="93" t="s">
        <v>452</v>
      </c>
      <c r="L89" s="110"/>
      <c r="M89" s="101" t="s">
        <v>453</v>
      </c>
      <c r="O89" s="93" t="s">
        <v>229</v>
      </c>
      <c r="P89" s="93">
        <f ca="1">IF(O89="Invenergy",IF(F89="-",(D89-C89)*24,F89*24),0)</f>
        <v>288</v>
      </c>
      <c r="Q89" s="96"/>
      <c r="R89" s="96">
        <f>(C89-$R$3)/7</f>
        <v>84.714285714285708</v>
      </c>
    </row>
    <row r="90" spans="1:18" s="99" customFormat="1" ht="14.45" hidden="1" x14ac:dyDescent="0.25">
      <c r="A90" s="88" t="s">
        <v>78</v>
      </c>
      <c r="B90" s="88" t="s">
        <v>454</v>
      </c>
      <c r="C90" s="90">
        <v>45895</v>
      </c>
      <c r="D90" s="90">
        <v>45900</v>
      </c>
      <c r="E90" s="88" t="s">
        <v>223</v>
      </c>
      <c r="F90" s="88" t="str">
        <f ca="1">IF(D90="",TODAY()-C90,"-")</f>
        <v>-</v>
      </c>
      <c r="G90" s="90"/>
      <c r="H90" s="91" t="s">
        <v>451</v>
      </c>
      <c r="I90" s="88" t="s">
        <v>255</v>
      </c>
      <c r="J90" s="88" t="s">
        <v>75</v>
      </c>
      <c r="K90" s="93" t="s">
        <v>455</v>
      </c>
      <c r="L90" s="110"/>
      <c r="M90" s="101" t="s">
        <v>453</v>
      </c>
      <c r="O90" s="93" t="s">
        <v>229</v>
      </c>
      <c r="P90" s="93">
        <f ca="1">IF(O90="Invenergy",IF(F90="-",(D90-C90)*24,F90*24),0)</f>
        <v>120</v>
      </c>
      <c r="Q90" s="96"/>
      <c r="R90" s="96">
        <f>(C90-$R$3)/7</f>
        <v>86.142857142857139</v>
      </c>
    </row>
    <row r="91" spans="1:18" s="99" customFormat="1" ht="177" hidden="1" customHeight="1" x14ac:dyDescent="0.25">
      <c r="A91" s="88" t="s">
        <v>78</v>
      </c>
      <c r="B91" s="88" t="s">
        <v>234</v>
      </c>
      <c r="C91" s="90">
        <v>45888</v>
      </c>
      <c r="D91" s="90">
        <v>45909</v>
      </c>
      <c r="E91" s="88" t="s">
        <v>223</v>
      </c>
      <c r="F91" s="88" t="str">
        <f ca="1">IF(D91="",TODAY()-C91,"-")</f>
        <v>-</v>
      </c>
      <c r="G91" s="90">
        <v>45910</v>
      </c>
      <c r="H91" s="91" t="s">
        <v>456</v>
      </c>
      <c r="I91" s="88" t="s">
        <v>16</v>
      </c>
      <c r="J91" s="88" t="s">
        <v>75</v>
      </c>
      <c r="K91" s="91" t="s">
        <v>457</v>
      </c>
      <c r="L91" s="110">
        <v>1</v>
      </c>
      <c r="M91" s="101" t="s">
        <v>453</v>
      </c>
      <c r="O91" s="93" t="s">
        <v>229</v>
      </c>
      <c r="P91" s="93">
        <f ca="1">IF(O91="Invenergy",IF(F91="-",(D91-C91)*24,F91*24),0)</f>
        <v>504</v>
      </c>
      <c r="Q91" s="96"/>
      <c r="R91" s="96">
        <f>(C91-$R$3)/7</f>
        <v>85.142857142857139</v>
      </c>
    </row>
    <row r="92" spans="1:18" s="99" customFormat="1" ht="86.65" hidden="1" customHeight="1" x14ac:dyDescent="0.25">
      <c r="A92" s="88" t="s">
        <v>78</v>
      </c>
      <c r="B92" s="88" t="s">
        <v>393</v>
      </c>
      <c r="C92" s="90">
        <v>45908</v>
      </c>
      <c r="D92" s="90">
        <v>45915</v>
      </c>
      <c r="E92" s="88" t="s">
        <v>223</v>
      </c>
      <c r="F92" s="88" t="str">
        <f ca="1">IF(D92="",TODAY()-C92,"-")</f>
        <v>-</v>
      </c>
      <c r="G92" s="90"/>
      <c r="H92" s="91" t="s">
        <v>458</v>
      </c>
      <c r="I92" s="88" t="s">
        <v>25</v>
      </c>
      <c r="J92" s="88" t="s">
        <v>75</v>
      </c>
      <c r="K92" s="93" t="s">
        <v>459</v>
      </c>
      <c r="L92" s="110"/>
      <c r="M92" s="101" t="s">
        <v>453</v>
      </c>
      <c r="O92" s="93" t="s">
        <v>229</v>
      </c>
      <c r="P92" s="93">
        <f ca="1">IF(O92="Invenergy",IF(F92="-",(D92-C92)*24,F92*24),0)</f>
        <v>168</v>
      </c>
      <c r="Q92" s="96"/>
      <c r="R92" s="96">
        <f>(C92-$R$3)/7</f>
        <v>88</v>
      </c>
    </row>
    <row r="93" spans="1:18" s="99" customFormat="1" ht="98.65" hidden="1" customHeight="1" x14ac:dyDescent="0.25">
      <c r="A93" s="116" t="s">
        <v>78</v>
      </c>
      <c r="B93" s="116" t="s">
        <v>460</v>
      </c>
      <c r="C93" s="120">
        <v>45898</v>
      </c>
      <c r="D93" s="120">
        <v>45918</v>
      </c>
      <c r="E93" s="116" t="s">
        <v>223</v>
      </c>
      <c r="F93" s="116" t="str">
        <f ca="1">IF(D93="",TODAY()-C93,"-")</f>
        <v>-</v>
      </c>
      <c r="G93" s="90">
        <v>45918</v>
      </c>
      <c r="H93" s="121" t="s">
        <v>456</v>
      </c>
      <c r="I93" s="116" t="s">
        <v>16</v>
      </c>
      <c r="J93" s="116" t="s">
        <v>75</v>
      </c>
      <c r="K93" s="121" t="s">
        <v>461</v>
      </c>
      <c r="L93" s="126"/>
      <c r="M93" s="123" t="s">
        <v>453</v>
      </c>
      <c r="O93" s="118" t="s">
        <v>229</v>
      </c>
      <c r="P93" s="118">
        <f ca="1">IF(O93="Invenergy",IF(F93="-",(D93-C93)*24,F93*24),0)</f>
        <v>480</v>
      </c>
      <c r="Q93" s="119"/>
      <c r="R93" s="119">
        <f>(C93-$R$3)/7</f>
        <v>86.571428571428569</v>
      </c>
    </row>
    <row r="94" spans="1:18" s="99" customFormat="1" ht="14.65" hidden="1" customHeight="1" x14ac:dyDescent="0.25">
      <c r="A94" s="116" t="s">
        <v>77</v>
      </c>
      <c r="B94" s="116" t="s">
        <v>462</v>
      </c>
      <c r="C94" s="120">
        <v>45873</v>
      </c>
      <c r="D94" s="120">
        <v>45922</v>
      </c>
      <c r="E94" s="116" t="s">
        <v>223</v>
      </c>
      <c r="F94" s="116" t="str">
        <f ca="1">IF(D94="",TODAY()-C94,"-")</f>
        <v>-</v>
      </c>
      <c r="G94" s="90">
        <v>45919</v>
      </c>
      <c r="H94" s="121" t="s">
        <v>463</v>
      </c>
      <c r="I94" s="116" t="s">
        <v>27</v>
      </c>
      <c r="J94" s="116" t="s">
        <v>74</v>
      </c>
      <c r="K94" s="121" t="s">
        <v>464</v>
      </c>
      <c r="L94" s="126">
        <v>1</v>
      </c>
      <c r="M94" s="123" t="s">
        <v>250</v>
      </c>
      <c r="N94" s="119"/>
      <c r="O94" s="118" t="s">
        <v>229</v>
      </c>
      <c r="P94" s="118">
        <f ca="1">IF(O94="Invenergy",IF(F94="-",(D94-C94)*24,F94*24),0)</f>
        <v>1176</v>
      </c>
      <c r="Q94" s="119"/>
      <c r="R94" s="119">
        <f>(C94-$R$3)/7</f>
        <v>83</v>
      </c>
    </row>
    <row r="95" spans="1:18" s="99" customFormat="1" ht="297" hidden="1" customHeight="1" x14ac:dyDescent="0.25">
      <c r="A95" s="88" t="s">
        <v>77</v>
      </c>
      <c r="B95" s="88" t="s">
        <v>465</v>
      </c>
      <c r="C95" s="90">
        <v>45898</v>
      </c>
      <c r="D95" s="90">
        <v>45924</v>
      </c>
      <c r="E95" s="88" t="s">
        <v>223</v>
      </c>
      <c r="F95" s="88" t="str">
        <f ca="1">IF(D95="",TODAY()-C95,"-")</f>
        <v>-</v>
      </c>
      <c r="G95" s="90"/>
      <c r="H95" s="91" t="s">
        <v>456</v>
      </c>
      <c r="I95" s="88" t="s">
        <v>16</v>
      </c>
      <c r="J95" s="88" t="s">
        <v>75</v>
      </c>
      <c r="K95" s="91" t="s">
        <v>466</v>
      </c>
      <c r="L95" s="110"/>
      <c r="M95" s="101" t="s">
        <v>453</v>
      </c>
      <c r="N95" s="96"/>
      <c r="O95" s="93" t="s">
        <v>229</v>
      </c>
      <c r="P95" s="93">
        <f ca="1">IF(O95="Invenergy",IF(F95="-",(D95-C95)*24,F95*24),0)</f>
        <v>624</v>
      </c>
      <c r="Q95" s="96"/>
      <c r="R95" s="96">
        <f>(C95-$R$3)/7</f>
        <v>86.571428571428569</v>
      </c>
    </row>
    <row r="96" spans="1:18" s="99" customFormat="1" ht="176.65" hidden="1" customHeight="1" x14ac:dyDescent="0.25">
      <c r="A96" s="88" t="s">
        <v>77</v>
      </c>
      <c r="B96" s="88" t="s">
        <v>314</v>
      </c>
      <c r="C96" s="90">
        <v>45930</v>
      </c>
      <c r="D96" s="90">
        <v>45937</v>
      </c>
      <c r="E96" s="88" t="s">
        <v>223</v>
      </c>
      <c r="F96" s="88" t="str">
        <f ca="1">IF(D96="",TODAY()-C96,"-")</f>
        <v>-</v>
      </c>
      <c r="G96" s="90"/>
      <c r="H96" s="91" t="s">
        <v>467</v>
      </c>
      <c r="I96" s="88" t="s">
        <v>468</v>
      </c>
      <c r="J96" s="88" t="s">
        <v>225</v>
      </c>
      <c r="K96" s="91" t="s">
        <v>469</v>
      </c>
      <c r="L96" s="110"/>
      <c r="M96" s="101" t="s">
        <v>453</v>
      </c>
      <c r="N96" s="96"/>
      <c r="O96" s="93" t="s">
        <v>229</v>
      </c>
      <c r="P96" s="93">
        <f ca="1">IF(O96="Invenergy",IF(F96="-",(D96-C96)*24,F96*24),0)</f>
        <v>168</v>
      </c>
      <c r="Q96" s="96"/>
      <c r="R96" s="96">
        <f>(C96-$R$3)/7</f>
        <v>91.142857142857139</v>
      </c>
    </row>
    <row r="97" spans="1:18" s="99" customFormat="1" ht="60.6" hidden="1" customHeight="1" x14ac:dyDescent="0.25">
      <c r="A97" s="88" t="s">
        <v>77</v>
      </c>
      <c r="B97" s="88" t="s">
        <v>369</v>
      </c>
      <c r="C97" s="90">
        <v>45937</v>
      </c>
      <c r="D97" s="90">
        <v>45946</v>
      </c>
      <c r="E97" s="88" t="s">
        <v>223</v>
      </c>
      <c r="F97" s="88" t="str">
        <f ca="1">IF(D97="",TODAY()-C97,"-")</f>
        <v>-</v>
      </c>
      <c r="G97" s="90"/>
      <c r="H97" s="91" t="s">
        <v>470</v>
      </c>
      <c r="I97" s="88" t="s">
        <v>16</v>
      </c>
      <c r="J97" s="88" t="s">
        <v>75</v>
      </c>
      <c r="K97" s="91" t="s">
        <v>471</v>
      </c>
      <c r="L97" s="110"/>
      <c r="M97" s="101" t="s">
        <v>453</v>
      </c>
      <c r="N97" s="96"/>
      <c r="O97" s="93" t="s">
        <v>229</v>
      </c>
      <c r="P97" s="93">
        <f ca="1">IF(O97="Invenergy",IF(F97="-",(D97-C97)*24,F97*24),0)</f>
        <v>216</v>
      </c>
      <c r="Q97" s="96"/>
      <c r="R97" s="96">
        <f>(C97-$R$3)/7</f>
        <v>92.142857142857139</v>
      </c>
    </row>
    <row r="98" spans="1:18" s="99" customFormat="1" ht="57.6" hidden="1" customHeight="1" x14ac:dyDescent="0.25">
      <c r="A98" s="88" t="s">
        <v>78</v>
      </c>
      <c r="B98" s="88" t="s">
        <v>472</v>
      </c>
      <c r="C98" s="90">
        <v>45944</v>
      </c>
      <c r="D98" s="90">
        <v>45947</v>
      </c>
      <c r="E98" s="88" t="s">
        <v>242</v>
      </c>
      <c r="F98" s="88" t="str">
        <f ca="1">IF(D98="",TODAY()-C98,"-")</f>
        <v>-</v>
      </c>
      <c r="G98" s="90"/>
      <c r="H98" s="91" t="s">
        <v>473</v>
      </c>
      <c r="I98" s="88" t="s">
        <v>27</v>
      </c>
      <c r="J98" s="88" t="s">
        <v>75</v>
      </c>
      <c r="K98" s="91" t="s">
        <v>474</v>
      </c>
      <c r="L98" s="110"/>
      <c r="M98" s="101" t="s">
        <v>453</v>
      </c>
      <c r="N98" s="96"/>
      <c r="O98" s="93" t="s">
        <v>229</v>
      </c>
      <c r="P98" s="93">
        <f ca="1">IF(O98="Invenergy",IF(F98="-",(D98-C98)*24,F98*24),0)</f>
        <v>72</v>
      </c>
      <c r="Q98" s="96"/>
      <c r="R98" s="96">
        <f>(C98-$R$3)/7</f>
        <v>93.142857142857139</v>
      </c>
    </row>
    <row r="99" spans="1:18" s="99" customFormat="1" ht="106.9" hidden="1" customHeight="1" x14ac:dyDescent="0.25">
      <c r="A99" s="88" t="s">
        <v>77</v>
      </c>
      <c r="B99" s="88" t="s">
        <v>475</v>
      </c>
      <c r="C99" s="90">
        <v>45910</v>
      </c>
      <c r="D99" s="90">
        <v>45950</v>
      </c>
      <c r="E99" s="88" t="s">
        <v>223</v>
      </c>
      <c r="F99" s="88" t="str">
        <f ca="1">IF(D99="",TODAY()-C99,"-")</f>
        <v>-</v>
      </c>
      <c r="G99" s="90"/>
      <c r="H99" s="91" t="s">
        <v>476</v>
      </c>
      <c r="I99" s="88" t="s">
        <v>23</v>
      </c>
      <c r="J99" s="88" t="s">
        <v>74</v>
      </c>
      <c r="K99" s="91" t="s">
        <v>477</v>
      </c>
      <c r="L99" s="110">
        <v>0.7</v>
      </c>
      <c r="M99" s="101" t="s">
        <v>250</v>
      </c>
      <c r="N99" s="96"/>
      <c r="O99" s="93" t="s">
        <v>229</v>
      </c>
      <c r="P99" s="93">
        <f ca="1">IF(O99="Invenergy",IF(F99="-",(D99-C99)*24,F99*24),0)</f>
        <v>960</v>
      </c>
      <c r="Q99" s="96"/>
      <c r="R99" s="96">
        <f>(C99-$R$3)/7</f>
        <v>88.285714285714292</v>
      </c>
    </row>
    <row r="100" spans="1:18" s="99" customFormat="1" ht="136.9" hidden="1" customHeight="1" x14ac:dyDescent="0.25">
      <c r="A100" s="88" t="s">
        <v>78</v>
      </c>
      <c r="B100" s="88" t="s">
        <v>478</v>
      </c>
      <c r="C100" s="90">
        <v>45949</v>
      </c>
      <c r="D100" s="90">
        <v>45953</v>
      </c>
      <c r="E100" s="88" t="s">
        <v>223</v>
      </c>
      <c r="F100" s="88" t="str">
        <f ca="1">IF(D100="",TODAY()-C100,"-")</f>
        <v>-</v>
      </c>
      <c r="G100" s="90"/>
      <c r="H100" s="91" t="s">
        <v>479</v>
      </c>
      <c r="I100" s="88" t="s">
        <v>225</v>
      </c>
      <c r="J100" s="88" t="s">
        <v>225</v>
      </c>
      <c r="K100" s="93" t="s">
        <v>480</v>
      </c>
      <c r="L100" s="110"/>
      <c r="M100" s="101" t="s">
        <v>453</v>
      </c>
      <c r="N100" s="96"/>
      <c r="O100" s="93" t="s">
        <v>229</v>
      </c>
      <c r="P100" s="93">
        <f ca="1">IF(O100="Invenergy",IF(F100="-",(D100-C100)*24,F100*24),0)</f>
        <v>96</v>
      </c>
      <c r="Q100" s="96"/>
      <c r="R100" s="96">
        <f>(C100-$R$3)/7</f>
        <v>93.857142857142861</v>
      </c>
    </row>
    <row r="101" spans="1:18" s="99" customFormat="1" ht="14.65" hidden="1" customHeight="1" x14ac:dyDescent="0.25">
      <c r="A101" s="88" t="s">
        <v>77</v>
      </c>
      <c r="B101" s="88" t="s">
        <v>320</v>
      </c>
      <c r="C101" s="90">
        <v>45903</v>
      </c>
      <c r="D101" s="90">
        <v>45959</v>
      </c>
      <c r="E101" s="88" t="s">
        <v>223</v>
      </c>
      <c r="F101" s="88" t="str">
        <f ca="1">IF(D101="",TODAY()-C101,"-")</f>
        <v>-</v>
      </c>
      <c r="G101" s="90">
        <v>45959</v>
      </c>
      <c r="H101" s="91" t="s">
        <v>481</v>
      </c>
      <c r="I101" s="88" t="s">
        <v>19</v>
      </c>
      <c r="J101" s="88" t="s">
        <v>74</v>
      </c>
      <c r="K101" s="91" t="s">
        <v>482</v>
      </c>
      <c r="L101" s="110">
        <v>1</v>
      </c>
      <c r="M101" s="101" t="s">
        <v>250</v>
      </c>
      <c r="N101" s="96"/>
      <c r="O101" s="93" t="s">
        <v>229</v>
      </c>
      <c r="P101" s="93">
        <f ca="1">IF(O101="Invenergy",IF(F101="-",(D101-C101)*24,F101*24),0)</f>
        <v>1344</v>
      </c>
      <c r="Q101" s="96"/>
      <c r="R101" s="96">
        <f>(C101-$R$3)/7</f>
        <v>87.285714285714292</v>
      </c>
    </row>
    <row r="102" spans="1:18" s="99" customFormat="1" ht="61.15" hidden="1" customHeight="1" x14ac:dyDescent="0.25">
      <c r="A102" s="116" t="s">
        <v>77</v>
      </c>
      <c r="B102" s="116" t="s">
        <v>483</v>
      </c>
      <c r="C102" s="120">
        <v>45924</v>
      </c>
      <c r="D102" s="120">
        <v>45961</v>
      </c>
      <c r="E102" s="116" t="s">
        <v>223</v>
      </c>
      <c r="F102" s="116" t="str">
        <f ca="1">IF(D102="",TODAY()-C102,"-")</f>
        <v>-</v>
      </c>
      <c r="G102" s="120">
        <v>45961</v>
      </c>
      <c r="H102" s="121" t="s">
        <v>381</v>
      </c>
      <c r="I102" s="116" t="s">
        <v>16</v>
      </c>
      <c r="J102" s="116" t="s">
        <v>75</v>
      </c>
      <c r="K102" s="121" t="s">
        <v>484</v>
      </c>
      <c r="L102" s="126"/>
      <c r="M102" s="123" t="s">
        <v>453</v>
      </c>
      <c r="N102" s="119"/>
      <c r="O102" s="118" t="s">
        <v>229</v>
      </c>
      <c r="P102" s="118">
        <f ca="1">IF(O102="Invenergy",IF(F102="-",(D102-C102)*24,F102*24),0)</f>
        <v>888</v>
      </c>
      <c r="Q102" s="119"/>
      <c r="R102" s="119">
        <f>(C102-$R$3)/7</f>
        <v>90.285714285714292</v>
      </c>
    </row>
    <row r="103" spans="1:18" s="99" customFormat="1" ht="14.65" hidden="1" customHeight="1" x14ac:dyDescent="0.25">
      <c r="A103" s="88" t="s">
        <v>78</v>
      </c>
      <c r="B103" s="88" t="s">
        <v>485</v>
      </c>
      <c r="C103" s="90">
        <v>45953</v>
      </c>
      <c r="D103" s="90">
        <v>45974</v>
      </c>
      <c r="E103" s="88" t="s">
        <v>223</v>
      </c>
      <c r="F103" s="88" t="str">
        <f ca="1">IF(D103="",TODAY()-C103,"-")</f>
        <v>-</v>
      </c>
      <c r="G103" s="90"/>
      <c r="H103" s="91" t="s">
        <v>486</v>
      </c>
      <c r="I103" s="88" t="s">
        <v>21</v>
      </c>
      <c r="J103" s="88" t="s">
        <v>75</v>
      </c>
      <c r="K103" s="93" t="s">
        <v>487</v>
      </c>
      <c r="L103" s="110"/>
      <c r="M103" s="101" t="s">
        <v>250</v>
      </c>
      <c r="N103" s="96"/>
      <c r="O103" s="93" t="s">
        <v>10</v>
      </c>
      <c r="P103" s="93">
        <f>IF(O103="Invenergy",IF(F103="-",(D103-C103)*24,F103*24),0)</f>
        <v>0</v>
      </c>
      <c r="Q103" s="96"/>
      <c r="R103" s="96">
        <f>(C103-$R$3)/7</f>
        <v>94.428571428571431</v>
      </c>
    </row>
    <row r="104" spans="1:18" s="99" customFormat="1" ht="192" hidden="1" customHeight="1" x14ac:dyDescent="0.25">
      <c r="A104" s="88" t="s">
        <v>78</v>
      </c>
      <c r="B104" s="88" t="s">
        <v>488</v>
      </c>
      <c r="C104" s="90">
        <v>45957</v>
      </c>
      <c r="D104" s="131">
        <v>45974</v>
      </c>
      <c r="E104" s="88" t="s">
        <v>223</v>
      </c>
      <c r="F104" s="88" t="str">
        <f ca="1">IF(D104="",TODAY()-C104,"-")</f>
        <v>-</v>
      </c>
      <c r="G104" s="90">
        <v>45968</v>
      </c>
      <c r="H104" s="91" t="s">
        <v>489</v>
      </c>
      <c r="I104" s="88" t="s">
        <v>23</v>
      </c>
      <c r="J104" s="88" t="s">
        <v>74</v>
      </c>
      <c r="K104" s="91" t="s">
        <v>490</v>
      </c>
      <c r="L104" s="110">
        <v>1</v>
      </c>
      <c r="M104" s="101" t="s">
        <v>250</v>
      </c>
      <c r="N104" s="96"/>
      <c r="O104" s="93" t="s">
        <v>10</v>
      </c>
      <c r="P104" s="93">
        <f>IF(O104="Invenergy",IF(F104="-",(D104-C104)*24,F104*24),0)</f>
        <v>0</v>
      </c>
      <c r="Q104" s="96"/>
      <c r="R104" s="96">
        <f>(C104-$R$3)/7</f>
        <v>95</v>
      </c>
    </row>
    <row r="105" spans="1:18" s="99" customFormat="1" ht="14.45" hidden="1" x14ac:dyDescent="0.25">
      <c r="A105" s="88" t="s">
        <v>78</v>
      </c>
      <c r="B105" s="88" t="s">
        <v>491</v>
      </c>
      <c r="C105" s="90">
        <v>45957</v>
      </c>
      <c r="D105" s="90">
        <v>45974</v>
      </c>
      <c r="E105" s="88" t="s">
        <v>223</v>
      </c>
      <c r="F105" s="88" t="str">
        <f ca="1">IF(D105="",TODAY()-C105,"-")</f>
        <v>-</v>
      </c>
      <c r="G105" s="90"/>
      <c r="H105" s="91" t="s">
        <v>486</v>
      </c>
      <c r="I105" s="88" t="s">
        <v>21</v>
      </c>
      <c r="J105" s="88" t="s">
        <v>75</v>
      </c>
      <c r="K105" s="93" t="s">
        <v>487</v>
      </c>
      <c r="L105" s="110"/>
      <c r="M105" s="101" t="s">
        <v>250</v>
      </c>
      <c r="N105" s="96"/>
      <c r="O105" s="93" t="s">
        <v>10</v>
      </c>
      <c r="P105" s="93">
        <f>IF(O105="Invenergy",IF(F105="-",(D105-C105)*24,F105*24),0)</f>
        <v>0</v>
      </c>
      <c r="Q105" s="96"/>
      <c r="R105" s="96">
        <f>(C105-$R$3)/7</f>
        <v>95</v>
      </c>
    </row>
    <row r="106" spans="1:18" s="99" customFormat="1" ht="39" hidden="1" customHeight="1" x14ac:dyDescent="0.25">
      <c r="A106" s="88" t="s">
        <v>79</v>
      </c>
      <c r="B106" s="88" t="s">
        <v>253</v>
      </c>
      <c r="C106" s="90">
        <v>45930</v>
      </c>
      <c r="D106" s="90">
        <v>45982</v>
      </c>
      <c r="E106" s="88" t="s">
        <v>223</v>
      </c>
      <c r="F106" s="88" t="str">
        <f ca="1">IF(D106="",TODAY()-C106,"-")</f>
        <v>-</v>
      </c>
      <c r="G106" s="90"/>
      <c r="H106" s="91" t="s">
        <v>349</v>
      </c>
      <c r="I106" s="88" t="s">
        <v>27</v>
      </c>
      <c r="J106" s="88" t="s">
        <v>74</v>
      </c>
      <c r="K106" s="91" t="s">
        <v>492</v>
      </c>
      <c r="L106" s="110">
        <v>1</v>
      </c>
      <c r="M106" s="101" t="s">
        <v>250</v>
      </c>
      <c r="N106" s="96"/>
      <c r="O106" s="93" t="s">
        <v>229</v>
      </c>
      <c r="P106" s="93">
        <f ca="1">IF(O106="Invenergy",IF(F106="-",(D106-C106)*24,F106*24),0)</f>
        <v>1248</v>
      </c>
      <c r="Q106" s="96"/>
      <c r="R106" s="96">
        <f>(C106-$R$3)/7</f>
        <v>91.142857142857139</v>
      </c>
    </row>
    <row r="107" spans="1:18" s="99" customFormat="1" ht="172.9" hidden="1" customHeight="1" x14ac:dyDescent="0.25">
      <c r="A107" s="88" t="s">
        <v>77</v>
      </c>
      <c r="B107" s="88" t="s">
        <v>493</v>
      </c>
      <c r="C107" s="90">
        <v>45923</v>
      </c>
      <c r="D107" s="90">
        <v>45984</v>
      </c>
      <c r="E107" s="88" t="s">
        <v>223</v>
      </c>
      <c r="F107" s="88" t="str">
        <f ca="1">IF(D107="",TODAY()-C107,"-")</f>
        <v>-</v>
      </c>
      <c r="G107" s="90">
        <v>45982</v>
      </c>
      <c r="H107" s="91" t="s">
        <v>494</v>
      </c>
      <c r="I107" s="88" t="s">
        <v>27</v>
      </c>
      <c r="J107" s="88" t="s">
        <v>74</v>
      </c>
      <c r="K107" s="91" t="s">
        <v>495</v>
      </c>
      <c r="L107" s="110">
        <v>1</v>
      </c>
      <c r="M107" s="101" t="s">
        <v>250</v>
      </c>
      <c r="N107" s="96"/>
      <c r="O107" s="93" t="s">
        <v>229</v>
      </c>
      <c r="P107" s="93">
        <f ca="1">IF(O107="Invenergy",IF(F107="-",(D107-C107)*24,F107*24),0)</f>
        <v>1464</v>
      </c>
      <c r="Q107" s="96"/>
      <c r="R107" s="96">
        <f>(C107-$R$3)/7</f>
        <v>90.142857142857139</v>
      </c>
    </row>
    <row r="108" spans="1:18" s="99" customFormat="1" ht="198.6" hidden="1" customHeight="1" x14ac:dyDescent="0.25">
      <c r="A108" s="88" t="s">
        <v>77</v>
      </c>
      <c r="B108" s="88" t="s">
        <v>345</v>
      </c>
      <c r="C108" s="90">
        <v>45878</v>
      </c>
      <c r="D108" s="90">
        <v>45994</v>
      </c>
      <c r="E108" s="88" t="s">
        <v>223</v>
      </c>
      <c r="F108" s="88" t="str">
        <f ca="1">IF(D108="",TODAY()-C108,"-")</f>
        <v>-</v>
      </c>
      <c r="G108" s="90">
        <v>45988</v>
      </c>
      <c r="H108" s="91" t="s">
        <v>496</v>
      </c>
      <c r="I108" s="88" t="s">
        <v>27</v>
      </c>
      <c r="J108" s="88" t="s">
        <v>75</v>
      </c>
      <c r="K108" s="91" t="s">
        <v>497</v>
      </c>
      <c r="L108" s="110">
        <v>1</v>
      </c>
      <c r="M108" s="101" t="s">
        <v>250</v>
      </c>
      <c r="N108" s="96"/>
      <c r="O108" s="93"/>
      <c r="P108" s="93">
        <f>IF(O108="Invenergy",IF(F108="-",(D108-C108)*24,F108*24),0)</f>
        <v>0</v>
      </c>
      <c r="Q108" s="96"/>
      <c r="R108" s="96">
        <f>(C108-$R$3)/7</f>
        <v>83.714285714285708</v>
      </c>
    </row>
    <row r="109" spans="1:18" s="99" customFormat="1" ht="201.6" hidden="1" x14ac:dyDescent="0.25">
      <c r="A109" s="88" t="s">
        <v>77</v>
      </c>
      <c r="B109" s="88" t="s">
        <v>498</v>
      </c>
      <c r="C109" s="90">
        <v>45901</v>
      </c>
      <c r="D109" s="90">
        <v>45994</v>
      </c>
      <c r="E109" s="88" t="s">
        <v>223</v>
      </c>
      <c r="F109" s="88" t="str">
        <f ca="1">IF(D109="",TODAY()-C109,"-")</f>
        <v>-</v>
      </c>
      <c r="G109" s="90"/>
      <c r="H109" s="91" t="s">
        <v>499</v>
      </c>
      <c r="I109" s="88" t="s">
        <v>16</v>
      </c>
      <c r="J109" s="88" t="s">
        <v>74</v>
      </c>
      <c r="K109" s="91" t="s">
        <v>500</v>
      </c>
      <c r="L109" s="110"/>
      <c r="M109" s="101" t="s">
        <v>250</v>
      </c>
      <c r="N109" s="96"/>
      <c r="O109" s="93" t="s">
        <v>229</v>
      </c>
      <c r="P109" s="93">
        <f ca="1">IF(O109="Invenergy",IF(F109="-",(D109-C109)*24,F109*24),0)</f>
        <v>2232</v>
      </c>
      <c r="Q109" s="96"/>
      <c r="R109" s="96">
        <f>(C109-$R$3)/7</f>
        <v>87</v>
      </c>
    </row>
    <row r="110" spans="1:18" s="99" customFormat="1" ht="202.9" hidden="1" customHeight="1" x14ac:dyDescent="0.25">
      <c r="A110" s="88" t="s">
        <v>77</v>
      </c>
      <c r="B110" s="89" t="s">
        <v>501</v>
      </c>
      <c r="C110" s="90">
        <v>45957</v>
      </c>
      <c r="D110" s="90">
        <v>45995</v>
      </c>
      <c r="E110" s="88" t="s">
        <v>223</v>
      </c>
      <c r="F110" s="88" t="str">
        <f ca="1">IF(D110="",TODAY()-C110,"-")</f>
        <v>-</v>
      </c>
      <c r="G110" s="90">
        <v>45995</v>
      </c>
      <c r="H110" s="91" t="s">
        <v>502</v>
      </c>
      <c r="I110" s="92" t="s">
        <v>27</v>
      </c>
      <c r="J110" s="92" t="s">
        <v>74</v>
      </c>
      <c r="K110" s="107" t="s">
        <v>503</v>
      </c>
      <c r="L110" s="111">
        <v>1</v>
      </c>
      <c r="M110" s="101"/>
      <c r="N110" s="97"/>
      <c r="O110" s="93" t="s">
        <v>10</v>
      </c>
      <c r="P110" s="97">
        <f>IF(O110="Invenergy",IF(F110="-",(D110-C110)*24,F110*24),0)</f>
        <v>0</v>
      </c>
      <c r="Q110" s="98">
        <f ca="1">P110/VLOOKUP(A110,'YTD Hours'!$A$2:$D$5,4,0)</f>
        <v>0</v>
      </c>
      <c r="R110" s="96">
        <f>(C110-$R$3)/7</f>
        <v>95</v>
      </c>
    </row>
    <row r="111" spans="1:18" s="99" customFormat="1" ht="73.900000000000006" hidden="1" customHeight="1" x14ac:dyDescent="0.25">
      <c r="A111" s="116" t="s">
        <v>77</v>
      </c>
      <c r="B111" s="116" t="s">
        <v>504</v>
      </c>
      <c r="C111" s="120">
        <v>45985</v>
      </c>
      <c r="D111" s="120">
        <v>45995</v>
      </c>
      <c r="E111" s="116" t="s">
        <v>223</v>
      </c>
      <c r="F111" s="116" t="str">
        <f ca="1">IF(D111="",TODAY()-C111,"-")</f>
        <v>-</v>
      </c>
      <c r="G111" s="120">
        <v>45996</v>
      </c>
      <c r="H111" s="121" t="s">
        <v>505</v>
      </c>
      <c r="I111" s="116" t="s">
        <v>16</v>
      </c>
      <c r="J111" s="132" t="s">
        <v>74</v>
      </c>
      <c r="K111" s="133" t="s">
        <v>506</v>
      </c>
      <c r="L111" s="122">
        <v>0.9</v>
      </c>
      <c r="M111" s="123"/>
      <c r="N111" s="119"/>
      <c r="O111" s="118" t="s">
        <v>10</v>
      </c>
      <c r="P111" s="134">
        <f>IF(O111="Invenergy",IF(F111="-",(D111-C111)*24,F111*24),0)</f>
        <v>0</v>
      </c>
      <c r="Q111" s="135">
        <f ca="1">P111/VLOOKUP(A111,'YTD Hours'!$A$2:$D$5,4,0)</f>
        <v>0</v>
      </c>
      <c r="R111" s="119">
        <f>(C111-$R$3)/7</f>
        <v>99</v>
      </c>
    </row>
    <row r="112" spans="1:18" s="99" customFormat="1" ht="258.60000000000002" hidden="1" customHeight="1" x14ac:dyDescent="0.25">
      <c r="A112" s="88" t="s">
        <v>78</v>
      </c>
      <c r="B112" s="88" t="s">
        <v>507</v>
      </c>
      <c r="C112" s="90">
        <v>45985</v>
      </c>
      <c r="D112" s="90">
        <v>45995</v>
      </c>
      <c r="E112" s="88" t="s">
        <v>223</v>
      </c>
      <c r="F112" s="88" t="str">
        <f ca="1">IF(D112="",TODAY()-C112,"-")</f>
        <v>-</v>
      </c>
      <c r="G112" s="90">
        <v>45996</v>
      </c>
      <c r="H112" s="91" t="s">
        <v>486</v>
      </c>
      <c r="I112" s="88" t="s">
        <v>21</v>
      </c>
      <c r="J112" s="88" t="s">
        <v>75</v>
      </c>
      <c r="K112" s="93" t="s">
        <v>508</v>
      </c>
      <c r="L112" s="110"/>
      <c r="M112" s="101"/>
      <c r="N112" s="96"/>
      <c r="O112" s="93"/>
      <c r="P112" s="93"/>
      <c r="Q112" s="96"/>
      <c r="R112" s="96">
        <f>(C112-$R$3)/7</f>
        <v>99</v>
      </c>
    </row>
    <row r="113" spans="1:18" s="99" customFormat="1" ht="237.4" hidden="1" customHeight="1" x14ac:dyDescent="0.25">
      <c r="A113" s="88" t="s">
        <v>77</v>
      </c>
      <c r="B113" s="88" t="s">
        <v>311</v>
      </c>
      <c r="C113" s="90">
        <v>45908</v>
      </c>
      <c r="D113" s="90">
        <v>45996</v>
      </c>
      <c r="E113" s="88" t="s">
        <v>223</v>
      </c>
      <c r="F113" s="88" t="str">
        <f ca="1">IF(D113="",TODAY()-C113,"-")</f>
        <v>-</v>
      </c>
      <c r="G113" s="90">
        <v>45997</v>
      </c>
      <c r="H113" s="91" t="s">
        <v>499</v>
      </c>
      <c r="I113" s="88" t="s">
        <v>16</v>
      </c>
      <c r="J113" s="88" t="s">
        <v>75</v>
      </c>
      <c r="K113" s="91" t="s">
        <v>509</v>
      </c>
      <c r="L113" s="110"/>
      <c r="M113" s="101" t="s">
        <v>453</v>
      </c>
      <c r="N113" s="96"/>
      <c r="O113" s="93" t="s">
        <v>229</v>
      </c>
      <c r="P113" s="93">
        <f ca="1">IF(O113="Invenergy",IF(F113="-",(D113-C113)*24,F113*24),0)</f>
        <v>2112</v>
      </c>
      <c r="Q113" s="96"/>
      <c r="R113" s="96">
        <f>(C113-$R$3)/7</f>
        <v>88</v>
      </c>
    </row>
    <row r="114" spans="1:18" s="99" customFormat="1" ht="69" hidden="1" customHeight="1" x14ac:dyDescent="0.25">
      <c r="A114" s="88" t="s">
        <v>77</v>
      </c>
      <c r="B114" s="88" t="s">
        <v>510</v>
      </c>
      <c r="C114" s="90">
        <v>45992</v>
      </c>
      <c r="D114" s="90">
        <v>45999</v>
      </c>
      <c r="E114" s="88" t="s">
        <v>223</v>
      </c>
      <c r="F114" s="88" t="str">
        <f ca="1">IF(D114="",TODAY()-C114,"-")</f>
        <v>-</v>
      </c>
      <c r="G114" s="90"/>
      <c r="H114" s="91" t="s">
        <v>511</v>
      </c>
      <c r="I114" s="88" t="s">
        <v>27</v>
      </c>
      <c r="J114" s="88" t="s">
        <v>75</v>
      </c>
      <c r="K114" s="93" t="s">
        <v>512</v>
      </c>
      <c r="L114" s="110">
        <v>0.45</v>
      </c>
      <c r="M114" s="101"/>
      <c r="N114" s="96"/>
      <c r="O114" s="93"/>
      <c r="P114" s="93"/>
      <c r="Q114" s="96"/>
      <c r="R114" s="96">
        <f>(C114-$R$3)/7</f>
        <v>100</v>
      </c>
    </row>
    <row r="115" spans="1:18" s="99" customFormat="1" ht="336" hidden="1" customHeight="1" x14ac:dyDescent="0.25">
      <c r="A115" s="116" t="s">
        <v>77</v>
      </c>
      <c r="B115" s="116" t="s">
        <v>285</v>
      </c>
      <c r="C115" s="120">
        <v>45952</v>
      </c>
      <c r="D115" s="120">
        <v>46001</v>
      </c>
      <c r="E115" s="116" t="s">
        <v>223</v>
      </c>
      <c r="F115" s="116" t="str">
        <f ca="1">IF(D115="",TODAY()-C115,"-")</f>
        <v>-</v>
      </c>
      <c r="G115" s="136"/>
      <c r="H115" s="121" t="s">
        <v>513</v>
      </c>
      <c r="I115" s="116" t="s">
        <v>16</v>
      </c>
      <c r="J115" s="116" t="s">
        <v>75</v>
      </c>
      <c r="K115" s="121" t="s">
        <v>514</v>
      </c>
      <c r="L115" s="126"/>
      <c r="M115" s="123" t="s">
        <v>453</v>
      </c>
      <c r="N115" s="119"/>
      <c r="O115" s="118" t="s">
        <v>229</v>
      </c>
      <c r="P115" s="118">
        <f ca="1">IF(O115="Invenergy",IF(F115="-",(D115-C115)*24,F115*24),0)</f>
        <v>1176</v>
      </c>
      <c r="Q115" s="119"/>
      <c r="R115" s="119">
        <f>(C115-$R$3)/7</f>
        <v>94.285714285714292</v>
      </c>
    </row>
    <row r="116" spans="1:18" s="99" customFormat="1" ht="14.45" hidden="1" x14ac:dyDescent="0.25">
      <c r="A116" s="88" t="s">
        <v>77</v>
      </c>
      <c r="B116" s="88" t="s">
        <v>515</v>
      </c>
      <c r="C116" s="90">
        <v>45988</v>
      </c>
      <c r="D116" s="90">
        <v>46001</v>
      </c>
      <c r="E116" s="88" t="s">
        <v>223</v>
      </c>
      <c r="F116" s="88" t="str">
        <f ca="1">IF(D116="",TODAY()-C116,"-")</f>
        <v>-</v>
      </c>
      <c r="G116" s="90">
        <v>46010</v>
      </c>
      <c r="H116" s="91" t="s">
        <v>486</v>
      </c>
      <c r="I116" s="88" t="s">
        <v>21</v>
      </c>
      <c r="J116" s="88" t="s">
        <v>75</v>
      </c>
      <c r="K116" s="93" t="s">
        <v>508</v>
      </c>
      <c r="L116" s="110"/>
      <c r="M116" s="101"/>
      <c r="N116" s="96"/>
      <c r="O116" s="93"/>
      <c r="P116" s="93"/>
      <c r="Q116" s="96"/>
      <c r="R116" s="96">
        <f>(C116-$R$3)/7</f>
        <v>99.428571428571431</v>
      </c>
    </row>
    <row r="117" spans="1:18" s="99" customFormat="1" ht="71.45" hidden="1" customHeight="1" x14ac:dyDescent="0.25">
      <c r="A117" s="88" t="s">
        <v>77</v>
      </c>
      <c r="B117" s="88" t="s">
        <v>257</v>
      </c>
      <c r="C117" s="90">
        <v>45816</v>
      </c>
      <c r="D117" s="90">
        <v>46003</v>
      </c>
      <c r="E117" s="88" t="s">
        <v>223</v>
      </c>
      <c r="F117" s="88" t="str">
        <f ca="1">IF(D117="",TODAY()-C117,"-")</f>
        <v>-</v>
      </c>
      <c r="G117" s="90">
        <v>46003</v>
      </c>
      <c r="H117" s="113" t="s">
        <v>516</v>
      </c>
      <c r="I117" s="88" t="s">
        <v>16</v>
      </c>
      <c r="J117" s="88" t="s">
        <v>75</v>
      </c>
      <c r="K117" s="91" t="s">
        <v>517</v>
      </c>
      <c r="L117" s="110"/>
      <c r="M117" s="101" t="s">
        <v>250</v>
      </c>
      <c r="N117" s="93"/>
      <c r="O117" s="93"/>
      <c r="P117" s="93">
        <f>IF(O117="Invenergy",IF(F117="-",(D117-C117)*24,F117*24),0)</f>
        <v>0</v>
      </c>
      <c r="Q117" s="96">
        <v>0</v>
      </c>
      <c r="R117" s="96">
        <f>(C117-$R$3)/7</f>
        <v>74.857142857142861</v>
      </c>
    </row>
    <row r="118" spans="1:18" s="99" customFormat="1" ht="70.150000000000006" hidden="1" customHeight="1" x14ac:dyDescent="0.25">
      <c r="A118" s="88" t="s">
        <v>77</v>
      </c>
      <c r="B118" s="88" t="s">
        <v>504</v>
      </c>
      <c r="C118" s="90">
        <v>46001</v>
      </c>
      <c r="D118" s="90">
        <v>46006</v>
      </c>
      <c r="E118" s="88" t="s">
        <v>223</v>
      </c>
      <c r="F118" s="88" t="str">
        <f ca="1">IF(D118="",TODAY()-C118,"-")</f>
        <v>-</v>
      </c>
      <c r="G118" s="90"/>
      <c r="H118" s="91" t="s">
        <v>486</v>
      </c>
      <c r="I118" s="88" t="s">
        <v>21</v>
      </c>
      <c r="J118" s="88" t="s">
        <v>75</v>
      </c>
      <c r="K118" s="91" t="s">
        <v>518</v>
      </c>
      <c r="L118" s="110"/>
      <c r="M118" s="101"/>
      <c r="N118" s="96"/>
      <c r="O118" s="93"/>
      <c r="P118" s="97">
        <f>IF(O118="Invenergy",IF(F118="-",(D118-C118)*24,F118*24),0)</f>
        <v>0</v>
      </c>
      <c r="Q118" s="96"/>
      <c r="R118" s="96">
        <f>(C118-$R$3)/7</f>
        <v>101.28571428571429</v>
      </c>
    </row>
    <row r="119" spans="1:18" s="99" customFormat="1" ht="107.25" hidden="1" customHeight="1" x14ac:dyDescent="0.25">
      <c r="A119" s="88" t="s">
        <v>78</v>
      </c>
      <c r="B119" s="88" t="s">
        <v>438</v>
      </c>
      <c r="C119" s="90">
        <v>46006</v>
      </c>
      <c r="D119" s="90">
        <v>46008</v>
      </c>
      <c r="E119" s="88" t="s">
        <v>223</v>
      </c>
      <c r="F119" s="88" t="str">
        <f ca="1">IF(D119="",TODAY()-C119,"-")</f>
        <v>-</v>
      </c>
      <c r="G119" s="90">
        <v>46010</v>
      </c>
      <c r="H119" s="91" t="s">
        <v>486</v>
      </c>
      <c r="I119" s="88" t="s">
        <v>21</v>
      </c>
      <c r="J119" s="88" t="s">
        <v>75</v>
      </c>
      <c r="K119" s="93" t="s">
        <v>519</v>
      </c>
      <c r="L119" s="110"/>
      <c r="M119" s="96"/>
      <c r="N119" s="96"/>
      <c r="O119" s="93" t="s">
        <v>10</v>
      </c>
      <c r="P119" s="97">
        <f>IF(O119="Invenergy",IF(F119="-",(D119-C119)*24,F119*24),0)</f>
        <v>0</v>
      </c>
      <c r="Q119" s="96"/>
      <c r="R119" s="96">
        <f>(C119-$R$3)/7</f>
        <v>102</v>
      </c>
    </row>
    <row r="120" spans="1:18" s="99" customFormat="1" ht="57.6" hidden="1" customHeight="1" x14ac:dyDescent="0.25">
      <c r="A120" s="88" t="s">
        <v>77</v>
      </c>
      <c r="B120" s="88" t="s">
        <v>520</v>
      </c>
      <c r="C120" s="90">
        <v>46006</v>
      </c>
      <c r="D120" s="90">
        <v>46008</v>
      </c>
      <c r="E120" s="88" t="s">
        <v>223</v>
      </c>
      <c r="F120" s="88" t="str">
        <f ca="1">IF(D120="",TODAY()-C120,"-")</f>
        <v>-</v>
      </c>
      <c r="G120" s="90">
        <v>46010</v>
      </c>
      <c r="H120" s="91" t="s">
        <v>486</v>
      </c>
      <c r="I120" s="88" t="s">
        <v>21</v>
      </c>
      <c r="J120" s="88" t="s">
        <v>75</v>
      </c>
      <c r="K120" s="93" t="s">
        <v>519</v>
      </c>
      <c r="L120" s="110"/>
      <c r="M120" s="96"/>
      <c r="N120" s="96"/>
      <c r="O120" s="93" t="s">
        <v>10</v>
      </c>
      <c r="P120" s="97">
        <f>IF(O120="Invenergy",IF(F120="-",(D120-C120)*24,F120*24),0)</f>
        <v>0</v>
      </c>
      <c r="Q120" s="96"/>
      <c r="R120" s="96"/>
    </row>
    <row r="121" spans="1:18" s="99" customFormat="1" ht="100.9" hidden="1" x14ac:dyDescent="0.25">
      <c r="A121" s="88" t="s">
        <v>77</v>
      </c>
      <c r="B121" s="89" t="s">
        <v>521</v>
      </c>
      <c r="C121" s="90">
        <v>45932</v>
      </c>
      <c r="D121" s="90">
        <v>46009</v>
      </c>
      <c r="E121" s="88" t="s">
        <v>223</v>
      </c>
      <c r="F121" s="88" t="str">
        <f ca="1">IF(D121="",TODAY()-C121,"-")</f>
        <v>-</v>
      </c>
      <c r="G121" s="90">
        <v>46010</v>
      </c>
      <c r="H121" s="91" t="s">
        <v>349</v>
      </c>
      <c r="I121" s="92" t="s">
        <v>27</v>
      </c>
      <c r="J121" s="92" t="s">
        <v>74</v>
      </c>
      <c r="K121" s="107" t="s">
        <v>522</v>
      </c>
      <c r="L121" s="111">
        <v>1</v>
      </c>
      <c r="M121" s="101"/>
      <c r="N121" s="97"/>
      <c r="O121" s="93" t="s">
        <v>10</v>
      </c>
      <c r="P121" s="97">
        <f>IF(O121="Invenergy",IF(F121="-",(D121-C121)*24,F121*24),0)</f>
        <v>0</v>
      </c>
      <c r="Q121" s="98">
        <f ca="1">P121/VLOOKUP(A121,'YTD Hours'!$A$2:$D$5,4,0)</f>
        <v>0</v>
      </c>
      <c r="R121" s="96">
        <f>(C121-$R$3)/7</f>
        <v>91.428571428571431</v>
      </c>
    </row>
    <row r="122" spans="1:18" s="99" customFormat="1" ht="43.15" hidden="1" customHeight="1" x14ac:dyDescent="0.25">
      <c r="A122" s="88" t="s">
        <v>77</v>
      </c>
      <c r="B122" s="88" t="s">
        <v>523</v>
      </c>
      <c r="C122" s="90">
        <v>45971</v>
      </c>
      <c r="D122" s="131">
        <v>46009</v>
      </c>
      <c r="E122" s="88" t="s">
        <v>223</v>
      </c>
      <c r="F122" s="88" t="str">
        <f ca="1">IF(D122="",TODAY()-C122,"-")</f>
        <v>-</v>
      </c>
      <c r="G122" s="90">
        <v>46010</v>
      </c>
      <c r="H122" s="91" t="s">
        <v>524</v>
      </c>
      <c r="I122" s="92" t="s">
        <v>27</v>
      </c>
      <c r="J122" s="92" t="s">
        <v>74</v>
      </c>
      <c r="K122" s="107" t="s">
        <v>525</v>
      </c>
      <c r="L122" s="111">
        <v>1</v>
      </c>
      <c r="M122" s="101"/>
      <c r="N122" s="97"/>
      <c r="O122" s="93" t="s">
        <v>10</v>
      </c>
      <c r="P122" s="97">
        <f>IF(O122="Invenergy",IF(F122="-",(D122-C122)*24,F122*24),0)</f>
        <v>0</v>
      </c>
      <c r="Q122" s="98">
        <f ca="1">P122/VLOOKUP(A122,'YTD Hours'!$A$2:$D$5,4,0)</f>
        <v>0</v>
      </c>
      <c r="R122" s="96">
        <f>(C122-$R$3)/7</f>
        <v>97</v>
      </c>
    </row>
    <row r="123" spans="1:18" s="99" customFormat="1" ht="14.45" hidden="1" x14ac:dyDescent="0.25">
      <c r="A123" s="88" t="s">
        <v>78</v>
      </c>
      <c r="B123" s="88" t="s">
        <v>526</v>
      </c>
      <c r="C123" s="90">
        <v>46006</v>
      </c>
      <c r="D123" s="90">
        <v>46013</v>
      </c>
      <c r="E123" s="88" t="s">
        <v>223</v>
      </c>
      <c r="F123" s="88" t="str">
        <f ca="1">IF(D123="",TODAY()-C123,"-")</f>
        <v>-</v>
      </c>
      <c r="G123" s="120">
        <v>46015</v>
      </c>
      <c r="H123" s="137" t="s">
        <v>511</v>
      </c>
      <c r="I123" s="116" t="s">
        <v>527</v>
      </c>
      <c r="J123" s="88" t="s">
        <v>75</v>
      </c>
      <c r="K123" s="93" t="s">
        <v>528</v>
      </c>
      <c r="L123" s="110">
        <v>1</v>
      </c>
      <c r="M123" s="96"/>
      <c r="N123" s="96"/>
      <c r="O123" s="93" t="s">
        <v>10</v>
      </c>
      <c r="P123" s="97">
        <f>IF(O123="Invenergy",IF(F123="-",(D123-C123)*24,F123*24),0)</f>
        <v>0</v>
      </c>
      <c r="Q123" s="96"/>
      <c r="R123" s="96"/>
    </row>
    <row r="124" spans="1:18" s="99" customFormat="1" ht="60" hidden="1" customHeight="1" x14ac:dyDescent="0.25">
      <c r="A124" s="88" t="s">
        <v>78</v>
      </c>
      <c r="B124" s="88" t="s">
        <v>450</v>
      </c>
      <c r="C124" s="90">
        <v>46008</v>
      </c>
      <c r="D124" s="90">
        <v>46014</v>
      </c>
      <c r="E124" s="88" t="s">
        <v>223</v>
      </c>
      <c r="F124" s="88" t="str">
        <f ca="1">IF(D124="",TODAY()-C124,"-")</f>
        <v>-</v>
      </c>
      <c r="G124" s="90"/>
      <c r="H124" s="91" t="s">
        <v>25</v>
      </c>
      <c r="I124" s="88" t="s">
        <v>25</v>
      </c>
      <c r="J124" s="88" t="s">
        <v>75</v>
      </c>
      <c r="K124" s="93" t="s">
        <v>529</v>
      </c>
      <c r="L124" s="110"/>
      <c r="M124" s="96"/>
      <c r="N124" s="96"/>
      <c r="O124" s="93"/>
      <c r="P124" s="93"/>
      <c r="Q124" s="96"/>
      <c r="R124" s="96"/>
    </row>
    <row r="125" spans="1:18" s="99" customFormat="1" ht="113.45" hidden="1" customHeight="1" x14ac:dyDescent="0.25">
      <c r="A125" s="116" t="s">
        <v>78</v>
      </c>
      <c r="B125" s="116" t="s">
        <v>399</v>
      </c>
      <c r="C125" s="120">
        <v>45898</v>
      </c>
      <c r="D125" s="120">
        <v>46023</v>
      </c>
      <c r="E125" s="88" t="s">
        <v>223</v>
      </c>
      <c r="F125" s="116" t="str">
        <f ca="1">IF(D125="",TODAY()-C125,"-")</f>
        <v>-</v>
      </c>
      <c r="G125" s="120"/>
      <c r="H125" s="121" t="s">
        <v>456</v>
      </c>
      <c r="I125" s="116" t="s">
        <v>530</v>
      </c>
      <c r="J125" s="116" t="s">
        <v>75</v>
      </c>
      <c r="K125" s="121" t="s">
        <v>531</v>
      </c>
      <c r="L125" s="126"/>
      <c r="M125" s="123" t="s">
        <v>250</v>
      </c>
      <c r="N125" s="119"/>
      <c r="O125" s="118"/>
      <c r="P125" s="118">
        <f>IF(O125="Invenergy",IF(F125="-",(D125-C125)*24,F125*24),0)</f>
        <v>0</v>
      </c>
      <c r="Q125" s="119"/>
      <c r="R125" s="125">
        <f>(C125-$R$3)/7</f>
        <v>86.571428571428569</v>
      </c>
    </row>
    <row r="126" spans="1:18" s="99" customFormat="1" ht="168" hidden="1" customHeight="1" x14ac:dyDescent="0.25">
      <c r="A126" s="88" t="s">
        <v>77</v>
      </c>
      <c r="B126" s="88" t="s">
        <v>532</v>
      </c>
      <c r="C126" s="90">
        <v>46029</v>
      </c>
      <c r="D126" s="90">
        <v>46039</v>
      </c>
      <c r="E126" s="88" t="s">
        <v>223</v>
      </c>
      <c r="F126" s="88" t="str">
        <f ca="1">IF(D126="",TODAY()-C126,"-")</f>
        <v>-</v>
      </c>
      <c r="G126" s="90">
        <v>46041</v>
      </c>
      <c r="H126" s="91" t="s">
        <v>456</v>
      </c>
      <c r="I126" s="88" t="s">
        <v>16</v>
      </c>
      <c r="J126" s="88" t="s">
        <v>75</v>
      </c>
      <c r="K126" s="91" t="s">
        <v>533</v>
      </c>
      <c r="L126" s="110"/>
      <c r="M126" s="96"/>
      <c r="N126" s="96"/>
      <c r="O126" s="93" t="s">
        <v>10</v>
      </c>
      <c r="P126" s="93"/>
      <c r="Q126" s="96"/>
      <c r="R126" s="96"/>
    </row>
    <row r="127" spans="1:18" s="99" customFormat="1" ht="112.15" hidden="1" customHeight="1" x14ac:dyDescent="0.25">
      <c r="A127" s="88" t="s">
        <v>78</v>
      </c>
      <c r="B127" s="88" t="s">
        <v>534</v>
      </c>
      <c r="C127" s="90">
        <v>46031</v>
      </c>
      <c r="D127" s="90">
        <v>46040</v>
      </c>
      <c r="E127" s="88" t="s">
        <v>223</v>
      </c>
      <c r="F127" s="88" t="str">
        <f ca="1">IF(D127="",TODAY()-C127,"-")</f>
        <v>-</v>
      </c>
      <c r="G127" s="90">
        <v>46039</v>
      </c>
      <c r="H127" s="91" t="s">
        <v>535</v>
      </c>
      <c r="I127" s="88" t="s">
        <v>21</v>
      </c>
      <c r="J127" s="88" t="s">
        <v>75</v>
      </c>
      <c r="K127" s="91" t="s">
        <v>536</v>
      </c>
      <c r="L127" s="110"/>
      <c r="M127" s="96"/>
      <c r="N127" s="96"/>
      <c r="O127" s="93" t="s">
        <v>229</v>
      </c>
      <c r="P127" s="93"/>
      <c r="Q127" s="96"/>
      <c r="R127" s="96"/>
    </row>
    <row r="128" spans="1:18" s="99" customFormat="1" ht="57.6" hidden="1" x14ac:dyDescent="0.25">
      <c r="A128" s="88" t="s">
        <v>77</v>
      </c>
      <c r="B128" s="88" t="s">
        <v>537</v>
      </c>
      <c r="C128" s="90">
        <v>46029</v>
      </c>
      <c r="D128" s="90">
        <v>46049</v>
      </c>
      <c r="E128" s="88" t="s">
        <v>223</v>
      </c>
      <c r="F128" s="88" t="str">
        <f ca="1">IF(D128="",TODAY()-C128,"-")</f>
        <v>-</v>
      </c>
      <c r="G128" s="90">
        <v>46045</v>
      </c>
      <c r="H128" s="91" t="s">
        <v>23</v>
      </c>
      <c r="I128" s="88" t="s">
        <v>538</v>
      </c>
      <c r="J128" s="88" t="s">
        <v>74</v>
      </c>
      <c r="K128" s="91" t="s">
        <v>539</v>
      </c>
      <c r="L128" s="110">
        <v>1</v>
      </c>
      <c r="M128" s="96"/>
      <c r="N128" s="96"/>
      <c r="O128" s="93" t="s">
        <v>10</v>
      </c>
      <c r="P128" s="93"/>
      <c r="Q128" s="96"/>
      <c r="R128" s="96"/>
    </row>
    <row r="129" spans="1:18" s="99" customFormat="1" ht="28.9" hidden="1" x14ac:dyDescent="0.25">
      <c r="A129" s="88" t="s">
        <v>77</v>
      </c>
      <c r="B129" s="88" t="s">
        <v>540</v>
      </c>
      <c r="C129" s="90">
        <v>46039</v>
      </c>
      <c r="D129" s="90">
        <v>46049</v>
      </c>
      <c r="E129" s="88" t="s">
        <v>223</v>
      </c>
      <c r="F129" s="88" t="str">
        <f ca="1">IF(D129="",TODAY()-C129,"-")</f>
        <v>-</v>
      </c>
      <c r="G129" s="90">
        <v>46051</v>
      </c>
      <c r="H129" s="91" t="s">
        <v>23</v>
      </c>
      <c r="I129" s="88" t="s">
        <v>538</v>
      </c>
      <c r="J129" s="88" t="s">
        <v>74</v>
      </c>
      <c r="K129" s="91" t="s">
        <v>541</v>
      </c>
      <c r="L129" s="110">
        <v>1</v>
      </c>
      <c r="M129" s="96"/>
      <c r="N129" s="96"/>
      <c r="O129" s="93"/>
      <c r="P129" s="93"/>
      <c r="Q129" s="96"/>
      <c r="R129" s="96"/>
    </row>
    <row r="130" spans="1:18" s="99" customFormat="1" ht="100.9" hidden="1" x14ac:dyDescent="0.25">
      <c r="A130" s="116" t="s">
        <v>77</v>
      </c>
      <c r="B130" s="116" t="s">
        <v>309</v>
      </c>
      <c r="C130" s="120">
        <v>46004</v>
      </c>
      <c r="D130" s="120">
        <v>46050</v>
      </c>
      <c r="E130" s="116" t="s">
        <v>223</v>
      </c>
      <c r="F130" s="116" t="str">
        <f ca="1">IF(D130="",TODAY()-C130,"-")</f>
        <v>-</v>
      </c>
      <c r="G130" s="120">
        <v>46052</v>
      </c>
      <c r="H130" s="121" t="s">
        <v>456</v>
      </c>
      <c r="I130" s="116" t="s">
        <v>16</v>
      </c>
      <c r="J130" s="116" t="s">
        <v>75</v>
      </c>
      <c r="K130" s="121" t="s">
        <v>542</v>
      </c>
      <c r="L130" s="126"/>
      <c r="M130" s="119"/>
      <c r="N130" s="119"/>
      <c r="O130" s="118" t="s">
        <v>10</v>
      </c>
      <c r="P130" s="134">
        <f>IF(O130="Invenergy",IF(F130="-",(D130-C130)*24,F130*24),0)</f>
        <v>0</v>
      </c>
      <c r="Q130" s="119"/>
      <c r="R130" s="119">
        <f>(C130-$R$3)/7</f>
        <v>101.71428571428571</v>
      </c>
    </row>
    <row r="131" spans="1:18" s="99" customFormat="1" ht="68.25" hidden="1" customHeight="1" x14ac:dyDescent="0.25">
      <c r="A131" s="138" t="s">
        <v>77</v>
      </c>
      <c r="B131" s="138" t="s">
        <v>320</v>
      </c>
      <c r="C131" s="139">
        <v>46041</v>
      </c>
      <c r="D131" s="139">
        <v>46050</v>
      </c>
      <c r="E131" s="138" t="s">
        <v>223</v>
      </c>
      <c r="F131" s="138" t="str">
        <f ca="1">IF(D131="",TODAY()-C131,"-")</f>
        <v>-</v>
      </c>
      <c r="G131" s="139"/>
      <c r="H131" s="140" t="s">
        <v>543</v>
      </c>
      <c r="I131" s="138" t="s">
        <v>527</v>
      </c>
      <c r="J131" s="138" t="s">
        <v>75</v>
      </c>
      <c r="K131" s="140" t="s">
        <v>544</v>
      </c>
      <c r="L131" s="141">
        <v>1</v>
      </c>
      <c r="M131" s="142"/>
      <c r="N131" s="142"/>
      <c r="O131" s="143"/>
      <c r="P131" s="118"/>
      <c r="Q131" s="142"/>
      <c r="R131" s="142"/>
    </row>
    <row r="132" spans="1:18" s="99" customFormat="1" ht="98.45" hidden="1" customHeight="1" x14ac:dyDescent="0.25">
      <c r="A132" s="88" t="s">
        <v>77</v>
      </c>
      <c r="B132" s="88" t="s">
        <v>545</v>
      </c>
      <c r="C132" s="90">
        <v>46041</v>
      </c>
      <c r="D132" s="90">
        <v>46051</v>
      </c>
      <c r="E132" s="88" t="s">
        <v>223</v>
      </c>
      <c r="F132" s="88" t="str">
        <f ca="1">IF(D132="",TODAY()-C132,"-")</f>
        <v>-</v>
      </c>
      <c r="G132" s="90">
        <v>46055</v>
      </c>
      <c r="H132" s="91" t="s">
        <v>400</v>
      </c>
      <c r="I132" s="88" t="s">
        <v>21</v>
      </c>
      <c r="J132" s="88" t="s">
        <v>75</v>
      </c>
      <c r="K132" s="91" t="s">
        <v>546</v>
      </c>
      <c r="L132" s="110"/>
      <c r="M132" s="96"/>
      <c r="N132" s="96"/>
      <c r="O132" s="93"/>
      <c r="P132" s="93"/>
      <c r="Q132" s="96"/>
      <c r="R132" s="96"/>
    </row>
    <row r="133" spans="1:18" s="99" customFormat="1" ht="45" hidden="1" customHeight="1" x14ac:dyDescent="0.25">
      <c r="A133" s="88" t="s">
        <v>78</v>
      </c>
      <c r="B133" s="88" t="s">
        <v>376</v>
      </c>
      <c r="C133" s="90">
        <v>46020</v>
      </c>
      <c r="D133" s="90">
        <v>46059</v>
      </c>
      <c r="E133" s="88" t="s">
        <v>223</v>
      </c>
      <c r="F133" s="88" t="str">
        <f ca="1">IF(D133="",TODAY()-C133,"-")</f>
        <v>-</v>
      </c>
      <c r="G133" s="90">
        <v>46059</v>
      </c>
      <c r="H133" s="91" t="s">
        <v>456</v>
      </c>
      <c r="I133" s="88" t="s">
        <v>16</v>
      </c>
      <c r="J133" s="88" t="s">
        <v>75</v>
      </c>
      <c r="K133" s="91" t="s">
        <v>547</v>
      </c>
      <c r="L133" s="110"/>
      <c r="M133" s="96"/>
      <c r="N133" s="96"/>
      <c r="O133" s="93" t="s">
        <v>10</v>
      </c>
      <c r="P133" s="93"/>
      <c r="Q133" s="96"/>
      <c r="R133" s="96"/>
    </row>
    <row r="134" spans="1:18" s="99" customFormat="1" ht="86.45" hidden="1" x14ac:dyDescent="0.25">
      <c r="A134" s="88" t="s">
        <v>78</v>
      </c>
      <c r="B134" s="88" t="s">
        <v>548</v>
      </c>
      <c r="C134" s="90">
        <v>46028</v>
      </c>
      <c r="D134" s="90">
        <v>46064</v>
      </c>
      <c r="E134" s="88" t="s">
        <v>223</v>
      </c>
      <c r="F134" s="88" t="str">
        <f ca="1">IF(D134="",TODAY()-C134,"-")</f>
        <v>-</v>
      </c>
      <c r="G134" s="90">
        <v>46059</v>
      </c>
      <c r="H134" s="91" t="s">
        <v>400</v>
      </c>
      <c r="I134" s="88" t="s">
        <v>21</v>
      </c>
      <c r="J134" s="88" t="s">
        <v>75</v>
      </c>
      <c r="K134" s="91" t="s">
        <v>549</v>
      </c>
      <c r="L134" s="110"/>
      <c r="M134" s="96"/>
      <c r="N134" s="96"/>
      <c r="O134" s="93" t="s">
        <v>229</v>
      </c>
      <c r="P134" s="93"/>
      <c r="Q134" s="96"/>
      <c r="R134" s="96"/>
    </row>
    <row r="135" spans="1:18" s="99" customFormat="1" ht="55.9" hidden="1" customHeight="1" x14ac:dyDescent="0.25">
      <c r="A135" s="116" t="s">
        <v>78</v>
      </c>
      <c r="B135" s="116" t="s">
        <v>432</v>
      </c>
      <c r="C135" s="120">
        <v>46046</v>
      </c>
      <c r="D135" s="120">
        <v>46065</v>
      </c>
      <c r="E135" s="88" t="s">
        <v>223</v>
      </c>
      <c r="F135" s="116" t="str">
        <f ca="1">IF(D135="",TODAY()-C135,"-")</f>
        <v>-</v>
      </c>
      <c r="G135" s="120">
        <v>46065</v>
      </c>
      <c r="H135" s="121" t="s">
        <v>550</v>
      </c>
      <c r="I135" s="116" t="s">
        <v>551</v>
      </c>
      <c r="J135" s="116" t="s">
        <v>74</v>
      </c>
      <c r="K135" s="121" t="s">
        <v>552</v>
      </c>
      <c r="L135" s="126">
        <v>1</v>
      </c>
      <c r="M135" s="119"/>
      <c r="N135" s="119"/>
      <c r="O135" s="118"/>
      <c r="P135" s="118"/>
      <c r="Q135" s="119"/>
      <c r="R135" s="119"/>
    </row>
    <row r="136" spans="1:18" s="99" customFormat="1" ht="57" hidden="1" customHeight="1" x14ac:dyDescent="0.25">
      <c r="A136" s="88" t="s">
        <v>44</v>
      </c>
      <c r="B136" s="88" t="s">
        <v>553</v>
      </c>
      <c r="C136" s="90">
        <v>46063</v>
      </c>
      <c r="D136" s="90">
        <v>46065</v>
      </c>
      <c r="E136" s="88" t="s">
        <v>223</v>
      </c>
      <c r="F136" s="88" t="str">
        <f ca="1">IF(D136="",TODAY()-C136,"-")</f>
        <v>-</v>
      </c>
      <c r="G136" s="90"/>
      <c r="H136" s="91" t="s">
        <v>554</v>
      </c>
      <c r="I136" s="88" t="s">
        <v>16</v>
      </c>
      <c r="J136" s="88" t="s">
        <v>75</v>
      </c>
      <c r="K136" s="93" t="s">
        <v>555</v>
      </c>
      <c r="L136" s="96"/>
      <c r="M136" s="101"/>
      <c r="N136" s="96"/>
      <c r="O136" s="93"/>
      <c r="P136" s="93"/>
      <c r="Q136" s="96"/>
      <c r="R136" s="96"/>
    </row>
    <row r="137" spans="1:18" s="99" customFormat="1" ht="28.9" hidden="1" x14ac:dyDescent="0.25">
      <c r="A137" s="88" t="s">
        <v>77</v>
      </c>
      <c r="B137" s="88" t="s">
        <v>288</v>
      </c>
      <c r="C137" s="90">
        <v>46048</v>
      </c>
      <c r="D137" s="90">
        <v>46066</v>
      </c>
      <c r="E137" s="88" t="s">
        <v>223</v>
      </c>
      <c r="F137" s="88" t="str">
        <f ca="1">IF(D137="",TODAY()-C137,"-")</f>
        <v>-</v>
      </c>
      <c r="G137" s="90">
        <v>46066</v>
      </c>
      <c r="H137" s="91" t="s">
        <v>456</v>
      </c>
      <c r="I137" s="88" t="s">
        <v>16</v>
      </c>
      <c r="J137" s="88" t="s">
        <v>75</v>
      </c>
      <c r="K137" s="91" t="s">
        <v>556</v>
      </c>
      <c r="L137" s="96"/>
      <c r="M137" s="101"/>
      <c r="N137" s="96"/>
      <c r="O137" s="93"/>
      <c r="P137" s="93"/>
      <c r="Q137" s="96"/>
      <c r="R137" s="96"/>
    </row>
    <row r="138" spans="1:18" s="99" customFormat="1" ht="97.15" hidden="1" customHeight="1" x14ac:dyDescent="0.25">
      <c r="A138" s="88" t="s">
        <v>78</v>
      </c>
      <c r="B138" s="88" t="s">
        <v>438</v>
      </c>
      <c r="C138" s="90">
        <v>46055</v>
      </c>
      <c r="D138" s="90">
        <v>46066</v>
      </c>
      <c r="E138" s="88" t="s">
        <v>223</v>
      </c>
      <c r="F138" s="88" t="str">
        <f ca="1">IF(D138="",TODAY()-C138,"-")</f>
        <v>-</v>
      </c>
      <c r="G138" s="90">
        <v>46066</v>
      </c>
      <c r="H138" s="91" t="s">
        <v>400</v>
      </c>
      <c r="I138" s="88" t="s">
        <v>21</v>
      </c>
      <c r="J138" s="88" t="s">
        <v>75</v>
      </c>
      <c r="K138" s="91" t="s">
        <v>557</v>
      </c>
      <c r="L138" s="96"/>
      <c r="M138" s="101"/>
      <c r="N138" s="96"/>
      <c r="O138" s="93"/>
      <c r="P138" s="93"/>
      <c r="Q138" s="96"/>
      <c r="R138" s="96"/>
    </row>
    <row r="139" spans="1:18" s="99" customFormat="1" ht="56.45" hidden="1" customHeight="1" x14ac:dyDescent="0.25">
      <c r="A139" s="88" t="s">
        <v>44</v>
      </c>
      <c r="B139" s="88" t="s">
        <v>558</v>
      </c>
      <c r="C139" s="90">
        <v>46064</v>
      </c>
      <c r="D139" s="90">
        <v>46066</v>
      </c>
      <c r="E139" s="88" t="s">
        <v>223</v>
      </c>
      <c r="F139" s="88" t="str">
        <f ca="1">IF(D139="",TODAY()-C139,"-")</f>
        <v>-</v>
      </c>
      <c r="G139" s="90"/>
      <c r="H139" s="91" t="s">
        <v>400</v>
      </c>
      <c r="I139" s="88" t="s">
        <v>21</v>
      </c>
      <c r="J139" s="88" t="s">
        <v>75</v>
      </c>
      <c r="K139" s="93" t="s">
        <v>559</v>
      </c>
      <c r="L139" s="96"/>
      <c r="M139" s="101"/>
      <c r="N139" s="96"/>
      <c r="O139" s="93"/>
      <c r="P139" s="93"/>
      <c r="Q139" s="96"/>
      <c r="R139" s="96"/>
    </row>
    <row r="140" spans="1:18" s="99" customFormat="1" ht="113.45" hidden="1" customHeight="1" x14ac:dyDescent="0.25">
      <c r="A140" s="88" t="s">
        <v>77</v>
      </c>
      <c r="B140" s="88" t="s">
        <v>483</v>
      </c>
      <c r="C140" s="90">
        <v>46043</v>
      </c>
      <c r="D140" s="90">
        <v>46073</v>
      </c>
      <c r="E140" s="88" t="s">
        <v>223</v>
      </c>
      <c r="F140" s="88" t="str">
        <f ca="1">IF(D140="",TODAY()-C140,"-")</f>
        <v>-</v>
      </c>
      <c r="G140" s="90">
        <v>46073</v>
      </c>
      <c r="H140" s="91" t="s">
        <v>456</v>
      </c>
      <c r="I140" s="88" t="s">
        <v>16</v>
      </c>
      <c r="J140" s="88" t="s">
        <v>75</v>
      </c>
      <c r="K140" s="91" t="s">
        <v>560</v>
      </c>
      <c r="L140" s="110">
        <v>0</v>
      </c>
      <c r="M140" s="96"/>
      <c r="N140" s="96"/>
      <c r="O140" s="93"/>
      <c r="P140" s="93"/>
      <c r="Q140" s="96"/>
      <c r="R140" s="96"/>
    </row>
    <row r="141" spans="1:18" s="99" customFormat="1" ht="165.6" hidden="1" customHeight="1" x14ac:dyDescent="0.25">
      <c r="A141" s="88" t="s">
        <v>78</v>
      </c>
      <c r="B141" s="88" t="s">
        <v>561</v>
      </c>
      <c r="C141" s="90">
        <v>45978</v>
      </c>
      <c r="D141" s="90">
        <v>46078</v>
      </c>
      <c r="E141" s="88" t="s">
        <v>223</v>
      </c>
      <c r="F141" s="88" t="str">
        <f ca="1">IF(D141="",TODAY()-C141,"-")</f>
        <v>-</v>
      </c>
      <c r="G141" s="90">
        <v>46073</v>
      </c>
      <c r="H141" s="91" t="s">
        <v>499</v>
      </c>
      <c r="I141" s="88" t="s">
        <v>530</v>
      </c>
      <c r="J141" s="92" t="s">
        <v>74</v>
      </c>
      <c r="K141" s="107" t="s">
        <v>562</v>
      </c>
      <c r="L141" s="111">
        <v>0.93</v>
      </c>
      <c r="M141" s="101"/>
      <c r="N141" s="96"/>
      <c r="O141" s="93" t="s">
        <v>10</v>
      </c>
      <c r="P141" s="97">
        <f>IF(O141="Invenergy",IF(F141="-",(D141-C141)*24,F141*24),0)</f>
        <v>0</v>
      </c>
      <c r="Q141" s="98">
        <f ca="1">P141/VLOOKUP(A141,'YTD Hours'!$A$2:$D$5,4,0)</f>
        <v>0</v>
      </c>
      <c r="R141" s="96">
        <f>(C141-$R$3)/7</f>
        <v>98</v>
      </c>
    </row>
    <row r="142" spans="1:18" s="99" customFormat="1" ht="136.15" hidden="1" customHeight="1" x14ac:dyDescent="0.25">
      <c r="A142" s="88" t="s">
        <v>78</v>
      </c>
      <c r="B142" s="88" t="s">
        <v>563</v>
      </c>
      <c r="C142" s="90">
        <v>46055</v>
      </c>
      <c r="D142" s="90">
        <v>46081</v>
      </c>
      <c r="E142" s="88" t="s">
        <v>223</v>
      </c>
      <c r="F142" s="88" t="str">
        <f ca="1">IF(D142="",TODAY()-C142,"-")</f>
        <v>-</v>
      </c>
      <c r="G142" s="90">
        <v>46081</v>
      </c>
      <c r="H142" s="91" t="s">
        <v>564</v>
      </c>
      <c r="I142" s="88" t="s">
        <v>27</v>
      </c>
      <c r="J142" s="88" t="s">
        <v>74</v>
      </c>
      <c r="K142" s="91" t="s">
        <v>565</v>
      </c>
      <c r="L142" s="110">
        <v>1</v>
      </c>
      <c r="M142" s="144"/>
      <c r="N142" s="96"/>
      <c r="O142" s="93"/>
      <c r="P142" s="93"/>
      <c r="Q142" s="96"/>
      <c r="R142" s="96"/>
    </row>
    <row r="143" spans="1:18" s="99" customFormat="1" ht="49.9" hidden="1" customHeight="1" x14ac:dyDescent="0.25">
      <c r="A143" s="88" t="s">
        <v>78</v>
      </c>
      <c r="B143" s="88" t="s">
        <v>566</v>
      </c>
      <c r="C143" s="90">
        <v>46063</v>
      </c>
      <c r="D143" s="90">
        <v>46085</v>
      </c>
      <c r="E143" s="88" t="s">
        <v>223</v>
      </c>
      <c r="F143" s="88" t="str">
        <f ca="1">IF(D143="",TODAY()-C143,"-")</f>
        <v>-</v>
      </c>
      <c r="G143" s="90">
        <v>46055</v>
      </c>
      <c r="H143" s="91" t="s">
        <v>567</v>
      </c>
      <c r="I143" s="88" t="s">
        <v>19</v>
      </c>
      <c r="J143" s="88" t="s">
        <v>74</v>
      </c>
      <c r="K143" s="91" t="s">
        <v>568</v>
      </c>
      <c r="L143" s="110">
        <v>1</v>
      </c>
      <c r="M143" s="101"/>
      <c r="N143" s="96"/>
      <c r="O143" s="93"/>
      <c r="P143" s="93"/>
      <c r="Q143" s="96"/>
      <c r="R143" s="96"/>
    </row>
    <row r="144" spans="1:18" s="99" customFormat="1" ht="76.900000000000006" hidden="1" customHeight="1" x14ac:dyDescent="0.25">
      <c r="A144" s="88" t="s">
        <v>78</v>
      </c>
      <c r="B144" s="88" t="s">
        <v>569</v>
      </c>
      <c r="C144" s="90">
        <v>46071</v>
      </c>
      <c r="D144" s="90">
        <v>46087</v>
      </c>
      <c r="E144" s="88" t="s">
        <v>223</v>
      </c>
      <c r="F144" s="88" t="str">
        <f ca="1">IF(D144="",TODAY()-C144,"-")</f>
        <v>-</v>
      </c>
      <c r="G144" s="90">
        <v>46087</v>
      </c>
      <c r="H144" s="91" t="s">
        <v>400</v>
      </c>
      <c r="I144" s="88" t="s">
        <v>21</v>
      </c>
      <c r="J144" s="88" t="s">
        <v>75</v>
      </c>
      <c r="K144" s="91" t="s">
        <v>570</v>
      </c>
      <c r="L144" s="110"/>
      <c r="M144" s="101"/>
      <c r="N144" s="96"/>
      <c r="O144" s="93"/>
      <c r="P144" s="93"/>
      <c r="Q144" s="96"/>
      <c r="R144" s="96"/>
    </row>
    <row r="145" spans="1:18" s="99" customFormat="1" ht="38.450000000000003" hidden="1" customHeight="1" x14ac:dyDescent="0.25">
      <c r="A145" s="88" t="s">
        <v>78</v>
      </c>
      <c r="B145" s="88" t="s">
        <v>571</v>
      </c>
      <c r="C145" s="90">
        <v>46065</v>
      </c>
      <c r="D145" s="90">
        <v>46088</v>
      </c>
      <c r="E145" s="88" t="s">
        <v>223</v>
      </c>
      <c r="F145" s="88" t="str">
        <f ca="1">IF(D145="",TODAY()-C145,"-")</f>
        <v>-</v>
      </c>
      <c r="G145" s="90">
        <v>46087</v>
      </c>
      <c r="H145" s="91" t="s">
        <v>400</v>
      </c>
      <c r="I145" s="88" t="s">
        <v>21</v>
      </c>
      <c r="J145" s="88" t="s">
        <v>75</v>
      </c>
      <c r="K145" s="91" t="s">
        <v>572</v>
      </c>
      <c r="L145" s="110"/>
      <c r="M145" s="101"/>
      <c r="N145" s="96"/>
      <c r="O145" s="93"/>
      <c r="P145" s="93"/>
      <c r="Q145" s="96"/>
      <c r="R145" s="96"/>
    </row>
    <row r="146" spans="1:18" s="99" customFormat="1" ht="109.9" hidden="1" customHeight="1" x14ac:dyDescent="0.25">
      <c r="A146" s="88" t="s">
        <v>78</v>
      </c>
      <c r="B146" s="88" t="s">
        <v>573</v>
      </c>
      <c r="C146" s="90">
        <v>46080</v>
      </c>
      <c r="D146" s="90">
        <v>46093</v>
      </c>
      <c r="E146" s="88" t="s">
        <v>223</v>
      </c>
      <c r="F146" s="88" t="str">
        <f ca="1">IF(D146="",TODAY()-C146,"-")</f>
        <v>-</v>
      </c>
      <c r="G146" s="90"/>
      <c r="H146" s="91" t="s">
        <v>574</v>
      </c>
      <c r="I146" s="88" t="s">
        <v>19</v>
      </c>
      <c r="J146" s="88" t="s">
        <v>74</v>
      </c>
      <c r="K146" s="91" t="s">
        <v>575</v>
      </c>
      <c r="L146" s="110">
        <v>1</v>
      </c>
      <c r="M146" s="101"/>
      <c r="N146" s="96"/>
      <c r="O146" s="93"/>
      <c r="P146" s="93"/>
      <c r="Q146" s="96"/>
      <c r="R146" s="96"/>
    </row>
    <row r="147" spans="1:18" s="99" customFormat="1" ht="53.45" hidden="1" customHeight="1" x14ac:dyDescent="0.25">
      <c r="A147" s="88" t="s">
        <v>78</v>
      </c>
      <c r="B147" s="88" t="s">
        <v>392</v>
      </c>
      <c r="C147" s="90">
        <v>46090</v>
      </c>
      <c r="D147" s="90">
        <v>46095</v>
      </c>
      <c r="E147" s="88" t="s">
        <v>223</v>
      </c>
      <c r="F147" s="88" t="str">
        <f ca="1">IF(D147="",TODAY()-C147,"-")</f>
        <v>-</v>
      </c>
      <c r="G147" s="90"/>
      <c r="H147" s="91" t="s">
        <v>400</v>
      </c>
      <c r="I147" s="88" t="s">
        <v>21</v>
      </c>
      <c r="J147" s="88" t="s">
        <v>75</v>
      </c>
      <c r="K147" s="93" t="s">
        <v>576</v>
      </c>
      <c r="L147" s="110"/>
      <c r="M147" s="101"/>
      <c r="N147" s="96"/>
      <c r="O147" s="93"/>
      <c r="P147" s="93"/>
      <c r="Q147" s="96"/>
      <c r="R147" s="96"/>
    </row>
    <row r="148" spans="1:18" s="99" customFormat="1" ht="71.45" hidden="1" customHeight="1" x14ac:dyDescent="0.25">
      <c r="A148" s="88" t="s">
        <v>78</v>
      </c>
      <c r="B148" s="88" t="s">
        <v>385</v>
      </c>
      <c r="C148" s="90">
        <v>46088</v>
      </c>
      <c r="D148" s="90">
        <v>46100</v>
      </c>
      <c r="E148" s="88" t="s">
        <v>223</v>
      </c>
      <c r="F148" s="88" t="str">
        <f ca="1">IF(D148="",TODAY()-C148,"-")</f>
        <v>-</v>
      </c>
      <c r="G148" s="90">
        <v>46100</v>
      </c>
      <c r="H148" s="91" t="s">
        <v>574</v>
      </c>
      <c r="I148" s="88" t="s">
        <v>19</v>
      </c>
      <c r="J148" s="88" t="s">
        <v>74</v>
      </c>
      <c r="K148" s="91" t="s">
        <v>577</v>
      </c>
      <c r="L148" s="110">
        <v>1</v>
      </c>
      <c r="M148" s="101"/>
      <c r="N148" s="96"/>
      <c r="O148" s="93"/>
      <c r="P148" s="93"/>
      <c r="Q148" s="96"/>
      <c r="R148" s="96"/>
    </row>
    <row r="149" spans="1:18" s="99" customFormat="1" ht="67.900000000000006" hidden="1" customHeight="1" x14ac:dyDescent="0.25">
      <c r="A149" s="88" t="s">
        <v>44</v>
      </c>
      <c r="B149" s="88" t="s">
        <v>578</v>
      </c>
      <c r="C149" s="90">
        <v>46097</v>
      </c>
      <c r="D149" s="90">
        <v>46101</v>
      </c>
      <c r="E149" s="88" t="s">
        <v>223</v>
      </c>
      <c r="F149" s="88" t="str">
        <f ca="1">IF(D149="",TODAY()-C149,"-")</f>
        <v>-</v>
      </c>
      <c r="G149" s="90"/>
      <c r="H149" s="91" t="s">
        <v>486</v>
      </c>
      <c r="I149" s="88" t="s">
        <v>21</v>
      </c>
      <c r="J149" s="88" t="s">
        <v>75</v>
      </c>
      <c r="K149" s="145" t="s">
        <v>579</v>
      </c>
      <c r="L149" s="110"/>
      <c r="M149" s="101"/>
      <c r="N149" s="96"/>
      <c r="O149" s="93"/>
      <c r="P149" s="93"/>
      <c r="Q149" s="96"/>
      <c r="R149" s="96"/>
    </row>
    <row r="150" spans="1:18" s="99" customFormat="1" ht="139.9" hidden="1" customHeight="1" x14ac:dyDescent="0.25">
      <c r="A150" s="116" t="s">
        <v>77</v>
      </c>
      <c r="B150" s="116" t="s">
        <v>269</v>
      </c>
      <c r="C150" s="120">
        <v>46083</v>
      </c>
      <c r="D150" s="120">
        <v>46104</v>
      </c>
      <c r="E150" s="116" t="s">
        <v>223</v>
      </c>
      <c r="F150" s="116" t="str">
        <f ca="1">IF(D150="",TODAY()-C150,"-")</f>
        <v>-</v>
      </c>
      <c r="G150" s="120">
        <v>46100</v>
      </c>
      <c r="H150" s="121" t="s">
        <v>580</v>
      </c>
      <c r="I150" s="116" t="s">
        <v>27</v>
      </c>
      <c r="J150" s="116" t="s">
        <v>74</v>
      </c>
      <c r="K150" s="121" t="s">
        <v>581</v>
      </c>
      <c r="L150" s="110">
        <v>1</v>
      </c>
      <c r="M150" s="123"/>
      <c r="N150" s="119"/>
      <c r="O150" s="118"/>
      <c r="P150" s="118"/>
      <c r="Q150" s="119"/>
      <c r="R150" s="119"/>
    </row>
    <row r="151" spans="1:18" s="99" customFormat="1" ht="28.9" hidden="1" customHeight="1" x14ac:dyDescent="0.25">
      <c r="A151" s="116" t="s">
        <v>78</v>
      </c>
      <c r="B151" s="116" t="s">
        <v>582</v>
      </c>
      <c r="C151" s="120">
        <v>46097</v>
      </c>
      <c r="D151" s="120">
        <v>46104</v>
      </c>
      <c r="E151" s="116" t="s">
        <v>223</v>
      </c>
      <c r="F151" s="116" t="str">
        <f ca="1">IF(D151="",TODAY()-C151,"-")</f>
        <v>-</v>
      </c>
      <c r="G151" s="120"/>
      <c r="H151" s="121" t="s">
        <v>583</v>
      </c>
      <c r="I151" s="116" t="s">
        <v>25</v>
      </c>
      <c r="J151" s="116" t="s">
        <v>74</v>
      </c>
      <c r="K151" s="118" t="s">
        <v>584</v>
      </c>
      <c r="L151" s="126"/>
      <c r="M151" s="123"/>
      <c r="N151" s="119"/>
      <c r="O151" s="118"/>
      <c r="P151" s="118"/>
      <c r="Q151" s="119"/>
      <c r="R151" s="119"/>
    </row>
    <row r="152" spans="1:18" s="99" customFormat="1" ht="72" hidden="1" x14ac:dyDescent="0.25">
      <c r="A152" s="88" t="s">
        <v>44</v>
      </c>
      <c r="B152" s="88" t="s">
        <v>585</v>
      </c>
      <c r="C152" s="90">
        <v>46066</v>
      </c>
      <c r="D152" s="90">
        <v>46106</v>
      </c>
      <c r="E152" s="116" t="s">
        <v>223</v>
      </c>
      <c r="F152" s="88" t="str">
        <f ca="1">IF(D152="",TODAY()-C152,"-")</f>
        <v>-</v>
      </c>
      <c r="G152" s="90">
        <v>46107</v>
      </c>
      <c r="H152" s="91" t="s">
        <v>586</v>
      </c>
      <c r="I152" s="88" t="s">
        <v>23</v>
      </c>
      <c r="J152" s="88" t="s">
        <v>74</v>
      </c>
      <c r="K152" s="145" t="s">
        <v>587</v>
      </c>
      <c r="L152" s="110">
        <v>1</v>
      </c>
      <c r="M152" s="101"/>
      <c r="N152" s="96"/>
      <c r="O152" s="93"/>
      <c r="P152" s="93"/>
      <c r="Q152" s="96"/>
      <c r="R152" s="96"/>
    </row>
    <row r="153" spans="1:18" s="99" customFormat="1" ht="61.9" hidden="1" customHeight="1" x14ac:dyDescent="0.25">
      <c r="A153" s="116" t="s">
        <v>78</v>
      </c>
      <c r="B153" s="116" t="s">
        <v>478</v>
      </c>
      <c r="C153" s="120">
        <v>46087</v>
      </c>
      <c r="D153" s="120">
        <v>46107</v>
      </c>
      <c r="E153" s="116" t="s">
        <v>223</v>
      </c>
      <c r="F153" s="116" t="str">
        <f ca="1">IF(D153="",TODAY()-C153,"-")</f>
        <v>-</v>
      </c>
      <c r="G153" s="120">
        <v>46101</v>
      </c>
      <c r="H153" s="121" t="s">
        <v>486</v>
      </c>
      <c r="I153" s="116" t="s">
        <v>21</v>
      </c>
      <c r="J153" s="116" t="s">
        <v>75</v>
      </c>
      <c r="K153" s="121" t="s">
        <v>588</v>
      </c>
      <c r="L153" s="110"/>
      <c r="M153" s="123"/>
      <c r="N153" s="119"/>
      <c r="O153" s="118"/>
      <c r="P153" s="118"/>
      <c r="Q153" s="119"/>
      <c r="R153" s="119"/>
    </row>
    <row r="154" spans="1:18" s="99" customFormat="1" ht="78.599999999999994" hidden="1" customHeight="1" x14ac:dyDescent="0.25">
      <c r="A154" s="88" t="s">
        <v>77</v>
      </c>
      <c r="B154" s="88" t="s">
        <v>345</v>
      </c>
      <c r="C154" s="90">
        <v>46097</v>
      </c>
      <c r="D154" s="90">
        <v>46107</v>
      </c>
      <c r="E154" s="88" t="s">
        <v>223</v>
      </c>
      <c r="F154" s="88" t="str">
        <f ca="1">IF(D154="",TODAY()-C154,"-")</f>
        <v>-</v>
      </c>
      <c r="G154" s="90">
        <v>46101</v>
      </c>
      <c r="H154" s="91" t="s">
        <v>486</v>
      </c>
      <c r="I154" s="88" t="s">
        <v>21</v>
      </c>
      <c r="J154" s="88" t="s">
        <v>75</v>
      </c>
      <c r="K154" s="93" t="s">
        <v>589</v>
      </c>
      <c r="L154" s="110"/>
      <c r="M154" s="101"/>
      <c r="N154" s="96"/>
      <c r="O154" s="93"/>
      <c r="P154" s="93"/>
      <c r="Q154" s="96"/>
      <c r="R154" s="96"/>
    </row>
    <row r="155" spans="1:18" s="99" customFormat="1" ht="72" hidden="1" customHeight="1" x14ac:dyDescent="0.25">
      <c r="A155" s="88" t="s">
        <v>44</v>
      </c>
      <c r="B155" s="88" t="s">
        <v>590</v>
      </c>
      <c r="C155" s="90">
        <v>46105</v>
      </c>
      <c r="D155" s="90">
        <v>46108</v>
      </c>
      <c r="E155" s="88" t="s">
        <v>223</v>
      </c>
      <c r="F155" s="88" t="str">
        <f ca="1">IF(D155="",TODAY()-C155,"-")</f>
        <v>-</v>
      </c>
      <c r="G155" s="90"/>
      <c r="H155" s="91" t="s">
        <v>486</v>
      </c>
      <c r="I155" s="88" t="s">
        <v>21</v>
      </c>
      <c r="J155" s="88" t="s">
        <v>75</v>
      </c>
      <c r="K155" s="145" t="s">
        <v>591</v>
      </c>
      <c r="L155" s="110"/>
      <c r="M155" s="101"/>
      <c r="N155" s="96"/>
      <c r="O155" s="93"/>
      <c r="P155" s="93"/>
      <c r="Q155" s="96"/>
      <c r="R155" s="96"/>
    </row>
    <row r="156" spans="1:18" s="99" customFormat="1" ht="70.150000000000006" hidden="1" customHeight="1" x14ac:dyDescent="0.25">
      <c r="A156" s="88" t="s">
        <v>44</v>
      </c>
      <c r="B156" s="88" t="s">
        <v>592</v>
      </c>
      <c r="C156" s="90">
        <v>46106</v>
      </c>
      <c r="D156" s="90">
        <v>46109</v>
      </c>
      <c r="E156" s="88" t="s">
        <v>223</v>
      </c>
      <c r="F156" s="88" t="str">
        <f ca="1">IF(D156="",TODAY()-C156,"-")</f>
        <v>-</v>
      </c>
      <c r="G156" s="90"/>
      <c r="H156" s="91" t="s">
        <v>486</v>
      </c>
      <c r="I156" s="88" t="s">
        <v>21</v>
      </c>
      <c r="J156" s="88" t="s">
        <v>75</v>
      </c>
      <c r="K156" s="145" t="s">
        <v>591</v>
      </c>
      <c r="L156" s="110"/>
      <c r="M156" s="101"/>
      <c r="N156" s="96"/>
      <c r="O156" s="93"/>
      <c r="P156" s="93"/>
      <c r="Q156" s="96"/>
      <c r="R156" s="96"/>
    </row>
    <row r="157" spans="1:18" s="99" customFormat="1" ht="14.45" hidden="1" x14ac:dyDescent="0.25">
      <c r="A157" s="88" t="s">
        <v>77</v>
      </c>
      <c r="B157" s="88" t="s">
        <v>593</v>
      </c>
      <c r="C157" s="90">
        <v>46105</v>
      </c>
      <c r="D157" s="90">
        <v>46114</v>
      </c>
      <c r="E157" s="88" t="s">
        <v>223</v>
      </c>
      <c r="F157" s="88" t="str">
        <f ca="1">IF(D157="",TODAY()-C157,"-")</f>
        <v>-</v>
      </c>
      <c r="G157" s="90"/>
      <c r="H157" s="91" t="s">
        <v>594</v>
      </c>
      <c r="I157" s="88" t="s">
        <v>27</v>
      </c>
      <c r="J157" s="88" t="s">
        <v>74</v>
      </c>
      <c r="K157" s="93" t="s">
        <v>595</v>
      </c>
      <c r="L157" s="110">
        <v>1</v>
      </c>
      <c r="M157" s="101"/>
      <c r="N157" s="96"/>
      <c r="O157" s="93"/>
      <c r="P157" s="93"/>
      <c r="Q157" s="96"/>
      <c r="R157" s="96"/>
    </row>
    <row r="158" spans="1:18" s="99" customFormat="1" ht="74.45" hidden="1" customHeight="1" x14ac:dyDescent="0.25">
      <c r="A158" s="88" t="s">
        <v>78</v>
      </c>
      <c r="B158" s="88" t="s">
        <v>596</v>
      </c>
      <c r="C158" s="90">
        <v>46036</v>
      </c>
      <c r="D158" s="90">
        <v>46115</v>
      </c>
      <c r="E158" s="88" t="s">
        <v>223</v>
      </c>
      <c r="F158" s="88" t="str">
        <f ca="1">IF(D158="",TODAY()-C158,"-")</f>
        <v>-</v>
      </c>
      <c r="G158" s="90">
        <v>46115</v>
      </c>
      <c r="H158" s="91" t="s">
        <v>456</v>
      </c>
      <c r="I158" s="88" t="s">
        <v>16</v>
      </c>
      <c r="J158" s="88" t="s">
        <v>74</v>
      </c>
      <c r="K158" s="91" t="s">
        <v>597</v>
      </c>
      <c r="L158" s="110">
        <v>0.97</v>
      </c>
      <c r="M158" s="96"/>
      <c r="N158" s="96"/>
      <c r="O158" s="93"/>
      <c r="P158" s="93"/>
      <c r="Q158" s="96"/>
      <c r="R158" s="96"/>
    </row>
    <row r="159" spans="1:18" s="99" customFormat="1" ht="49.9" hidden="1" customHeight="1" x14ac:dyDescent="0.25">
      <c r="A159" s="88" t="s">
        <v>44</v>
      </c>
      <c r="B159" s="88" t="s">
        <v>598</v>
      </c>
      <c r="C159" s="90">
        <v>46105</v>
      </c>
      <c r="D159" s="90">
        <v>46119</v>
      </c>
      <c r="E159" s="88" t="s">
        <v>223</v>
      </c>
      <c r="F159" s="88" t="str">
        <f ca="1">IF(D159="",TODAY()-C159,"-")</f>
        <v>-</v>
      </c>
      <c r="G159" s="90"/>
      <c r="H159" s="91" t="s">
        <v>599</v>
      </c>
      <c r="I159" s="88" t="s">
        <v>600</v>
      </c>
      <c r="J159" s="88" t="s">
        <v>74</v>
      </c>
      <c r="K159" s="91" t="s">
        <v>601</v>
      </c>
      <c r="L159" s="110">
        <v>1</v>
      </c>
      <c r="M159" s="101"/>
      <c r="N159" s="96"/>
      <c r="O159" s="93"/>
      <c r="P159" s="93"/>
      <c r="Q159" s="96"/>
      <c r="R159" s="96"/>
    </row>
    <row r="160" spans="1:18" s="99" customFormat="1" ht="43.15" hidden="1" customHeight="1" x14ac:dyDescent="0.25">
      <c r="A160" s="88" t="s">
        <v>44</v>
      </c>
      <c r="B160" s="88" t="s">
        <v>361</v>
      </c>
      <c r="C160" s="90">
        <v>46111</v>
      </c>
      <c r="D160" s="90">
        <v>46119</v>
      </c>
      <c r="E160" s="88" t="s">
        <v>223</v>
      </c>
      <c r="F160" s="88" t="str">
        <f ca="1">IF(D160="",TODAY()-C160,"-")</f>
        <v>-</v>
      </c>
      <c r="G160" s="90"/>
      <c r="H160" s="91" t="s">
        <v>486</v>
      </c>
      <c r="I160" s="88" t="s">
        <v>21</v>
      </c>
      <c r="J160" s="88" t="s">
        <v>75</v>
      </c>
      <c r="K160" s="96" t="s">
        <v>602</v>
      </c>
      <c r="L160" s="110"/>
      <c r="M160" s="101"/>
      <c r="N160" s="96"/>
      <c r="O160" s="93"/>
      <c r="P160" s="93"/>
      <c r="Q160" s="96"/>
      <c r="R160" s="96"/>
    </row>
    <row r="161" spans="1:18" s="99" customFormat="1" ht="34.15" hidden="1" customHeight="1" x14ac:dyDescent="0.25">
      <c r="A161" s="116" t="s">
        <v>78</v>
      </c>
      <c r="B161" s="116" t="s">
        <v>582</v>
      </c>
      <c r="C161" s="120">
        <v>46118</v>
      </c>
      <c r="D161" s="120">
        <v>46121</v>
      </c>
      <c r="E161" s="116" t="s">
        <v>223</v>
      </c>
      <c r="F161" s="116" t="str">
        <f ca="1">IF(D161="",TODAY()-C161,"-")</f>
        <v>-</v>
      </c>
      <c r="G161" s="120">
        <v>46122</v>
      </c>
      <c r="H161" s="121" t="s">
        <v>603</v>
      </c>
      <c r="I161" s="116" t="s">
        <v>25</v>
      </c>
      <c r="J161" s="116" t="s">
        <v>74</v>
      </c>
      <c r="K161" s="119" t="s">
        <v>604</v>
      </c>
      <c r="L161" s="126">
        <v>1</v>
      </c>
      <c r="M161" s="123"/>
      <c r="N161" s="119"/>
      <c r="O161" s="118"/>
      <c r="P161" s="118"/>
      <c r="Q161" s="119"/>
      <c r="R161" s="119"/>
    </row>
    <row r="162" spans="1:18" s="99" customFormat="1" ht="51.6" hidden="1" customHeight="1" x14ac:dyDescent="0.25">
      <c r="A162" s="88" t="s">
        <v>77</v>
      </c>
      <c r="B162" s="88" t="s">
        <v>605</v>
      </c>
      <c r="C162" s="90">
        <v>46104</v>
      </c>
      <c r="D162" s="90">
        <v>46122</v>
      </c>
      <c r="E162" s="88" t="s">
        <v>223</v>
      </c>
      <c r="F162" s="88" t="str">
        <f ca="1">IF(D162="",TODAY()-C162,"-")</f>
        <v>-</v>
      </c>
      <c r="G162" s="90"/>
      <c r="H162" s="91" t="s">
        <v>400</v>
      </c>
      <c r="I162" s="88" t="s">
        <v>21</v>
      </c>
      <c r="J162" s="88" t="s">
        <v>75</v>
      </c>
      <c r="K162" s="91" t="s">
        <v>606</v>
      </c>
      <c r="L162" s="110"/>
      <c r="M162" s="101"/>
      <c r="N162" s="96"/>
      <c r="O162" s="93"/>
      <c r="P162" s="93"/>
      <c r="Q162" s="96"/>
      <c r="R162" s="96"/>
    </row>
    <row r="163" spans="1:18" s="99" customFormat="1" ht="43.15" hidden="1" x14ac:dyDescent="0.25">
      <c r="A163" s="88" t="s">
        <v>78</v>
      </c>
      <c r="B163" s="88" t="s">
        <v>234</v>
      </c>
      <c r="C163" s="90">
        <v>46115</v>
      </c>
      <c r="D163" s="90">
        <v>46122</v>
      </c>
      <c r="E163" s="88" t="s">
        <v>223</v>
      </c>
      <c r="F163" s="88" t="str">
        <f ca="1">IF(D163="",TODAY()-C163,"-")</f>
        <v>-</v>
      </c>
      <c r="G163" s="90">
        <v>46122</v>
      </c>
      <c r="H163" s="91" t="s">
        <v>607</v>
      </c>
      <c r="I163" s="88" t="s">
        <v>225</v>
      </c>
      <c r="J163" s="88" t="s">
        <v>608</v>
      </c>
      <c r="K163" s="91" t="s">
        <v>609</v>
      </c>
      <c r="L163" s="110"/>
      <c r="M163" s="101"/>
      <c r="N163" s="96"/>
      <c r="O163" s="93"/>
      <c r="P163" s="93"/>
      <c r="Q163" s="96"/>
      <c r="R163" s="96"/>
    </row>
    <row r="164" spans="1:18" s="99" customFormat="1" ht="43.15" hidden="1" x14ac:dyDescent="0.25">
      <c r="A164" s="88" t="s">
        <v>78</v>
      </c>
      <c r="B164" s="88" t="s">
        <v>454</v>
      </c>
      <c r="C164" s="90">
        <v>46108</v>
      </c>
      <c r="D164" s="90">
        <v>46125</v>
      </c>
      <c r="E164" s="88" t="s">
        <v>223</v>
      </c>
      <c r="F164" s="88" t="str">
        <f ca="1">IF(D164="",TODAY()-C164,"-")</f>
        <v>-</v>
      </c>
      <c r="G164" s="90">
        <v>46129</v>
      </c>
      <c r="H164" s="91" t="s">
        <v>610</v>
      </c>
      <c r="I164" s="88" t="s">
        <v>16</v>
      </c>
      <c r="J164" s="88" t="s">
        <v>75</v>
      </c>
      <c r="K164" s="91" t="s">
        <v>611</v>
      </c>
      <c r="L164" s="110"/>
      <c r="M164" s="101"/>
      <c r="N164" s="96"/>
      <c r="O164" s="93"/>
      <c r="P164" s="93"/>
      <c r="Q164" s="96"/>
      <c r="R164" s="96"/>
    </row>
    <row r="165" spans="1:18" s="99" customFormat="1" ht="54" hidden="1" customHeight="1" x14ac:dyDescent="0.25">
      <c r="A165" s="88" t="s">
        <v>44</v>
      </c>
      <c r="B165" s="88" t="s">
        <v>590</v>
      </c>
      <c r="C165" s="90">
        <v>46114</v>
      </c>
      <c r="D165" s="90">
        <v>46125</v>
      </c>
      <c r="E165" s="88" t="s">
        <v>223</v>
      </c>
      <c r="F165" s="88" t="str">
        <f ca="1">IF(D165="",TODAY()-C165,"-")</f>
        <v>-</v>
      </c>
      <c r="G165" s="90"/>
      <c r="H165" s="91" t="s">
        <v>486</v>
      </c>
      <c r="I165" s="146" t="s">
        <v>21</v>
      </c>
      <c r="J165" s="88" t="s">
        <v>75</v>
      </c>
      <c r="K165" s="96" t="s">
        <v>612</v>
      </c>
      <c r="L165" s="110"/>
      <c r="M165" s="101"/>
      <c r="N165" s="96"/>
      <c r="O165" s="93"/>
      <c r="P165" s="93"/>
      <c r="Q165" s="96"/>
      <c r="R165" s="96"/>
    </row>
    <row r="166" spans="1:18" s="99" customFormat="1" ht="57.6" hidden="1" x14ac:dyDescent="0.25">
      <c r="A166" s="88" t="s">
        <v>77</v>
      </c>
      <c r="B166" s="88" t="s">
        <v>309</v>
      </c>
      <c r="C166" s="90">
        <v>46108</v>
      </c>
      <c r="D166" s="90">
        <v>46127</v>
      </c>
      <c r="E166" s="88" t="s">
        <v>223</v>
      </c>
      <c r="F166" s="88" t="str">
        <f ca="1">IF(D166="",TODAY()-C166,"-")</f>
        <v>-</v>
      </c>
      <c r="G166" s="90"/>
      <c r="H166" s="91" t="s">
        <v>499</v>
      </c>
      <c r="I166" s="88" t="s">
        <v>16</v>
      </c>
      <c r="J166" s="88" t="s">
        <v>75</v>
      </c>
      <c r="K166" s="91" t="s">
        <v>613</v>
      </c>
      <c r="L166" s="110"/>
      <c r="M166" s="101"/>
      <c r="N166" s="96"/>
      <c r="O166" s="93"/>
      <c r="P166" s="93"/>
      <c r="Q166" s="96"/>
      <c r="R166" s="96"/>
    </row>
    <row r="167" spans="1:18" s="99" customFormat="1" ht="14.45" hidden="1" x14ac:dyDescent="0.25">
      <c r="A167" s="88" t="s">
        <v>78</v>
      </c>
      <c r="B167" s="88" t="s">
        <v>566</v>
      </c>
      <c r="C167" s="90">
        <v>46118</v>
      </c>
      <c r="D167" s="90">
        <v>46127</v>
      </c>
      <c r="E167" s="88" t="s">
        <v>223</v>
      </c>
      <c r="F167" s="88" t="str">
        <f ca="1">IF(D167="",TODAY()-C167,"-")</f>
        <v>-</v>
      </c>
      <c r="G167" s="90"/>
      <c r="H167" s="91" t="s">
        <v>400</v>
      </c>
      <c r="I167" s="88" t="s">
        <v>21</v>
      </c>
      <c r="J167" s="88" t="s">
        <v>75</v>
      </c>
      <c r="K167" s="96" t="s">
        <v>612</v>
      </c>
      <c r="L167" s="110"/>
      <c r="M167" s="101"/>
      <c r="N167" s="96"/>
      <c r="O167" s="93"/>
      <c r="P167" s="93"/>
      <c r="Q167" s="96"/>
      <c r="R167" s="96"/>
    </row>
    <row r="168" spans="1:18" s="99" customFormat="1" ht="72" hidden="1" x14ac:dyDescent="0.25">
      <c r="A168" s="88" t="s">
        <v>78</v>
      </c>
      <c r="B168" s="88" t="s">
        <v>614</v>
      </c>
      <c r="C168" s="90">
        <v>46106</v>
      </c>
      <c r="D168" s="90">
        <v>46129</v>
      </c>
      <c r="E168" s="88" t="s">
        <v>223</v>
      </c>
      <c r="F168" s="88" t="str">
        <f ca="1">IF(D168="",TODAY()-C168,"-")</f>
        <v>-</v>
      </c>
      <c r="G168" s="90">
        <v>46129</v>
      </c>
      <c r="H168" s="91" t="s">
        <v>615</v>
      </c>
      <c r="I168" s="88" t="s">
        <v>23</v>
      </c>
      <c r="J168" s="88" t="s">
        <v>74</v>
      </c>
      <c r="K168" s="91" t="s">
        <v>616</v>
      </c>
      <c r="L168" s="110">
        <v>0.89</v>
      </c>
      <c r="M168" s="101"/>
      <c r="N168" s="96"/>
      <c r="O168" s="93"/>
      <c r="P168" s="93"/>
      <c r="Q168" s="96"/>
      <c r="R168" s="96"/>
    </row>
    <row r="169" spans="1:18" s="99" customFormat="1" ht="14.45" hidden="1" x14ac:dyDescent="0.25">
      <c r="A169" s="88" t="s">
        <v>77</v>
      </c>
      <c r="B169" s="88" t="s">
        <v>297</v>
      </c>
      <c r="C169" s="90">
        <v>46125</v>
      </c>
      <c r="D169" s="90">
        <v>46129</v>
      </c>
      <c r="E169" s="88" t="s">
        <v>223</v>
      </c>
      <c r="F169" s="88" t="str">
        <f ca="1">IF(D169="",TODAY()-C169,"-")</f>
        <v>-</v>
      </c>
      <c r="G169" s="90"/>
      <c r="H169" s="91" t="s">
        <v>400</v>
      </c>
      <c r="I169" s="88" t="s">
        <v>21</v>
      </c>
      <c r="J169" s="88" t="s">
        <v>75</v>
      </c>
      <c r="K169" s="147" t="s">
        <v>617</v>
      </c>
      <c r="L169" s="110"/>
      <c r="M169" s="101"/>
      <c r="N169" s="96"/>
      <c r="O169" s="93"/>
      <c r="P169" s="93"/>
      <c r="Q169" s="96"/>
      <c r="R169" s="96"/>
    </row>
    <row r="170" spans="1:18" s="99" customFormat="1" ht="78" hidden="1" customHeight="1" x14ac:dyDescent="0.25">
      <c r="A170" s="88" t="s">
        <v>77</v>
      </c>
      <c r="B170" s="88" t="s">
        <v>618</v>
      </c>
      <c r="C170" s="90">
        <v>46122</v>
      </c>
      <c r="D170" s="90">
        <v>46135</v>
      </c>
      <c r="E170" s="88" t="s">
        <v>223</v>
      </c>
      <c r="F170" s="88" t="str">
        <f ca="1">IF(D170="",TODAY()-C170,"-")</f>
        <v>-</v>
      </c>
      <c r="G170" s="90">
        <v>46135</v>
      </c>
      <c r="H170" s="91" t="s">
        <v>619</v>
      </c>
      <c r="I170" s="88" t="s">
        <v>27</v>
      </c>
      <c r="J170" s="88" t="s">
        <v>74</v>
      </c>
      <c r="K170" s="93" t="s">
        <v>620</v>
      </c>
      <c r="L170" s="110">
        <v>1</v>
      </c>
      <c r="M170" s="101"/>
      <c r="N170" s="93"/>
      <c r="O170" s="93"/>
      <c r="P170" s="93"/>
      <c r="Q170" s="93"/>
      <c r="R170" s="93"/>
    </row>
    <row r="171" spans="1:18" s="99" customFormat="1" ht="67.900000000000006" hidden="1" customHeight="1" x14ac:dyDescent="0.25">
      <c r="A171" s="88" t="s">
        <v>44</v>
      </c>
      <c r="B171" s="88" t="s">
        <v>621</v>
      </c>
      <c r="C171" s="90">
        <v>46119</v>
      </c>
      <c r="D171" s="90">
        <v>46136</v>
      </c>
      <c r="E171" s="88" t="s">
        <v>223</v>
      </c>
      <c r="F171" s="88" t="str">
        <f ca="1">IF(D171="",TODAY()-C171,"-")</f>
        <v>-</v>
      </c>
      <c r="G171" s="90"/>
      <c r="H171" s="91" t="s">
        <v>622</v>
      </c>
      <c r="I171" s="88" t="s">
        <v>623</v>
      </c>
      <c r="J171" s="88" t="s">
        <v>74</v>
      </c>
      <c r="K171" s="93" t="s">
        <v>624</v>
      </c>
      <c r="L171" s="110">
        <v>1</v>
      </c>
      <c r="M171" s="101"/>
      <c r="N171" s="96"/>
      <c r="O171" s="93"/>
      <c r="P171" s="93"/>
      <c r="Q171" s="96"/>
      <c r="R171" s="96"/>
    </row>
    <row r="172" spans="1:18" s="99" customFormat="1" ht="69.599999999999994" hidden="1" customHeight="1" x14ac:dyDescent="0.25">
      <c r="A172" s="88" t="s">
        <v>78</v>
      </c>
      <c r="B172" s="88" t="s">
        <v>625</v>
      </c>
      <c r="C172" s="90">
        <v>46133</v>
      </c>
      <c r="D172" s="90">
        <v>46141</v>
      </c>
      <c r="E172" s="88" t="s">
        <v>223</v>
      </c>
      <c r="F172" s="88" t="str">
        <f ca="1">IF(D172="",TODAY()-C172,"-")</f>
        <v>-</v>
      </c>
      <c r="G172" s="90">
        <v>46142</v>
      </c>
      <c r="H172" s="91" t="s">
        <v>400</v>
      </c>
      <c r="I172" s="88" t="s">
        <v>21</v>
      </c>
      <c r="J172" s="88" t="s">
        <v>75</v>
      </c>
      <c r="K172" s="147" t="s">
        <v>626</v>
      </c>
      <c r="L172" s="110"/>
      <c r="M172" s="101"/>
      <c r="N172" s="96"/>
      <c r="O172" s="93"/>
      <c r="P172" s="93"/>
      <c r="Q172" s="96"/>
      <c r="R172" s="96"/>
    </row>
    <row r="173" spans="1:18" s="99" customFormat="1" ht="28.9" hidden="1" x14ac:dyDescent="0.25">
      <c r="A173" s="88" t="s">
        <v>78</v>
      </c>
      <c r="B173" s="88" t="s">
        <v>406</v>
      </c>
      <c r="C173" s="90">
        <v>46128</v>
      </c>
      <c r="D173" s="90">
        <v>46142</v>
      </c>
      <c r="E173" s="88" t="s">
        <v>223</v>
      </c>
      <c r="F173" s="88" t="str">
        <f ca="1">IF(D173="",TODAY()-C173,"-")</f>
        <v>-</v>
      </c>
      <c r="G173" s="90">
        <v>46142</v>
      </c>
      <c r="H173" s="91" t="s">
        <v>615</v>
      </c>
      <c r="I173" s="88" t="s">
        <v>23</v>
      </c>
      <c r="J173" s="88" t="s">
        <v>74</v>
      </c>
      <c r="K173" s="147" t="s">
        <v>627</v>
      </c>
      <c r="L173" s="110">
        <v>0.96</v>
      </c>
      <c r="M173" s="101"/>
      <c r="N173" s="96"/>
      <c r="O173" s="93"/>
      <c r="P173" s="93"/>
      <c r="Q173" s="96"/>
      <c r="R173" s="96"/>
    </row>
    <row r="174" spans="1:18" s="99" customFormat="1" ht="28.9" hidden="1" x14ac:dyDescent="0.25">
      <c r="A174" s="88" t="s">
        <v>77</v>
      </c>
      <c r="B174" s="88" t="s">
        <v>444</v>
      </c>
      <c r="C174" s="90">
        <v>46142</v>
      </c>
      <c r="D174" s="90">
        <v>46149</v>
      </c>
      <c r="E174" s="88" t="s">
        <v>223</v>
      </c>
      <c r="F174" s="88" t="str">
        <f ca="1">IF(D174="",TODAY()-C174,"-")</f>
        <v>-</v>
      </c>
      <c r="G174" s="90">
        <v>46149</v>
      </c>
      <c r="H174" s="91" t="s">
        <v>628</v>
      </c>
      <c r="I174" s="88" t="s">
        <v>23</v>
      </c>
      <c r="J174" s="88" t="s">
        <v>75</v>
      </c>
      <c r="K174" s="91" t="s">
        <v>629</v>
      </c>
      <c r="L174" s="110"/>
      <c r="M174" s="101"/>
      <c r="N174" s="96"/>
      <c r="O174" s="93"/>
      <c r="P174" s="93"/>
      <c r="Q174" s="96"/>
      <c r="R174" s="96"/>
    </row>
    <row r="175" spans="1:18" s="99" customFormat="1" ht="92.45" hidden="1" customHeight="1" x14ac:dyDescent="0.25">
      <c r="A175" s="88" t="s">
        <v>77</v>
      </c>
      <c r="B175" s="88" t="s">
        <v>297</v>
      </c>
      <c r="C175" s="90">
        <v>46135</v>
      </c>
      <c r="D175" s="90">
        <v>46150</v>
      </c>
      <c r="E175" s="88" t="s">
        <v>223</v>
      </c>
      <c r="F175" s="88" t="str">
        <f ca="1">IF(D175="",TODAY()-C175,"-")</f>
        <v>-</v>
      </c>
      <c r="G175" s="90"/>
      <c r="H175" s="91" t="s">
        <v>400</v>
      </c>
      <c r="I175" s="88" t="s">
        <v>21</v>
      </c>
      <c r="J175" s="88" t="s">
        <v>75</v>
      </c>
      <c r="K175" s="147" t="s">
        <v>630</v>
      </c>
      <c r="L175" s="110"/>
      <c r="M175" s="101"/>
      <c r="N175" s="96"/>
      <c r="O175" s="93"/>
      <c r="P175" s="93"/>
      <c r="Q175" s="96"/>
      <c r="R175" s="96"/>
    </row>
    <row r="176" spans="1:18" s="99" customFormat="1" ht="28.9" hidden="1" x14ac:dyDescent="0.25">
      <c r="A176" s="88" t="s">
        <v>44</v>
      </c>
      <c r="B176" s="88" t="s">
        <v>631</v>
      </c>
      <c r="C176" s="90">
        <v>46145</v>
      </c>
      <c r="D176" s="90">
        <v>46150</v>
      </c>
      <c r="E176" s="88" t="s">
        <v>223</v>
      </c>
      <c r="F176" s="88" t="str">
        <f ca="1">IF(D176="",TODAY()-C176,"-")</f>
        <v>-</v>
      </c>
      <c r="G176" s="90"/>
      <c r="H176" s="91" t="s">
        <v>632</v>
      </c>
      <c r="I176" s="88" t="s">
        <v>225</v>
      </c>
      <c r="J176" s="88" t="s">
        <v>225</v>
      </c>
      <c r="K176" s="91" t="s">
        <v>633</v>
      </c>
      <c r="L176" s="110"/>
      <c r="M176" s="101"/>
      <c r="N176" s="96"/>
      <c r="O176" s="93"/>
      <c r="P176" s="93"/>
      <c r="Q176" s="96"/>
      <c r="R176" s="96"/>
    </row>
    <row r="177" spans="1:18" s="99" customFormat="1" ht="14.45" hidden="1" x14ac:dyDescent="0.25">
      <c r="A177" s="88" t="s">
        <v>78</v>
      </c>
      <c r="B177" s="88" t="s">
        <v>625</v>
      </c>
      <c r="C177" s="90">
        <v>46146</v>
      </c>
      <c r="D177" s="90">
        <v>46150</v>
      </c>
      <c r="E177" s="88" t="s">
        <v>223</v>
      </c>
      <c r="F177" s="88" t="str">
        <f ca="1">IF(D177="",TODAY()-C177,"-")</f>
        <v>-</v>
      </c>
      <c r="G177" s="90"/>
      <c r="H177" s="91" t="s">
        <v>400</v>
      </c>
      <c r="I177" s="88" t="s">
        <v>21</v>
      </c>
      <c r="J177" s="88" t="s">
        <v>75</v>
      </c>
      <c r="K177" s="93" t="s">
        <v>634</v>
      </c>
      <c r="L177" s="110"/>
      <c r="M177" s="101"/>
      <c r="N177" s="96"/>
      <c r="O177" s="93"/>
      <c r="P177" s="93"/>
      <c r="Q177" s="96"/>
      <c r="R177" s="96"/>
    </row>
    <row r="178" spans="1:18" s="99" customFormat="1" ht="55.15" hidden="1" customHeight="1" x14ac:dyDescent="0.25">
      <c r="A178" s="88" t="s">
        <v>44</v>
      </c>
      <c r="B178" s="88" t="s">
        <v>635</v>
      </c>
      <c r="C178" s="90">
        <v>46129</v>
      </c>
      <c r="D178" s="90">
        <v>46153</v>
      </c>
      <c r="E178" s="88" t="s">
        <v>223</v>
      </c>
      <c r="F178" s="88" t="str">
        <f ca="1">IF(D178="",TODAY()-C178,"-")</f>
        <v>-</v>
      </c>
      <c r="G178" s="90">
        <v>46153</v>
      </c>
      <c r="H178" s="91" t="s">
        <v>636</v>
      </c>
      <c r="I178" s="88" t="s">
        <v>23</v>
      </c>
      <c r="J178" s="88" t="s">
        <v>74</v>
      </c>
      <c r="K178" s="147" t="s">
        <v>637</v>
      </c>
      <c r="L178" s="110">
        <v>1</v>
      </c>
      <c r="M178" s="101"/>
      <c r="N178" s="96"/>
      <c r="O178" s="93"/>
      <c r="P178" s="93"/>
      <c r="Q178" s="96"/>
      <c r="R178" s="96"/>
    </row>
    <row r="179" spans="1:18" s="102" customFormat="1" ht="38.450000000000003" hidden="1" customHeight="1" x14ac:dyDescent="0.25">
      <c r="A179" s="88" t="s">
        <v>77</v>
      </c>
      <c r="B179" s="88" t="s">
        <v>638</v>
      </c>
      <c r="C179" s="90">
        <v>46138</v>
      </c>
      <c r="D179" s="90">
        <v>46155</v>
      </c>
      <c r="E179" s="88" t="s">
        <v>223</v>
      </c>
      <c r="F179" s="88" t="str">
        <f ca="1">IF(D179="",TODAY()-C179,"-")</f>
        <v>-</v>
      </c>
      <c r="G179" s="90">
        <v>46155</v>
      </c>
      <c r="H179" s="91" t="s">
        <v>639</v>
      </c>
      <c r="I179" s="88" t="s">
        <v>27</v>
      </c>
      <c r="J179" s="88" t="s">
        <v>74</v>
      </c>
      <c r="K179" s="93" t="s">
        <v>640</v>
      </c>
      <c r="L179" s="110">
        <v>1</v>
      </c>
      <c r="M179" s="101"/>
      <c r="N179" s="96"/>
      <c r="O179" s="93"/>
      <c r="P179" s="93"/>
      <c r="Q179" s="96"/>
      <c r="R179" s="96"/>
    </row>
    <row r="180" spans="1:18" s="99" customFormat="1" ht="83.25" hidden="1" customHeight="1" x14ac:dyDescent="0.25">
      <c r="A180" s="88" t="s">
        <v>79</v>
      </c>
      <c r="B180" s="88" t="s">
        <v>403</v>
      </c>
      <c r="C180" s="90">
        <v>46148</v>
      </c>
      <c r="D180" s="90">
        <v>46164</v>
      </c>
      <c r="E180" s="88" t="s">
        <v>223</v>
      </c>
      <c r="F180" s="88" t="str">
        <f ca="1">IF(D180="",TODAY()-C180,"-")</f>
        <v>-</v>
      </c>
      <c r="G180" s="90">
        <v>46164</v>
      </c>
      <c r="H180" s="91" t="s">
        <v>641</v>
      </c>
      <c r="I180" s="88" t="s">
        <v>16</v>
      </c>
      <c r="J180" s="88" t="s">
        <v>75</v>
      </c>
      <c r="K180" s="91" t="s">
        <v>642</v>
      </c>
      <c r="L180" s="110"/>
      <c r="M180" s="101"/>
      <c r="N180" s="96"/>
      <c r="O180" s="93"/>
      <c r="P180" s="93"/>
      <c r="Q180" s="96"/>
      <c r="R180" s="96"/>
    </row>
    <row r="181" spans="1:18" s="99" customFormat="1" ht="59.45" hidden="1" customHeight="1" x14ac:dyDescent="0.25">
      <c r="A181" s="88" t="s">
        <v>77</v>
      </c>
      <c r="B181" s="88" t="s">
        <v>320</v>
      </c>
      <c r="C181" s="90">
        <v>46153</v>
      </c>
      <c r="D181" s="90">
        <v>46164</v>
      </c>
      <c r="E181" s="88" t="s">
        <v>223</v>
      </c>
      <c r="F181" s="88" t="str">
        <f ca="1">IF(D181="",TODAY()-C181,"-")</f>
        <v>-</v>
      </c>
      <c r="G181" s="90"/>
      <c r="H181" s="91" t="s">
        <v>400</v>
      </c>
      <c r="I181" s="88" t="s">
        <v>21</v>
      </c>
      <c r="J181" s="88" t="s">
        <v>75</v>
      </c>
      <c r="K181" s="91" t="s">
        <v>643</v>
      </c>
      <c r="L181" s="110"/>
      <c r="M181" s="101"/>
      <c r="N181" s="96"/>
      <c r="O181" s="93"/>
      <c r="P181" s="93"/>
      <c r="Q181" s="96"/>
      <c r="R181" s="96"/>
    </row>
    <row r="182" spans="1:18" s="99" customFormat="1" ht="50.45" hidden="1" customHeight="1" x14ac:dyDescent="0.25">
      <c r="A182" s="88" t="s">
        <v>77</v>
      </c>
      <c r="B182" s="88" t="s">
        <v>644</v>
      </c>
      <c r="C182" s="90">
        <v>46148</v>
      </c>
      <c r="D182" s="90">
        <v>46167</v>
      </c>
      <c r="E182" s="88" t="s">
        <v>223</v>
      </c>
      <c r="F182" s="88" t="str">
        <f ca="1">IF(D182="",TODAY()-C182,"-")</f>
        <v>-</v>
      </c>
      <c r="G182" s="90">
        <v>46181</v>
      </c>
      <c r="H182" s="91" t="s">
        <v>550</v>
      </c>
      <c r="I182" s="88" t="s">
        <v>645</v>
      </c>
      <c r="J182" s="88" t="s">
        <v>646</v>
      </c>
      <c r="K182" s="91" t="s">
        <v>647</v>
      </c>
      <c r="L182" s="110">
        <v>1</v>
      </c>
      <c r="M182" s="101"/>
      <c r="N182" s="96"/>
      <c r="O182" s="93"/>
      <c r="P182" s="93"/>
      <c r="Q182" s="96"/>
      <c r="R182" s="96"/>
    </row>
    <row r="183" spans="1:18" s="99" customFormat="1" ht="55.9" hidden="1" customHeight="1" x14ac:dyDescent="0.25">
      <c r="A183" s="88" t="s">
        <v>44</v>
      </c>
      <c r="B183" s="88" t="s">
        <v>648</v>
      </c>
      <c r="C183" s="90">
        <v>46150</v>
      </c>
      <c r="D183" s="90">
        <v>46168</v>
      </c>
      <c r="E183" s="88" t="s">
        <v>223</v>
      </c>
      <c r="F183" s="88" t="str">
        <f ca="1">IF(D183="",TODAY()-C183,"-")</f>
        <v>-</v>
      </c>
      <c r="G183" s="90">
        <v>46164</v>
      </c>
      <c r="H183" s="91" t="s">
        <v>599</v>
      </c>
      <c r="I183" s="88" t="s">
        <v>649</v>
      </c>
      <c r="J183" s="88" t="s">
        <v>74</v>
      </c>
      <c r="K183" s="93" t="s">
        <v>650</v>
      </c>
      <c r="L183" s="110">
        <v>1</v>
      </c>
      <c r="M183" s="101"/>
      <c r="N183" s="96"/>
      <c r="O183" s="93"/>
      <c r="P183" s="93"/>
      <c r="Q183" s="96"/>
      <c r="R183" s="96"/>
    </row>
    <row r="184" spans="1:18" s="99" customFormat="1" ht="70.150000000000006" hidden="1" customHeight="1" x14ac:dyDescent="0.25">
      <c r="A184" s="88" t="s">
        <v>78</v>
      </c>
      <c r="B184" s="88" t="s">
        <v>399</v>
      </c>
      <c r="C184" s="90">
        <v>46142</v>
      </c>
      <c r="D184" s="90">
        <v>46169</v>
      </c>
      <c r="E184" s="88" t="s">
        <v>223</v>
      </c>
      <c r="F184" s="88" t="str">
        <f ca="1">IF(D184="",TODAY()-C184,"-")</f>
        <v>-</v>
      </c>
      <c r="G184" s="90">
        <v>46169</v>
      </c>
      <c r="H184" s="91" t="s">
        <v>651</v>
      </c>
      <c r="I184" s="88" t="s">
        <v>16</v>
      </c>
      <c r="J184" s="88" t="s">
        <v>74</v>
      </c>
      <c r="K184" s="91" t="s">
        <v>652</v>
      </c>
      <c r="L184" s="110">
        <v>1</v>
      </c>
      <c r="M184" s="101"/>
      <c r="N184" s="96"/>
      <c r="O184" s="93"/>
      <c r="P184" s="93"/>
      <c r="Q184" s="96"/>
      <c r="R184" s="96"/>
    </row>
    <row r="185" spans="1:18" s="99" customFormat="1" ht="38.450000000000003" hidden="1" customHeight="1" x14ac:dyDescent="0.25">
      <c r="A185" s="88" t="s">
        <v>78</v>
      </c>
      <c r="B185" s="88" t="s">
        <v>234</v>
      </c>
      <c r="C185" s="90">
        <v>46153</v>
      </c>
      <c r="D185" s="90">
        <v>46173</v>
      </c>
      <c r="E185" s="88" t="s">
        <v>223</v>
      </c>
      <c r="F185" s="88" t="str">
        <f ca="1">IF(D185="",TODAY()-C185,"-")</f>
        <v>-</v>
      </c>
      <c r="G185" s="90">
        <v>46171</v>
      </c>
      <c r="H185" s="91" t="s">
        <v>400</v>
      </c>
      <c r="I185" s="88" t="s">
        <v>21</v>
      </c>
      <c r="J185" s="88" t="s">
        <v>75</v>
      </c>
      <c r="K185" s="91" t="s">
        <v>653</v>
      </c>
      <c r="L185" s="110"/>
      <c r="M185" s="101"/>
      <c r="N185" s="96"/>
      <c r="O185" s="93"/>
      <c r="P185" s="93"/>
      <c r="Q185" s="96"/>
      <c r="R185" s="96"/>
    </row>
    <row r="186" spans="1:18" s="99" customFormat="1" ht="50.45" hidden="1" customHeight="1" x14ac:dyDescent="0.25">
      <c r="A186" s="88" t="s">
        <v>77</v>
      </c>
      <c r="B186" s="88" t="s">
        <v>251</v>
      </c>
      <c r="C186" s="90">
        <v>46168</v>
      </c>
      <c r="D186" s="90">
        <v>46175</v>
      </c>
      <c r="E186" s="88" t="s">
        <v>223</v>
      </c>
      <c r="F186" s="88" t="str">
        <f ca="1">IF(D186="",TODAY()-C186,"-")</f>
        <v>-</v>
      </c>
      <c r="G186" s="90"/>
      <c r="H186" s="91" t="s">
        <v>654</v>
      </c>
      <c r="I186" s="88" t="s">
        <v>655</v>
      </c>
      <c r="J186" s="88" t="s">
        <v>225</v>
      </c>
      <c r="K186" s="91" t="s">
        <v>656</v>
      </c>
      <c r="L186" s="110"/>
      <c r="M186" s="101"/>
      <c r="N186" s="96"/>
      <c r="O186" s="93"/>
      <c r="P186" s="93"/>
      <c r="Q186" s="96"/>
      <c r="R186" s="96"/>
    </row>
    <row r="187" spans="1:18" s="99" customFormat="1" ht="108" hidden="1" customHeight="1" x14ac:dyDescent="0.25">
      <c r="A187" s="88" t="s">
        <v>77</v>
      </c>
      <c r="B187" s="88" t="s">
        <v>493</v>
      </c>
      <c r="C187" s="90">
        <v>46170</v>
      </c>
      <c r="D187" s="90">
        <v>46178</v>
      </c>
      <c r="E187" s="88" t="s">
        <v>223</v>
      </c>
      <c r="F187" s="88" t="str">
        <f ca="1">IF(D187="",TODAY()-C187,"-")</f>
        <v>-</v>
      </c>
      <c r="G187" s="90"/>
      <c r="H187" s="91" t="s">
        <v>657</v>
      </c>
      <c r="I187" s="88" t="s">
        <v>25</v>
      </c>
      <c r="J187" s="88" t="s">
        <v>75</v>
      </c>
      <c r="K187" s="91" t="s">
        <v>658</v>
      </c>
      <c r="L187" s="110"/>
      <c r="M187" s="101"/>
      <c r="N187" s="96"/>
      <c r="O187" s="93"/>
      <c r="P187" s="93"/>
      <c r="Q187" s="96"/>
      <c r="R187" s="96"/>
    </row>
    <row r="188" spans="1:18" s="99" customFormat="1" ht="41.45" hidden="1" customHeight="1" x14ac:dyDescent="0.25">
      <c r="A188" s="88" t="s">
        <v>78</v>
      </c>
      <c r="B188" s="88" t="s">
        <v>659</v>
      </c>
      <c r="C188" s="90">
        <v>46167</v>
      </c>
      <c r="D188" s="90">
        <v>46181</v>
      </c>
      <c r="E188" s="88" t="s">
        <v>223</v>
      </c>
      <c r="F188" s="88" t="str">
        <f ca="1">IF(D188="",TODAY()-C188,"-")</f>
        <v>-</v>
      </c>
      <c r="G188" s="90">
        <v>46182</v>
      </c>
      <c r="H188" s="91" t="s">
        <v>550</v>
      </c>
      <c r="I188" s="88" t="s">
        <v>19</v>
      </c>
      <c r="J188" s="88" t="s">
        <v>74</v>
      </c>
      <c r="K188" s="91" t="s">
        <v>660</v>
      </c>
      <c r="L188" s="110">
        <v>1</v>
      </c>
      <c r="M188" s="101"/>
      <c r="N188" s="96"/>
      <c r="O188" s="93"/>
      <c r="P188" s="93"/>
      <c r="Q188" s="96"/>
      <c r="R188" s="96"/>
    </row>
    <row r="189" spans="1:18" s="99" customFormat="1" ht="25.9" hidden="1" customHeight="1" x14ac:dyDescent="0.25">
      <c r="A189" s="88" t="s">
        <v>79</v>
      </c>
      <c r="B189" s="88" t="s">
        <v>661</v>
      </c>
      <c r="C189" s="90">
        <v>46170</v>
      </c>
      <c r="D189" s="90">
        <v>46193</v>
      </c>
      <c r="E189" s="88" t="s">
        <v>223</v>
      </c>
      <c r="F189" s="88" t="str">
        <f ca="1">IF(D189="",TODAY()-C189,"-")</f>
        <v>-</v>
      </c>
      <c r="G189" s="90">
        <v>46195</v>
      </c>
      <c r="H189" s="91" t="s">
        <v>662</v>
      </c>
      <c r="I189" s="88" t="s">
        <v>27</v>
      </c>
      <c r="J189" s="88" t="s">
        <v>74</v>
      </c>
      <c r="K189" s="91" t="s">
        <v>663</v>
      </c>
      <c r="L189" s="110">
        <v>1</v>
      </c>
      <c r="M189" s="101"/>
      <c r="N189" s="96"/>
      <c r="O189" s="93"/>
      <c r="P189" s="93"/>
      <c r="Q189" s="96"/>
      <c r="R189" s="96"/>
    </row>
    <row r="190" spans="1:18" s="99" customFormat="1" ht="63" hidden="1" customHeight="1" x14ac:dyDescent="0.25">
      <c r="A190" s="88" t="s">
        <v>77</v>
      </c>
      <c r="B190" s="88" t="s">
        <v>247</v>
      </c>
      <c r="C190" s="90">
        <v>46176</v>
      </c>
      <c r="D190" s="90">
        <v>46196</v>
      </c>
      <c r="E190" s="88" t="s">
        <v>223</v>
      </c>
      <c r="F190" s="88" t="str">
        <f ca="1">IF(D190="",TODAY()-C190,"-")</f>
        <v>-</v>
      </c>
      <c r="G190" s="90">
        <v>46196</v>
      </c>
      <c r="H190" s="91" t="s">
        <v>664</v>
      </c>
      <c r="I190" s="88" t="s">
        <v>16</v>
      </c>
      <c r="J190" s="88" t="s">
        <v>74</v>
      </c>
      <c r="K190" s="91" t="s">
        <v>665</v>
      </c>
      <c r="L190" s="110">
        <v>1</v>
      </c>
      <c r="M190" s="101"/>
      <c r="N190" s="96"/>
      <c r="O190" s="93"/>
      <c r="P190" s="93"/>
      <c r="Q190" s="96"/>
      <c r="R190" s="96"/>
    </row>
    <row r="191" spans="1:18" s="99" customFormat="1" ht="58.15" hidden="1" customHeight="1" x14ac:dyDescent="0.25">
      <c r="A191" s="88" t="s">
        <v>78</v>
      </c>
      <c r="B191" s="88" t="s">
        <v>666</v>
      </c>
      <c r="C191" s="90">
        <v>46192</v>
      </c>
      <c r="D191" s="90">
        <v>46204</v>
      </c>
      <c r="E191" s="88" t="s">
        <v>223</v>
      </c>
      <c r="F191" s="88" t="str">
        <f ca="1">IF(D191="",TODAY()-C191,"-")</f>
        <v>-</v>
      </c>
      <c r="G191" s="90">
        <v>46204</v>
      </c>
      <c r="H191" s="91" t="s">
        <v>667</v>
      </c>
      <c r="I191" s="88" t="s">
        <v>16</v>
      </c>
      <c r="J191" s="88" t="s">
        <v>75</v>
      </c>
      <c r="K191" s="93" t="s">
        <v>668</v>
      </c>
      <c r="L191" s="110"/>
      <c r="M191" s="101"/>
      <c r="N191" s="96"/>
      <c r="O191" s="93"/>
      <c r="P191" s="93"/>
      <c r="Q191" s="96"/>
      <c r="R191" s="96"/>
    </row>
    <row r="192" spans="1:18" s="99" customFormat="1" ht="33" hidden="1" customHeight="1" x14ac:dyDescent="0.25">
      <c r="A192" s="88" t="s">
        <v>79</v>
      </c>
      <c r="B192" s="88" t="s">
        <v>669</v>
      </c>
      <c r="C192" s="90">
        <v>46204</v>
      </c>
      <c r="D192" s="90">
        <v>46205</v>
      </c>
      <c r="E192" s="88" t="s">
        <v>223</v>
      </c>
      <c r="F192" s="88" t="str">
        <f ca="1">IF(D192="",TODAY()-C192,"-")</f>
        <v>-</v>
      </c>
      <c r="G192" s="90"/>
      <c r="H192" s="91" t="s">
        <v>670</v>
      </c>
      <c r="I192" s="88" t="s">
        <v>25</v>
      </c>
      <c r="J192" s="88" t="s">
        <v>225</v>
      </c>
      <c r="K192" s="93" t="s">
        <v>671</v>
      </c>
      <c r="L192" s="110"/>
      <c r="M192" s="101"/>
      <c r="N192" s="96"/>
      <c r="O192" s="93"/>
      <c r="P192" s="93"/>
      <c r="Q192" s="96"/>
      <c r="R192" s="96"/>
    </row>
    <row r="193" spans="1:18" s="99" customFormat="1" ht="37.15" hidden="1" customHeight="1" x14ac:dyDescent="0.25">
      <c r="A193" s="88" t="s">
        <v>77</v>
      </c>
      <c r="B193" s="88" t="s">
        <v>311</v>
      </c>
      <c r="C193" s="90">
        <v>46177</v>
      </c>
      <c r="D193" s="90">
        <v>46207</v>
      </c>
      <c r="E193" s="88" t="s">
        <v>223</v>
      </c>
      <c r="F193" s="88" t="str">
        <f ca="1">IF(D193="",TODAY()-C193,"-")</f>
        <v>-</v>
      </c>
      <c r="G193" s="90">
        <v>46209</v>
      </c>
      <c r="H193" s="91" t="s">
        <v>657</v>
      </c>
      <c r="I193" s="88" t="s">
        <v>25</v>
      </c>
      <c r="J193" s="88" t="s">
        <v>75</v>
      </c>
      <c r="K193" s="91" t="s">
        <v>672</v>
      </c>
      <c r="L193" s="110">
        <v>0.78</v>
      </c>
      <c r="M193" s="101"/>
      <c r="N193" s="96"/>
      <c r="O193" s="93"/>
      <c r="P193" s="93"/>
      <c r="Q193" s="96"/>
      <c r="R193" s="96"/>
    </row>
    <row r="194" spans="1:18" s="99" customFormat="1" ht="68.45" hidden="1" customHeight="1" x14ac:dyDescent="0.25">
      <c r="A194" s="88" t="s">
        <v>78</v>
      </c>
      <c r="B194" s="88" t="s">
        <v>488</v>
      </c>
      <c r="C194" s="90">
        <v>46202</v>
      </c>
      <c r="D194" s="90">
        <v>46210</v>
      </c>
      <c r="E194" s="88" t="s">
        <v>223</v>
      </c>
      <c r="F194" s="88" t="str">
        <f ca="1">IF(D194="",TODAY()-C194,"-")</f>
        <v>-</v>
      </c>
      <c r="G194" s="90"/>
      <c r="H194" s="91" t="s">
        <v>673</v>
      </c>
      <c r="I194" s="88" t="s">
        <v>27</v>
      </c>
      <c r="J194" s="88" t="s">
        <v>75</v>
      </c>
      <c r="K194" s="93" t="s">
        <v>674</v>
      </c>
      <c r="L194" s="110">
        <v>1</v>
      </c>
      <c r="M194" s="101"/>
      <c r="N194" s="96"/>
      <c r="O194" s="93"/>
      <c r="P194" s="93"/>
      <c r="Q194" s="96"/>
      <c r="R194" s="96"/>
    </row>
    <row r="195" spans="1:18" s="99" customFormat="1" ht="33" hidden="1" customHeight="1" x14ac:dyDescent="0.25">
      <c r="A195" s="88" t="s">
        <v>77</v>
      </c>
      <c r="B195" s="88" t="s">
        <v>675</v>
      </c>
      <c r="C195" s="90">
        <v>46211</v>
      </c>
      <c r="D195" s="90">
        <v>46216</v>
      </c>
      <c r="E195" s="88" t="s">
        <v>223</v>
      </c>
      <c r="F195" s="88" t="str">
        <f ca="1">IF(D195="",TODAY()-C195,"-")</f>
        <v>-</v>
      </c>
      <c r="G195" s="90"/>
      <c r="H195" s="91" t="s">
        <v>673</v>
      </c>
      <c r="I195" s="88" t="s">
        <v>27</v>
      </c>
      <c r="J195" s="88" t="s">
        <v>676</v>
      </c>
      <c r="K195" s="93" t="s">
        <v>677</v>
      </c>
      <c r="L195" s="110">
        <v>1</v>
      </c>
      <c r="M195" s="101"/>
      <c r="N195" s="96"/>
      <c r="O195" s="93"/>
      <c r="P195" s="93"/>
      <c r="Q195" s="96"/>
      <c r="R195" s="96"/>
    </row>
    <row r="196" spans="1:18" s="99" customFormat="1" ht="55.15" hidden="1" customHeight="1" x14ac:dyDescent="0.25">
      <c r="A196" s="88" t="s">
        <v>78</v>
      </c>
      <c r="B196" s="88" t="s">
        <v>376</v>
      </c>
      <c r="C196" s="90">
        <v>46215</v>
      </c>
      <c r="D196" s="90">
        <v>46219</v>
      </c>
      <c r="E196" s="88" t="s">
        <v>223</v>
      </c>
      <c r="F196" s="88" t="str">
        <f ca="1">IF(D196="",TODAY()-C196,"-")</f>
        <v>-</v>
      </c>
      <c r="G196" s="90"/>
      <c r="H196" s="91" t="s">
        <v>678</v>
      </c>
      <c r="I196" s="88" t="s">
        <v>19</v>
      </c>
      <c r="J196" s="88" t="s">
        <v>75</v>
      </c>
      <c r="K196" s="91" t="s">
        <v>679</v>
      </c>
      <c r="L196" s="110"/>
      <c r="M196" s="101"/>
      <c r="N196" s="96"/>
      <c r="O196" s="93"/>
      <c r="P196" s="93"/>
      <c r="Q196" s="96"/>
      <c r="R196" s="96"/>
    </row>
    <row r="197" spans="1:18" s="99" customFormat="1" ht="19.899999999999999" hidden="1" customHeight="1" x14ac:dyDescent="0.25">
      <c r="A197" s="88" t="s">
        <v>77</v>
      </c>
      <c r="B197" s="88" t="s">
        <v>680</v>
      </c>
      <c r="C197" s="90">
        <v>46206</v>
      </c>
      <c r="D197" s="90">
        <v>46220</v>
      </c>
      <c r="E197" s="88" t="s">
        <v>223</v>
      </c>
      <c r="F197" s="88" t="str">
        <f ca="1">IF(D197="",TODAY()-C197,"-")</f>
        <v>-</v>
      </c>
      <c r="G197" s="90">
        <v>46219</v>
      </c>
      <c r="H197" s="91" t="s">
        <v>681</v>
      </c>
      <c r="I197" s="88" t="s">
        <v>16</v>
      </c>
      <c r="J197" s="88" t="s">
        <v>75</v>
      </c>
      <c r="K197" s="91" t="s">
        <v>682</v>
      </c>
      <c r="L197" s="110"/>
      <c r="M197" s="101"/>
      <c r="N197" s="96"/>
      <c r="O197" s="93"/>
      <c r="P197" s="93"/>
      <c r="Q197" s="96"/>
      <c r="R197" s="96"/>
    </row>
    <row r="198" spans="1:18" s="99" customFormat="1" ht="85.9" hidden="1" customHeight="1" x14ac:dyDescent="0.25">
      <c r="A198" s="88" t="s">
        <v>77</v>
      </c>
      <c r="B198" s="88" t="s">
        <v>683</v>
      </c>
      <c r="C198" s="90">
        <v>46183</v>
      </c>
      <c r="D198" s="90">
        <v>46224</v>
      </c>
      <c r="E198" s="88" t="s">
        <v>223</v>
      </c>
      <c r="F198" s="88" t="str">
        <f ca="1">IF(D198="",TODAY()-C198,"-")</f>
        <v>-</v>
      </c>
      <c r="G198" s="90">
        <v>46224</v>
      </c>
      <c r="H198" s="91" t="s">
        <v>667</v>
      </c>
      <c r="I198" s="88" t="s">
        <v>16</v>
      </c>
      <c r="J198" s="88" t="s">
        <v>684</v>
      </c>
      <c r="K198" s="91" t="s">
        <v>685</v>
      </c>
      <c r="L198" s="110">
        <v>1</v>
      </c>
      <c r="M198" s="101"/>
      <c r="N198" s="96"/>
      <c r="O198" s="93"/>
      <c r="P198" s="93"/>
      <c r="Q198" s="96"/>
      <c r="R198" s="96"/>
    </row>
    <row r="199" spans="1:18" s="99" customFormat="1" ht="44.45" hidden="1" customHeight="1" x14ac:dyDescent="0.25">
      <c r="A199" s="88" t="s">
        <v>78</v>
      </c>
      <c r="B199" s="88" t="s">
        <v>686</v>
      </c>
      <c r="C199" s="90">
        <v>46210</v>
      </c>
      <c r="D199" s="90">
        <v>46225</v>
      </c>
      <c r="E199" s="88" t="s">
        <v>223</v>
      </c>
      <c r="F199" s="88" t="str">
        <f ca="1">IF(D199="",TODAY()-C199,"-")</f>
        <v>-</v>
      </c>
      <c r="G199" s="90">
        <v>46224</v>
      </c>
      <c r="H199" s="91" t="s">
        <v>687</v>
      </c>
      <c r="I199" s="88" t="s">
        <v>16</v>
      </c>
      <c r="J199" s="88" t="s">
        <v>75</v>
      </c>
      <c r="K199" s="91" t="s">
        <v>688</v>
      </c>
      <c r="L199" s="110"/>
      <c r="M199" s="101"/>
      <c r="N199" s="96"/>
      <c r="O199" s="93"/>
      <c r="P199" s="93"/>
      <c r="Q199" s="96"/>
      <c r="R199" s="96"/>
    </row>
    <row r="200" spans="1:18" s="99" customFormat="1" ht="108" hidden="1" customHeight="1" x14ac:dyDescent="0.25">
      <c r="A200" s="88" t="s">
        <v>44</v>
      </c>
      <c r="B200" s="88" t="s">
        <v>303</v>
      </c>
      <c r="C200" s="90">
        <v>46223</v>
      </c>
      <c r="D200" s="90">
        <v>46227</v>
      </c>
      <c r="E200" s="88" t="s">
        <v>223</v>
      </c>
      <c r="F200" s="88" t="str">
        <f ca="1">IF(D200="",TODAY()-C200,"-")</f>
        <v>-</v>
      </c>
      <c r="G200" s="90"/>
      <c r="H200" s="91" t="s">
        <v>678</v>
      </c>
      <c r="I200" s="88" t="s">
        <v>19</v>
      </c>
      <c r="J200" s="88" t="s">
        <v>75</v>
      </c>
      <c r="K200" s="91" t="s">
        <v>689</v>
      </c>
      <c r="L200" s="110"/>
      <c r="M200" s="101"/>
      <c r="N200" s="96"/>
      <c r="O200" s="93"/>
      <c r="P200" s="93"/>
      <c r="Q200" s="96"/>
      <c r="R200" s="96"/>
    </row>
    <row r="201" spans="1:18" s="99" customFormat="1" ht="123" hidden="1" customHeight="1" x14ac:dyDescent="0.25">
      <c r="A201" s="88" t="s">
        <v>78</v>
      </c>
      <c r="B201" s="88" t="s">
        <v>376</v>
      </c>
      <c r="C201" s="90">
        <v>46223</v>
      </c>
      <c r="D201" s="90">
        <v>46228</v>
      </c>
      <c r="E201" s="88" t="s">
        <v>223</v>
      </c>
      <c r="F201" s="88" t="str">
        <f ca="1">IF(D201="",TODAY()-C201,"-")</f>
        <v>-</v>
      </c>
      <c r="G201" s="90"/>
      <c r="H201" s="91" t="s">
        <v>678</v>
      </c>
      <c r="I201" s="88" t="s">
        <v>19</v>
      </c>
      <c r="J201" s="88" t="s">
        <v>75</v>
      </c>
      <c r="K201" s="91" t="s">
        <v>689</v>
      </c>
      <c r="L201" s="110"/>
      <c r="M201" s="101"/>
      <c r="N201" s="96"/>
      <c r="O201" s="93"/>
      <c r="P201" s="93"/>
      <c r="Q201" s="96"/>
      <c r="R201" s="96"/>
    </row>
    <row r="202" spans="1:18" s="99" customFormat="1" ht="76.150000000000006" hidden="1" customHeight="1" x14ac:dyDescent="0.25">
      <c r="A202" s="88" t="s">
        <v>79</v>
      </c>
      <c r="B202" s="88" t="s">
        <v>690</v>
      </c>
      <c r="C202" s="90">
        <v>46218</v>
      </c>
      <c r="D202" s="90">
        <v>46230</v>
      </c>
      <c r="E202" s="88" t="s">
        <v>223</v>
      </c>
      <c r="F202" s="88" t="str">
        <f ca="1">IF(D202="",TODAY()-C202,"-")</f>
        <v>-</v>
      </c>
      <c r="G202" s="90">
        <v>46232</v>
      </c>
      <c r="H202" s="91" t="s">
        <v>687</v>
      </c>
      <c r="I202" s="88" t="s">
        <v>16</v>
      </c>
      <c r="J202" s="88" t="s">
        <v>75</v>
      </c>
      <c r="K202" s="91" t="s">
        <v>691</v>
      </c>
      <c r="L202" s="110"/>
      <c r="M202" s="101"/>
      <c r="N202" s="96"/>
      <c r="O202" s="93"/>
      <c r="P202" s="93"/>
      <c r="Q202" s="96"/>
      <c r="R202" s="96"/>
    </row>
    <row r="203" spans="1:18" s="99" customFormat="1" ht="32.450000000000003" hidden="1" customHeight="1" x14ac:dyDescent="0.25">
      <c r="A203" s="88" t="s">
        <v>79</v>
      </c>
      <c r="B203" s="88" t="s">
        <v>375</v>
      </c>
      <c r="C203" s="90">
        <v>46232</v>
      </c>
      <c r="D203" s="90">
        <v>46238</v>
      </c>
      <c r="E203" s="88" t="s">
        <v>223</v>
      </c>
      <c r="F203" s="88" t="str">
        <f ca="1">IF(D203="",TODAY()-C203,"-")</f>
        <v>-</v>
      </c>
      <c r="G203" s="90"/>
      <c r="H203" s="91" t="s">
        <v>692</v>
      </c>
      <c r="I203" s="88" t="s">
        <v>16</v>
      </c>
      <c r="J203" s="88" t="s">
        <v>75</v>
      </c>
      <c r="K203" s="91" t="s">
        <v>693</v>
      </c>
      <c r="L203" s="110"/>
      <c r="M203" s="101"/>
      <c r="N203" s="159"/>
      <c r="O203" s="161"/>
      <c r="P203" s="161"/>
      <c r="Q203" s="159"/>
      <c r="R203" s="159"/>
    </row>
    <row r="204" spans="1:18" s="99" customFormat="1" ht="28.9" hidden="1" x14ac:dyDescent="0.25">
      <c r="A204" s="88" t="s">
        <v>78</v>
      </c>
      <c r="B204" s="88" t="s">
        <v>666</v>
      </c>
      <c r="C204" s="90">
        <v>46230</v>
      </c>
      <c r="D204" s="90">
        <v>46242</v>
      </c>
      <c r="E204" s="88" t="s">
        <v>223</v>
      </c>
      <c r="F204" s="88" t="str">
        <f ca="1">IF(D204="",TODAY()-C204,"-")</f>
        <v>-</v>
      </c>
      <c r="G204" s="90"/>
      <c r="H204" s="91" t="s">
        <v>678</v>
      </c>
      <c r="I204" s="88" t="s">
        <v>19</v>
      </c>
      <c r="J204" s="88" t="s">
        <v>75</v>
      </c>
      <c r="K204" s="91" t="s">
        <v>694</v>
      </c>
      <c r="L204" s="110"/>
      <c r="M204" s="101"/>
      <c r="N204" s="159"/>
      <c r="O204" s="161"/>
      <c r="P204" s="161"/>
      <c r="Q204" s="159"/>
      <c r="R204" s="159"/>
    </row>
    <row r="205" spans="1:18" s="99" customFormat="1" ht="28.9" hidden="1" x14ac:dyDescent="0.25">
      <c r="A205" s="88" t="s">
        <v>77</v>
      </c>
      <c r="B205" s="88" t="s">
        <v>493</v>
      </c>
      <c r="C205" s="90">
        <v>46235</v>
      </c>
      <c r="D205" s="90">
        <v>46242</v>
      </c>
      <c r="E205" s="88" t="s">
        <v>223</v>
      </c>
      <c r="F205" s="88" t="str">
        <f ca="1">IF(D205="",TODAY()-C205,"-")</f>
        <v>-</v>
      </c>
      <c r="G205" s="90"/>
      <c r="H205" s="91" t="s">
        <v>695</v>
      </c>
      <c r="I205" s="88" t="s">
        <v>25</v>
      </c>
      <c r="J205" s="88" t="s">
        <v>75</v>
      </c>
      <c r="K205" s="91" t="s">
        <v>696</v>
      </c>
      <c r="L205" s="110"/>
      <c r="M205" s="101"/>
      <c r="N205" s="159"/>
      <c r="O205" s="161"/>
      <c r="P205" s="161"/>
      <c r="Q205" s="159"/>
      <c r="R205" s="159"/>
    </row>
    <row r="206" spans="1:18" s="99" customFormat="1" ht="14.45" hidden="1" x14ac:dyDescent="0.25">
      <c r="A206" s="88" t="s">
        <v>77</v>
      </c>
      <c r="B206" s="88" t="s">
        <v>697</v>
      </c>
      <c r="C206" s="90">
        <v>46234</v>
      </c>
      <c r="D206" s="90">
        <v>46245</v>
      </c>
      <c r="E206" s="88" t="s">
        <v>223</v>
      </c>
      <c r="F206" s="88" t="str">
        <f ca="1">IF(D206="",TODAY()-C206,"-")</f>
        <v>-</v>
      </c>
      <c r="G206" s="90">
        <v>46247</v>
      </c>
      <c r="H206" s="91" t="s">
        <v>641</v>
      </c>
      <c r="I206" s="88" t="s">
        <v>16</v>
      </c>
      <c r="J206" s="88" t="s">
        <v>75</v>
      </c>
      <c r="K206" s="91" t="s">
        <v>698</v>
      </c>
      <c r="L206" s="110"/>
      <c r="M206" s="101"/>
      <c r="N206" s="159"/>
      <c r="O206" s="161"/>
      <c r="P206" s="161"/>
      <c r="Q206" s="159"/>
      <c r="R206" s="159"/>
    </row>
    <row r="207" spans="1:18" s="99" customFormat="1" ht="86.45" hidden="1" x14ac:dyDescent="0.25">
      <c r="A207" s="88" t="s">
        <v>77</v>
      </c>
      <c r="B207" s="88" t="s">
        <v>311</v>
      </c>
      <c r="C207" s="90">
        <v>46218</v>
      </c>
      <c r="D207" s="90">
        <v>46248</v>
      </c>
      <c r="E207" s="88" t="s">
        <v>223</v>
      </c>
      <c r="F207" s="88" t="str">
        <f ca="1">IF(D207="",TODAY()-C207,"-")</f>
        <v>-</v>
      </c>
      <c r="G207" s="90">
        <v>46248</v>
      </c>
      <c r="H207" s="91" t="s">
        <v>699</v>
      </c>
      <c r="I207" s="88" t="s">
        <v>25</v>
      </c>
      <c r="J207" s="88" t="s">
        <v>74</v>
      </c>
      <c r="K207" s="91" t="s">
        <v>700</v>
      </c>
      <c r="L207" s="110">
        <v>1</v>
      </c>
      <c r="M207" s="101"/>
      <c r="N207" s="96"/>
      <c r="O207" s="93"/>
      <c r="P207" s="93"/>
      <c r="Q207" s="96"/>
      <c r="R207" s="96"/>
    </row>
    <row r="208" spans="1:18" s="99" customFormat="1" ht="43.15" hidden="1" x14ac:dyDescent="0.25">
      <c r="A208" s="88" t="s">
        <v>44</v>
      </c>
      <c r="B208" s="88" t="s">
        <v>701</v>
      </c>
      <c r="C208" s="90">
        <v>46231</v>
      </c>
      <c r="D208" s="90">
        <v>46248</v>
      </c>
      <c r="E208" s="88" t="s">
        <v>223</v>
      </c>
      <c r="F208" s="88" t="str">
        <f ca="1">IF(D208="",TODAY()-C208,"-")</f>
        <v>-</v>
      </c>
      <c r="G208" s="90"/>
      <c r="H208" s="91" t="s">
        <v>678</v>
      </c>
      <c r="I208" s="88" t="s">
        <v>19</v>
      </c>
      <c r="J208" s="88" t="s">
        <v>75</v>
      </c>
      <c r="K208" s="91" t="s">
        <v>702</v>
      </c>
      <c r="L208" s="110"/>
      <c r="M208" s="101"/>
      <c r="N208" s="159"/>
      <c r="O208" s="161"/>
      <c r="P208" s="161"/>
      <c r="Q208" s="159"/>
      <c r="R208" s="159"/>
    </row>
    <row r="209" spans="1:18" s="99" customFormat="1" ht="227.45" hidden="1" customHeight="1" x14ac:dyDescent="0.25">
      <c r="A209" s="88" t="s">
        <v>77</v>
      </c>
      <c r="B209" s="88" t="s">
        <v>703</v>
      </c>
      <c r="C209" s="90">
        <v>46212</v>
      </c>
      <c r="D209" s="88"/>
      <c r="E209" s="88" t="s">
        <v>63</v>
      </c>
      <c r="F209" s="88">
        <f ca="1">IF(D209="",TODAY()-C209,"-")</f>
        <v>78</v>
      </c>
      <c r="G209" s="90"/>
      <c r="H209" s="91" t="s">
        <v>704</v>
      </c>
      <c r="I209" s="88" t="s">
        <v>21</v>
      </c>
      <c r="J209" s="88" t="s">
        <v>74</v>
      </c>
      <c r="K209" s="91" t="s">
        <v>892</v>
      </c>
      <c r="L209" s="110"/>
      <c r="M209" s="101"/>
      <c r="N209" s="96"/>
      <c r="O209" s="93"/>
      <c r="P209" s="93"/>
      <c r="Q209" s="96"/>
      <c r="R209" s="96"/>
    </row>
    <row r="210" spans="1:18" s="99" customFormat="1" ht="82.15" hidden="1" customHeight="1" x14ac:dyDescent="0.25">
      <c r="A210" s="88" t="s">
        <v>78</v>
      </c>
      <c r="B210" s="88" t="s">
        <v>488</v>
      </c>
      <c r="C210" s="90">
        <v>46246</v>
      </c>
      <c r="D210" s="90">
        <v>46250</v>
      </c>
      <c r="E210" s="88" t="s">
        <v>223</v>
      </c>
      <c r="F210" s="88" t="str">
        <f ca="1">IF(D210="",TODAY()-C210,"-")</f>
        <v>-</v>
      </c>
      <c r="G210" s="90"/>
      <c r="H210" s="91" t="s">
        <v>705</v>
      </c>
      <c r="I210" s="88" t="s">
        <v>25</v>
      </c>
      <c r="J210" s="88" t="s">
        <v>75</v>
      </c>
      <c r="K210" s="91" t="s">
        <v>706</v>
      </c>
      <c r="L210" s="110"/>
      <c r="M210" s="101"/>
      <c r="N210" s="159"/>
      <c r="O210" s="161"/>
      <c r="P210" s="161"/>
      <c r="Q210" s="159"/>
      <c r="R210" s="159"/>
    </row>
    <row r="211" spans="1:18" s="99" customFormat="1" ht="28.9" hidden="1" x14ac:dyDescent="0.25">
      <c r="A211" s="88" t="s">
        <v>77</v>
      </c>
      <c r="B211" s="88" t="s">
        <v>257</v>
      </c>
      <c r="C211" s="90">
        <v>46237</v>
      </c>
      <c r="D211" s="90">
        <v>46251</v>
      </c>
      <c r="E211" s="88" t="s">
        <v>223</v>
      </c>
      <c r="F211" s="88" t="str">
        <f ca="1">IF(D211="",TODAY()-C211,"-")</f>
        <v>-</v>
      </c>
      <c r="G211" s="90">
        <v>46253</v>
      </c>
      <c r="H211" s="91" t="s">
        <v>707</v>
      </c>
      <c r="I211" s="88" t="s">
        <v>16</v>
      </c>
      <c r="J211" s="88" t="s">
        <v>74</v>
      </c>
      <c r="K211" s="91" t="s">
        <v>708</v>
      </c>
      <c r="L211" s="110"/>
      <c r="M211" s="101"/>
      <c r="N211" s="159"/>
      <c r="O211" s="161"/>
      <c r="P211" s="161"/>
      <c r="Q211" s="159"/>
      <c r="R211" s="159"/>
    </row>
    <row r="212" spans="1:18" s="99" customFormat="1" ht="100.15" hidden="1" customHeight="1" x14ac:dyDescent="0.25">
      <c r="A212" s="88" t="s">
        <v>77</v>
      </c>
      <c r="B212" s="88" t="s">
        <v>357</v>
      </c>
      <c r="C212" s="90">
        <v>46214</v>
      </c>
      <c r="D212" s="90">
        <v>46252</v>
      </c>
      <c r="E212" s="88" t="s">
        <v>223</v>
      </c>
      <c r="F212" s="88" t="str">
        <f ca="1">IF(D212="",TODAY()-C212,"-")</f>
        <v>-</v>
      </c>
      <c r="G212" s="90">
        <v>46249</v>
      </c>
      <c r="H212" s="91" t="s">
        <v>709</v>
      </c>
      <c r="I212" s="88" t="s">
        <v>23</v>
      </c>
      <c r="J212" s="88" t="s">
        <v>74</v>
      </c>
      <c r="K212" s="91" t="s">
        <v>710</v>
      </c>
      <c r="L212" s="110">
        <v>1</v>
      </c>
      <c r="M212" s="101"/>
      <c r="N212" s="96"/>
      <c r="O212" s="93"/>
      <c r="P212" s="93"/>
      <c r="Q212" s="96"/>
      <c r="R212" s="96"/>
    </row>
    <row r="213" spans="1:18" s="99" customFormat="1" ht="55.9" hidden="1" customHeight="1" x14ac:dyDescent="0.25">
      <c r="A213" s="88" t="s">
        <v>78</v>
      </c>
      <c r="B213" s="88" t="s">
        <v>625</v>
      </c>
      <c r="C213" s="90">
        <v>46245</v>
      </c>
      <c r="D213" s="90">
        <v>46253</v>
      </c>
      <c r="E213" s="88" t="s">
        <v>223</v>
      </c>
      <c r="F213" s="88" t="str">
        <f ca="1">IF(D213="",TODAY()-C213,"-")</f>
        <v>-</v>
      </c>
      <c r="G213" s="90"/>
      <c r="H213" s="91" t="s">
        <v>711</v>
      </c>
      <c r="I213" s="88" t="s">
        <v>19</v>
      </c>
      <c r="J213" s="88" t="s">
        <v>75</v>
      </c>
      <c r="K213" s="91" t="s">
        <v>712</v>
      </c>
      <c r="L213" s="110"/>
      <c r="M213" s="101"/>
      <c r="N213" s="159"/>
      <c r="O213" s="161"/>
      <c r="P213" s="161"/>
      <c r="Q213" s="159"/>
      <c r="R213" s="159"/>
    </row>
    <row r="214" spans="1:18" s="99" customFormat="1" ht="29.45" hidden="1" customHeight="1" x14ac:dyDescent="0.25">
      <c r="A214" s="88" t="s">
        <v>79</v>
      </c>
      <c r="B214" s="88" t="s">
        <v>713</v>
      </c>
      <c r="C214" s="90">
        <v>46246</v>
      </c>
      <c r="D214" s="90">
        <v>46254</v>
      </c>
      <c r="E214" s="88" t="s">
        <v>223</v>
      </c>
      <c r="F214" s="88" t="str">
        <f ca="1">IF(D214="",TODAY()-C214,"-")</f>
        <v>-</v>
      </c>
      <c r="G214" s="90"/>
      <c r="H214" s="91" t="s">
        <v>714</v>
      </c>
      <c r="I214" s="88" t="s">
        <v>715</v>
      </c>
      <c r="J214" s="88" t="s">
        <v>75</v>
      </c>
      <c r="K214" s="91" t="s">
        <v>716</v>
      </c>
      <c r="L214" s="110"/>
      <c r="M214" s="101"/>
      <c r="N214" s="159"/>
      <c r="O214" s="161"/>
      <c r="P214" s="161"/>
      <c r="Q214" s="159"/>
      <c r="R214" s="159"/>
    </row>
    <row r="215" spans="1:18" s="99" customFormat="1" ht="14.45" hidden="1" x14ac:dyDescent="0.25">
      <c r="A215" s="88" t="s">
        <v>77</v>
      </c>
      <c r="B215" s="88" t="s">
        <v>717</v>
      </c>
      <c r="C215" s="90">
        <v>46241</v>
      </c>
      <c r="D215" s="90">
        <v>46255</v>
      </c>
      <c r="E215" s="88" t="s">
        <v>223</v>
      </c>
      <c r="F215" s="88" t="str">
        <f ca="1">IF(D215="",TODAY()-C215,"-")</f>
        <v>-</v>
      </c>
      <c r="G215" s="90">
        <v>46255</v>
      </c>
      <c r="H215" s="91" t="s">
        <v>718</v>
      </c>
      <c r="I215" s="88" t="s">
        <v>16</v>
      </c>
      <c r="J215" s="88" t="s">
        <v>75</v>
      </c>
      <c r="K215" s="91" t="s">
        <v>719</v>
      </c>
      <c r="L215" s="110"/>
      <c r="M215" s="101"/>
      <c r="N215" s="159"/>
      <c r="O215" s="161"/>
      <c r="P215" s="161"/>
      <c r="Q215" s="159"/>
      <c r="R215" s="159"/>
    </row>
    <row r="216" spans="1:18" ht="54.6" hidden="1" customHeight="1" x14ac:dyDescent="0.25">
      <c r="A216" s="88" t="s">
        <v>77</v>
      </c>
      <c r="B216" s="88" t="s">
        <v>720</v>
      </c>
      <c r="C216" s="90">
        <v>46258</v>
      </c>
      <c r="D216" s="90">
        <v>46262</v>
      </c>
      <c r="E216" s="88" t="s">
        <v>223</v>
      </c>
      <c r="F216" s="88" t="str">
        <f ca="1">IF(D216="",TODAY()-C216,"-")</f>
        <v>-</v>
      </c>
      <c r="G216" s="90">
        <v>46262</v>
      </c>
      <c r="H216" s="91" t="s">
        <v>721</v>
      </c>
      <c r="I216" s="88" t="s">
        <v>16</v>
      </c>
      <c r="J216" s="88" t="s">
        <v>75</v>
      </c>
      <c r="K216" s="91" t="s">
        <v>722</v>
      </c>
      <c r="L216" s="110"/>
      <c r="M216" s="101"/>
    </row>
    <row r="217" spans="1:18" ht="70.150000000000006" hidden="1" customHeight="1" x14ac:dyDescent="0.25">
      <c r="A217" s="88" t="s">
        <v>78</v>
      </c>
      <c r="B217" s="88" t="s">
        <v>392</v>
      </c>
      <c r="C217" s="90">
        <v>46258</v>
      </c>
      <c r="D217" s="90">
        <v>46262</v>
      </c>
      <c r="E217" s="88" t="s">
        <v>223</v>
      </c>
      <c r="F217" s="88" t="str">
        <f ca="1">IF(D217="",TODAY()-C217,"-")</f>
        <v>-</v>
      </c>
      <c r="G217" s="90">
        <v>46262</v>
      </c>
      <c r="H217" s="91" t="s">
        <v>711</v>
      </c>
      <c r="I217" s="88" t="s">
        <v>19</v>
      </c>
      <c r="J217" s="88" t="s">
        <v>75</v>
      </c>
      <c r="K217" s="91" t="s">
        <v>723</v>
      </c>
      <c r="L217" s="110"/>
      <c r="M217" s="101"/>
    </row>
    <row r="218" spans="1:18" ht="90" hidden="1" customHeight="1" x14ac:dyDescent="0.25">
      <c r="A218" s="88" t="s">
        <v>79</v>
      </c>
      <c r="B218" s="88" t="s">
        <v>409</v>
      </c>
      <c r="C218" s="90">
        <v>46230</v>
      </c>
      <c r="D218" s="90">
        <v>46263</v>
      </c>
      <c r="E218" s="88" t="s">
        <v>223</v>
      </c>
      <c r="F218" s="88" t="str">
        <f ca="1">IF(D218="",TODAY()-C218,"-")</f>
        <v>-</v>
      </c>
      <c r="G218" s="90">
        <v>46266</v>
      </c>
      <c r="H218" s="91" t="s">
        <v>524</v>
      </c>
      <c r="I218" s="88" t="s">
        <v>27</v>
      </c>
      <c r="J218" s="88" t="s">
        <v>74</v>
      </c>
      <c r="K218" s="91" t="s">
        <v>724</v>
      </c>
      <c r="L218" s="110">
        <v>0.76</v>
      </c>
      <c r="M218" s="101"/>
    </row>
    <row r="219" spans="1:18" ht="31.15" hidden="1" customHeight="1" x14ac:dyDescent="0.25">
      <c r="A219" s="88" t="s">
        <v>77</v>
      </c>
      <c r="B219" s="88" t="s">
        <v>725</v>
      </c>
      <c r="C219" s="90">
        <v>46259</v>
      </c>
      <c r="D219" s="90">
        <v>46267</v>
      </c>
      <c r="E219" s="88" t="s">
        <v>223</v>
      </c>
      <c r="F219" s="88" t="str">
        <f ca="1">IF(D219="",TODAY()-C219,"-")</f>
        <v>-</v>
      </c>
      <c r="G219" s="90"/>
      <c r="H219" s="91" t="s">
        <v>718</v>
      </c>
      <c r="I219" s="88" t="s">
        <v>16</v>
      </c>
      <c r="J219" s="88" t="s">
        <v>75</v>
      </c>
      <c r="K219" s="91" t="s">
        <v>726</v>
      </c>
      <c r="L219" s="110"/>
      <c r="M219" s="101"/>
    </row>
    <row r="220" spans="1:18" ht="36" hidden="1" customHeight="1" x14ac:dyDescent="0.25">
      <c r="A220" s="88" t="s">
        <v>44</v>
      </c>
      <c r="B220" s="88" t="s">
        <v>742</v>
      </c>
      <c r="C220" s="90">
        <v>46258</v>
      </c>
      <c r="D220" s="90">
        <v>46270</v>
      </c>
      <c r="E220" s="88" t="s">
        <v>223</v>
      </c>
      <c r="F220" s="88" t="str">
        <f ca="1">IF(D220="",TODAY()-C220,"-")</f>
        <v>-</v>
      </c>
      <c r="G220" s="90"/>
      <c r="H220" s="91" t="s">
        <v>711</v>
      </c>
      <c r="I220" s="88" t="s">
        <v>19</v>
      </c>
      <c r="J220" s="88" t="s">
        <v>75</v>
      </c>
      <c r="K220" s="91" t="s">
        <v>723</v>
      </c>
      <c r="L220" s="110"/>
      <c r="M220" s="101"/>
    </row>
    <row r="221" spans="1:18" ht="48.6" hidden="1" customHeight="1" x14ac:dyDescent="0.25">
      <c r="A221" s="88" t="s">
        <v>77</v>
      </c>
      <c r="B221" s="88" t="s">
        <v>680</v>
      </c>
      <c r="C221" s="90">
        <v>46261</v>
      </c>
      <c r="D221" s="90">
        <v>46276</v>
      </c>
      <c r="E221" s="88" t="s">
        <v>223</v>
      </c>
      <c r="F221" s="88" t="str">
        <f ca="1">IF(D221="",TODAY()-C221,"-")</f>
        <v>-</v>
      </c>
      <c r="G221" s="90">
        <v>46276</v>
      </c>
      <c r="H221" s="91" t="s">
        <v>718</v>
      </c>
      <c r="I221" s="88" t="s">
        <v>16</v>
      </c>
      <c r="J221" s="88" t="s">
        <v>75</v>
      </c>
      <c r="K221" s="91" t="s">
        <v>745</v>
      </c>
      <c r="L221" s="110"/>
      <c r="M221" s="101"/>
    </row>
    <row r="222" spans="1:18" ht="36" hidden="1" customHeight="1" x14ac:dyDescent="0.25">
      <c r="A222" s="88" t="s">
        <v>44</v>
      </c>
      <c r="B222" s="88" t="s">
        <v>747</v>
      </c>
      <c r="C222" s="90">
        <v>46273</v>
      </c>
      <c r="D222" s="90">
        <v>46285</v>
      </c>
      <c r="E222" s="88" t="s">
        <v>223</v>
      </c>
      <c r="F222" s="88" t="str">
        <f ca="1">IF(D222="",TODAY()-C222,"-")</f>
        <v>-</v>
      </c>
      <c r="G222" s="90"/>
      <c r="H222" s="91" t="s">
        <v>711</v>
      </c>
      <c r="I222" s="88" t="s">
        <v>19</v>
      </c>
      <c r="J222" s="88" t="s">
        <v>75</v>
      </c>
      <c r="K222" s="91" t="s">
        <v>748</v>
      </c>
      <c r="L222" s="110"/>
      <c r="M222" s="101"/>
    </row>
    <row r="223" spans="1:18" ht="32.450000000000003" hidden="1" customHeight="1" x14ac:dyDescent="0.25">
      <c r="A223" s="88" t="s">
        <v>78</v>
      </c>
      <c r="B223" s="88" t="s">
        <v>746</v>
      </c>
      <c r="C223" s="90">
        <v>46273</v>
      </c>
      <c r="D223" s="90">
        <v>46287</v>
      </c>
      <c r="E223" s="88" t="s">
        <v>223</v>
      </c>
      <c r="F223" s="88" t="str">
        <f ca="1">IF(D223="",TODAY()-C223,"-")</f>
        <v>-</v>
      </c>
      <c r="G223" s="90">
        <v>46286</v>
      </c>
      <c r="H223" s="91" t="s">
        <v>718</v>
      </c>
      <c r="I223" s="88" t="s">
        <v>16</v>
      </c>
      <c r="J223" s="88" t="s">
        <v>75</v>
      </c>
      <c r="K223" s="91" t="s">
        <v>889</v>
      </c>
      <c r="L223" s="110"/>
      <c r="M223" s="101"/>
    </row>
    <row r="224" spans="1:18" ht="45" hidden="1" customHeight="1" x14ac:dyDescent="0.25">
      <c r="A224" s="88" t="s">
        <v>77</v>
      </c>
      <c r="B224" s="88" t="s">
        <v>727</v>
      </c>
      <c r="C224" s="90">
        <v>45821</v>
      </c>
      <c r="D224" s="88" t="s">
        <v>728</v>
      </c>
      <c r="E224" s="88" t="s">
        <v>223</v>
      </c>
      <c r="F224" s="88" t="str">
        <f ca="1">IF(D224="",TODAY()-C224,"-")</f>
        <v>-</v>
      </c>
      <c r="G224" s="90">
        <v>45856</v>
      </c>
      <c r="H224" s="91" t="s">
        <v>400</v>
      </c>
      <c r="I224" s="88" t="s">
        <v>21</v>
      </c>
      <c r="J224" s="88" t="s">
        <v>75</v>
      </c>
      <c r="K224" s="93" t="s">
        <v>401</v>
      </c>
      <c r="L224" s="110">
        <v>1</v>
      </c>
      <c r="M224" s="101" t="s">
        <v>10</v>
      </c>
      <c r="N224" s="99"/>
      <c r="O224" s="102" t="s">
        <v>10</v>
      </c>
      <c r="P224" s="102">
        <f>IF(O224="Invenergy",IF(F224="-",(D224-C224)*24,F224*24),0)</f>
        <v>0</v>
      </c>
      <c r="Q224" s="99">
        <v>0</v>
      </c>
      <c r="R224" s="99">
        <f>(C224-$R$3)/7</f>
        <v>75.571428571428569</v>
      </c>
    </row>
    <row r="225" spans="1:18" ht="55.9" hidden="1" customHeight="1" x14ac:dyDescent="0.25">
      <c r="A225" s="88" t="s">
        <v>77</v>
      </c>
      <c r="B225" s="88" t="s">
        <v>493</v>
      </c>
      <c r="C225" s="90">
        <v>46185</v>
      </c>
      <c r="D225" s="88" t="s">
        <v>729</v>
      </c>
      <c r="E225" s="88" t="s">
        <v>223</v>
      </c>
      <c r="F225" s="88" t="str">
        <f ca="1">IF(D225="",TODAY()-C225,"-")</f>
        <v>-</v>
      </c>
      <c r="G225" s="90">
        <v>46200</v>
      </c>
      <c r="H225" s="91" t="s">
        <v>667</v>
      </c>
      <c r="I225" s="88" t="s">
        <v>16</v>
      </c>
      <c r="J225" s="88" t="s">
        <v>75</v>
      </c>
      <c r="K225" s="91" t="s">
        <v>730</v>
      </c>
      <c r="L225" s="110" t="s">
        <v>731</v>
      </c>
      <c r="M225" s="101"/>
      <c r="N225" s="99"/>
      <c r="O225" s="102"/>
      <c r="P225" s="102"/>
      <c r="Q225" s="99"/>
      <c r="R225" s="99"/>
    </row>
    <row r="226" spans="1:18" ht="39" hidden="1" customHeight="1" x14ac:dyDescent="0.25">
      <c r="A226" s="88" t="s">
        <v>77</v>
      </c>
      <c r="B226" s="88" t="s">
        <v>540</v>
      </c>
      <c r="C226" s="90">
        <v>45691</v>
      </c>
      <c r="D226" s="90" t="s">
        <v>732</v>
      </c>
      <c r="E226" s="88" t="s">
        <v>223</v>
      </c>
      <c r="F226" s="88" t="str">
        <f ca="1">IF(D226="",TODAY()-C226,"-")</f>
        <v>-</v>
      </c>
      <c r="G226" s="88"/>
      <c r="H226" s="91" t="s">
        <v>733</v>
      </c>
      <c r="I226" s="105" t="s">
        <v>21</v>
      </c>
      <c r="J226" s="105" t="s">
        <v>75</v>
      </c>
      <c r="K226" s="91" t="s">
        <v>734</v>
      </c>
      <c r="L226" s="103"/>
      <c r="M226" s="101" t="s">
        <v>10</v>
      </c>
      <c r="N226" s="99"/>
      <c r="O226" s="102" t="s">
        <v>10</v>
      </c>
      <c r="P226" s="160">
        <f>IF(O226="Invenergy",IF(F226="-",(D226-C226)*24,F226*24),0)</f>
        <v>0</v>
      </c>
      <c r="Q226" s="162">
        <f ca="1">P226/VLOOKUP(A226,'YTD Hours'!$A$2:$D$5,4,0)</f>
        <v>0</v>
      </c>
      <c r="R226" s="99">
        <f>(C226-$R$3)/7</f>
        <v>57</v>
      </c>
    </row>
    <row r="227" spans="1:18" ht="14.45" hidden="1" x14ac:dyDescent="0.25">
      <c r="A227" s="88" t="s">
        <v>77</v>
      </c>
      <c r="B227" s="88" t="s">
        <v>735</v>
      </c>
      <c r="C227" s="90">
        <v>45691</v>
      </c>
      <c r="D227" s="90" t="s">
        <v>732</v>
      </c>
      <c r="E227" s="88" t="s">
        <v>223</v>
      </c>
      <c r="F227" s="88" t="str">
        <f ca="1">IF(D227="",TODAY()-C227,"-")</f>
        <v>-</v>
      </c>
      <c r="G227" s="88"/>
      <c r="H227" s="91" t="s">
        <v>733</v>
      </c>
      <c r="I227" s="105" t="s">
        <v>21</v>
      </c>
      <c r="J227" s="105" t="s">
        <v>75</v>
      </c>
      <c r="K227" s="91" t="s">
        <v>734</v>
      </c>
      <c r="L227" s="103"/>
      <c r="M227" s="101" t="s">
        <v>10</v>
      </c>
      <c r="N227" s="99"/>
      <c r="O227" s="102" t="s">
        <v>10</v>
      </c>
      <c r="P227" s="160">
        <f>IF(O227="Invenergy",IF(F227="-",(D227-C227)*24,F227*24),0)</f>
        <v>0</v>
      </c>
      <c r="Q227" s="162">
        <f ca="1">P227/VLOOKUP(A227,'YTD Hours'!$A$2:$D$5,4,0)</f>
        <v>0</v>
      </c>
      <c r="R227" s="99">
        <f>(C227-$R$3)/7</f>
        <v>57</v>
      </c>
    </row>
    <row r="228" spans="1:18" ht="14.45" hidden="1" x14ac:dyDescent="0.25">
      <c r="A228" s="88" t="s">
        <v>78</v>
      </c>
      <c r="B228" s="88" t="s">
        <v>393</v>
      </c>
      <c r="C228" s="90">
        <v>45691</v>
      </c>
      <c r="D228" s="90" t="s">
        <v>732</v>
      </c>
      <c r="E228" s="88" t="s">
        <v>223</v>
      </c>
      <c r="F228" s="88" t="str">
        <f ca="1">IF(D228="",TODAY()-C228,"-")</f>
        <v>-</v>
      </c>
      <c r="G228" s="88"/>
      <c r="H228" s="91" t="s">
        <v>733</v>
      </c>
      <c r="I228" s="105" t="s">
        <v>21</v>
      </c>
      <c r="J228" s="105" t="s">
        <v>75</v>
      </c>
      <c r="K228" s="91" t="s">
        <v>734</v>
      </c>
      <c r="L228" s="103"/>
      <c r="M228" s="101" t="s">
        <v>10</v>
      </c>
      <c r="N228" s="99"/>
      <c r="O228" s="102" t="s">
        <v>10</v>
      </c>
      <c r="P228" s="160">
        <f>IF(O228="Invenergy",IF(F228="-",(D228-C228)*24,F228*24),0)</f>
        <v>0</v>
      </c>
      <c r="Q228" s="162">
        <f ca="1">P228/VLOOKUP(A228,'YTD Hours'!$A$2:$D$5,4,0)</f>
        <v>0</v>
      </c>
      <c r="R228" s="99">
        <f>(C228-$R$3)/7</f>
        <v>57</v>
      </c>
    </row>
    <row r="229" spans="1:18" ht="14.45" hidden="1" x14ac:dyDescent="0.25">
      <c r="A229" s="88" t="s">
        <v>77</v>
      </c>
      <c r="B229" s="88" t="s">
        <v>736</v>
      </c>
      <c r="C229" s="90">
        <v>45692</v>
      </c>
      <c r="D229" s="90" t="s">
        <v>732</v>
      </c>
      <c r="E229" s="88" t="s">
        <v>223</v>
      </c>
      <c r="F229" s="88" t="str">
        <f ca="1">IF(D229="",TODAY()-C229,"-")</f>
        <v>-</v>
      </c>
      <c r="G229" s="88"/>
      <c r="H229" s="91" t="s">
        <v>737</v>
      </c>
      <c r="I229" s="105" t="s">
        <v>21</v>
      </c>
      <c r="J229" s="105" t="s">
        <v>75</v>
      </c>
      <c r="K229" s="91" t="s">
        <v>734</v>
      </c>
      <c r="L229" s="103"/>
      <c r="M229" s="101" t="s">
        <v>10</v>
      </c>
      <c r="N229" s="99"/>
      <c r="O229" s="102" t="s">
        <v>10</v>
      </c>
      <c r="P229" s="160">
        <f>IF(O229="Invenergy",IF(F229="-",(D229-C229)*24,F229*24),0)</f>
        <v>0</v>
      </c>
      <c r="Q229" s="162">
        <f ca="1">P229/VLOOKUP(A229,'YTD Hours'!$A$2:$D$5,4,0)</f>
        <v>0</v>
      </c>
      <c r="R229" s="99">
        <f>(C229-$R$3)/7</f>
        <v>57.142857142857146</v>
      </c>
    </row>
    <row r="230" spans="1:18" ht="14.45" hidden="1" x14ac:dyDescent="0.25">
      <c r="A230" s="88" t="s">
        <v>77</v>
      </c>
      <c r="B230" s="88" t="s">
        <v>430</v>
      </c>
      <c r="C230" s="90">
        <v>45705</v>
      </c>
      <c r="D230" s="90" t="s">
        <v>732</v>
      </c>
      <c r="E230" s="88" t="s">
        <v>223</v>
      </c>
      <c r="F230" s="88" t="str">
        <f ca="1">IF(D230="",TODAY()-C230,"-")</f>
        <v>-</v>
      </c>
      <c r="G230" s="88"/>
      <c r="H230" s="91" t="s">
        <v>738</v>
      </c>
      <c r="I230" s="88" t="s">
        <v>21</v>
      </c>
      <c r="J230" s="105" t="s">
        <v>75</v>
      </c>
      <c r="K230" s="93"/>
      <c r="L230" s="94"/>
      <c r="M230" s="101" t="s">
        <v>10</v>
      </c>
      <c r="N230" s="99"/>
      <c r="O230" s="102" t="s">
        <v>10</v>
      </c>
      <c r="P230" s="102">
        <f>IF(O230="Invenergy",IF(F230="-",(D230-C230)*24,F230*24),0)</f>
        <v>0</v>
      </c>
      <c r="Q230" s="162">
        <f ca="1">P230/VLOOKUP(A230,'YTD Hours'!$A$2:$D$5,4,0)</f>
        <v>0</v>
      </c>
      <c r="R230" s="99">
        <f>(C230-$R$3)/7</f>
        <v>59</v>
      </c>
    </row>
    <row r="231" spans="1:18" ht="34.15" hidden="1" customHeight="1" x14ac:dyDescent="0.25">
      <c r="A231" s="88" t="s">
        <v>78</v>
      </c>
      <c r="B231" s="88" t="s">
        <v>739</v>
      </c>
      <c r="C231" s="90">
        <v>45707</v>
      </c>
      <c r="D231" s="90" t="s">
        <v>732</v>
      </c>
      <c r="E231" s="88" t="s">
        <v>223</v>
      </c>
      <c r="F231" s="88" t="str">
        <f ca="1">IF(D231="",TODAY()-C231,"-")</f>
        <v>-</v>
      </c>
      <c r="G231" s="88"/>
      <c r="H231" s="91" t="s">
        <v>738</v>
      </c>
      <c r="I231" s="88" t="s">
        <v>21</v>
      </c>
      <c r="J231" s="105" t="s">
        <v>75</v>
      </c>
      <c r="K231" s="93"/>
      <c r="L231" s="94"/>
      <c r="M231" s="101" t="s">
        <v>10</v>
      </c>
      <c r="N231" s="102" t="s">
        <v>10</v>
      </c>
      <c r="O231" s="102" t="s">
        <v>10</v>
      </c>
      <c r="P231" s="102">
        <f>IF(O231="Invenergy",IF(F231="-",(D231-C231)*24,F231*24),0)</f>
        <v>0</v>
      </c>
      <c r="Q231" s="162">
        <f ca="1">P231/VLOOKUP(A231,'YTD Hours'!$A$2:$D$5,4,0)</f>
        <v>0</v>
      </c>
      <c r="R231" s="99">
        <f>(C231-$R$3)/7</f>
        <v>59.285714285714285</v>
      </c>
    </row>
    <row r="232" spans="1:18" ht="26.45" hidden="1" customHeight="1" x14ac:dyDescent="0.25">
      <c r="A232" s="88" t="s">
        <v>77</v>
      </c>
      <c r="B232" s="88" t="s">
        <v>740</v>
      </c>
      <c r="C232" s="90">
        <v>45691</v>
      </c>
      <c r="D232" s="90" t="s">
        <v>741</v>
      </c>
      <c r="E232" s="88" t="s">
        <v>223</v>
      </c>
      <c r="F232" s="88" t="str">
        <f ca="1">IF(D232="",TODAY()-C232,"-")</f>
        <v>-</v>
      </c>
      <c r="G232" s="88"/>
      <c r="H232" s="91" t="s">
        <v>738</v>
      </c>
      <c r="I232" s="105" t="s">
        <v>21</v>
      </c>
      <c r="J232" s="105" t="s">
        <v>75</v>
      </c>
      <c r="K232" s="91" t="s">
        <v>734</v>
      </c>
      <c r="L232" s="103"/>
      <c r="M232" s="101" t="s">
        <v>10</v>
      </c>
      <c r="N232" s="99"/>
      <c r="O232" s="102" t="s">
        <v>10</v>
      </c>
      <c r="P232" s="160">
        <f>IF(O232="Invenergy",IF(F232="-",(D232-C232)*24,F232*24),0)</f>
        <v>0</v>
      </c>
      <c r="Q232" s="162">
        <f ca="1">P232/VLOOKUP(A232,'YTD Hours'!$A$2:$D$5,4,0)</f>
        <v>0</v>
      </c>
      <c r="R232" s="99">
        <f>(C232-$R$3)/7</f>
        <v>57</v>
      </c>
    </row>
    <row r="233" spans="1:18" ht="30.6" customHeight="1" x14ac:dyDescent="0.25">
      <c r="A233" s="88" t="s">
        <v>77</v>
      </c>
      <c r="B233" s="89" t="s">
        <v>297</v>
      </c>
      <c r="C233" s="100"/>
      <c r="D233" s="90"/>
      <c r="E233" s="88" t="s">
        <v>223</v>
      </c>
      <c r="F233" s="88"/>
      <c r="G233" s="90"/>
      <c r="H233" s="91" t="s">
        <v>743</v>
      </c>
      <c r="I233" s="92" t="s">
        <v>19</v>
      </c>
      <c r="J233" s="92" t="s">
        <v>75</v>
      </c>
      <c r="K233" s="107" t="s">
        <v>744</v>
      </c>
      <c r="L233" s="108"/>
      <c r="M233" s="101" t="s">
        <v>246</v>
      </c>
      <c r="N233" s="160"/>
      <c r="O233" s="102" t="s">
        <v>229</v>
      </c>
      <c r="P233" s="160">
        <f>IF(O233="Invenergy",IF(F233="-",(D233-C233)*24,F233*24),0)</f>
        <v>0</v>
      </c>
      <c r="Q233" s="162">
        <f ca="1">P233/VLOOKUP(A233,'YTD Hours'!$A$2:$D$5,4,0)</f>
        <v>0</v>
      </c>
      <c r="R233" s="99"/>
    </row>
    <row r="234" spans="1:18" ht="14.45" hidden="1" x14ac:dyDescent="0.25">
      <c r="A234" s="88" t="s">
        <v>79</v>
      </c>
      <c r="B234" s="88" t="s">
        <v>749</v>
      </c>
      <c r="C234" s="90">
        <v>46274</v>
      </c>
      <c r="D234" s="88"/>
      <c r="E234" s="88" t="s">
        <v>63</v>
      </c>
      <c r="F234" s="88">
        <f ca="1">IF(D234="",TODAY()-C234,"-")</f>
        <v>16</v>
      </c>
      <c r="G234" s="90"/>
      <c r="H234" s="91" t="s">
        <v>750</v>
      </c>
      <c r="I234" s="88" t="s">
        <v>27</v>
      </c>
      <c r="J234" s="88" t="s">
        <v>74</v>
      </c>
      <c r="K234" s="91" t="s">
        <v>751</v>
      </c>
      <c r="L234" s="110">
        <v>0.53</v>
      </c>
      <c r="M234" s="101"/>
    </row>
    <row r="235" spans="1:18" ht="14.45" hidden="1" x14ac:dyDescent="0.25">
      <c r="A235" s="88" t="s">
        <v>77</v>
      </c>
      <c r="B235" s="88" t="s">
        <v>886</v>
      </c>
      <c r="C235" s="90">
        <v>46276</v>
      </c>
      <c r="D235" s="88"/>
      <c r="E235" s="88" t="s">
        <v>63</v>
      </c>
      <c r="F235" s="88">
        <f ca="1">IF(D235="",TODAY()-C235,"-")</f>
        <v>14</v>
      </c>
      <c r="G235" s="90">
        <v>46289</v>
      </c>
      <c r="H235" s="91" t="s">
        <v>887</v>
      </c>
      <c r="I235" s="88" t="s">
        <v>16</v>
      </c>
      <c r="J235" s="88" t="s">
        <v>74</v>
      </c>
      <c r="K235" s="91" t="s">
        <v>888</v>
      </c>
      <c r="L235" s="110">
        <v>0.54</v>
      </c>
      <c r="M235" s="101"/>
    </row>
    <row r="236" spans="1:18" ht="14.45" hidden="1" x14ac:dyDescent="0.25">
      <c r="A236" s="88" t="s">
        <v>78</v>
      </c>
      <c r="B236" s="88" t="s">
        <v>883</v>
      </c>
      <c r="C236" s="90">
        <v>46279</v>
      </c>
      <c r="D236" s="88"/>
      <c r="E236" s="88" t="s">
        <v>63</v>
      </c>
      <c r="F236" s="88">
        <f ca="1">IF(D236="",TODAY()-C236,"-")</f>
        <v>11</v>
      </c>
      <c r="G236" s="90"/>
      <c r="H236" s="91" t="s">
        <v>884</v>
      </c>
      <c r="I236" s="88" t="s">
        <v>27</v>
      </c>
      <c r="J236" s="88" t="s">
        <v>74</v>
      </c>
      <c r="K236" s="91" t="s">
        <v>885</v>
      </c>
      <c r="L236" s="110"/>
      <c r="M236" s="101"/>
    </row>
    <row r="237" spans="1:18" ht="14.45" hidden="1" x14ac:dyDescent="0.25">
      <c r="A237" s="88" t="s">
        <v>44</v>
      </c>
      <c r="B237" s="88" t="s">
        <v>893</v>
      </c>
      <c r="C237" s="90">
        <v>46287</v>
      </c>
      <c r="D237" s="88"/>
      <c r="E237" s="88" t="s">
        <v>63</v>
      </c>
      <c r="F237" s="88">
        <f ca="1">IF(D237="",TODAY()-C237,"-")</f>
        <v>3</v>
      </c>
      <c r="G237" s="90"/>
      <c r="H237" s="91" t="s">
        <v>894</v>
      </c>
      <c r="I237" s="88" t="s">
        <v>19</v>
      </c>
      <c r="J237" s="88" t="s">
        <v>75</v>
      </c>
      <c r="K237" s="91" t="s">
        <v>895</v>
      </c>
      <c r="L237" s="110"/>
      <c r="M237" s="101"/>
    </row>
    <row r="1048576" spans="6:6" x14ac:dyDescent="0.25">
      <c r="F1048576" s="85"/>
    </row>
  </sheetData>
  <autoFilter ref="A3:M237" xr:uid="{2EF38918-2000-41EC-828D-D3D1F33E2FA2}">
    <filterColumn colId="2">
      <filters blank="1"/>
    </filterColumn>
  </autoFilter>
  <conditionalFormatting sqref="B1:B1048576">
    <cfRule type="duplicateValues" dxfId="18" priority="9"/>
  </conditionalFormatting>
  <conditionalFormatting sqref="F3:F364">
    <cfRule type="colorScale" priority="92">
      <colorScale>
        <cfvo type="min"/>
        <cfvo type="percentile" val="50"/>
        <cfvo type="max"/>
        <color rgb="FF92D050"/>
        <color rgb="FFFFEB84"/>
        <color rgb="FFFF0000"/>
      </colorScale>
    </cfRule>
  </conditionalFormatting>
  <conditionalFormatting sqref="F1048576">
    <cfRule type="colorScale" priority="1">
      <colorScale>
        <cfvo type="min"/>
        <cfvo type="percentile" val="50"/>
        <cfvo type="max"/>
        <color rgb="FF92D050"/>
        <color rgb="FFFFEB84"/>
        <color rgb="FFFF0000"/>
      </colorScale>
    </cfRule>
  </conditionalFormatting>
  <conditionalFormatting sqref="L149:L150">
    <cfRule type="colorScale" priority="4">
      <colorScale>
        <cfvo type="min"/>
        <cfvo type="percentile" val="50"/>
        <cfvo type="max"/>
        <color rgb="FFF8696B"/>
        <color rgb="FFFFEB84"/>
        <color rgb="FF63BE7B"/>
      </colorScale>
    </cfRule>
  </conditionalFormatting>
  <conditionalFormatting sqref="L153:L156">
    <cfRule type="colorScale" priority="3">
      <colorScale>
        <cfvo type="min"/>
        <cfvo type="percentile" val="50"/>
        <cfvo type="max"/>
        <color rgb="FFF8696B"/>
        <color rgb="FFFFEB84"/>
        <color rgb="FF63BE7B"/>
      </colorScale>
    </cfRule>
  </conditionalFormatting>
  <conditionalFormatting sqref="L157:L162 L2:L147 L164:L1048576">
    <cfRule type="colorScale" priority="32">
      <colorScale>
        <cfvo type="min"/>
        <cfvo type="percentile" val="50"/>
        <cfvo type="max"/>
        <color rgb="FFF8696B"/>
        <color rgb="FFFFEB84"/>
        <color rgb="FF63BE7B"/>
      </colorScale>
    </cfRule>
  </conditionalFormatting>
  <conditionalFormatting sqref="L163">
    <cfRule type="colorScale" priority="2">
      <colorScale>
        <cfvo type="min"/>
        <cfvo type="percentile" val="50"/>
        <cfvo type="max"/>
        <color rgb="FFF8696B"/>
        <color rgb="FFFFEB84"/>
        <color rgb="FF63BE7B"/>
      </colorScale>
    </cfRule>
  </conditionalFormatting>
  <conditionalFormatting sqref="N26:N29">
    <cfRule type="colorScale" priority="48">
      <colorScale>
        <cfvo type="min"/>
        <cfvo type="percentile" val="50"/>
        <cfvo type="max"/>
        <color rgb="FF92D050"/>
        <color rgb="FFFFEB84"/>
        <color rgb="FFFF0000"/>
      </colorScale>
    </cfRule>
  </conditionalFormatting>
  <conditionalFormatting sqref="N60">
    <cfRule type="colorScale" priority="21">
      <colorScale>
        <cfvo type="min"/>
        <cfvo type="percentile" val="50"/>
        <cfvo type="max"/>
        <color rgb="FF92D050"/>
        <color rgb="FFFFEB84"/>
        <color rgb="FFFF0000"/>
      </colorScale>
    </cfRule>
  </conditionalFormatting>
  <conditionalFormatting sqref="N62">
    <cfRule type="colorScale" priority="15">
      <colorScale>
        <cfvo type="min"/>
        <cfvo type="percentile" val="50"/>
        <cfvo type="max"/>
        <color rgb="FF92D050"/>
        <color rgb="FFFFEB84"/>
        <color rgb="FFFF0000"/>
      </colorScale>
    </cfRule>
  </conditionalFormatting>
  <conditionalFormatting sqref="N63">
    <cfRule type="colorScale" priority="13">
      <colorScale>
        <cfvo type="min"/>
        <cfvo type="percentile" val="50"/>
        <cfvo type="max"/>
        <color rgb="FF92D050"/>
        <color rgb="FFFFEB84"/>
        <color rgb="FFFF0000"/>
      </colorScale>
    </cfRule>
  </conditionalFormatting>
  <conditionalFormatting sqref="N75">
    <cfRule type="colorScale" priority="10">
      <colorScale>
        <cfvo type="min"/>
        <cfvo type="percentile" val="50"/>
        <cfvo type="max"/>
        <color rgb="FF63BE7B"/>
        <color rgb="FFFFEB84"/>
        <color rgb="FFF8696B"/>
      </colorScale>
    </cfRule>
  </conditionalFormatting>
  <conditionalFormatting sqref="O58">
    <cfRule type="colorScale" priority="29">
      <colorScale>
        <cfvo type="min"/>
        <cfvo type="percentile" val="50"/>
        <cfvo type="max"/>
        <color rgb="FF92D050"/>
        <color rgb="FFFFEB84"/>
        <color rgb="FFFF0000"/>
      </colorScale>
    </cfRule>
  </conditionalFormatting>
  <conditionalFormatting sqref="O59">
    <cfRule type="colorScale" priority="28">
      <colorScale>
        <cfvo type="min"/>
        <cfvo type="percentile" val="50"/>
        <cfvo type="max"/>
        <color rgb="FF92D050"/>
        <color rgb="FFFFEB84"/>
        <color rgb="FFFF0000"/>
      </colorScale>
    </cfRule>
  </conditionalFormatting>
  <conditionalFormatting sqref="O60">
    <cfRule type="colorScale" priority="20">
      <colorScale>
        <cfvo type="min"/>
        <cfvo type="percentile" val="50"/>
        <cfvo type="max"/>
        <color rgb="FF63BE7B"/>
        <color rgb="FFFFEB84"/>
        <color rgb="FFF8696B"/>
      </colorScale>
    </cfRule>
  </conditionalFormatting>
  <conditionalFormatting sqref="O61:O63">
    <cfRule type="colorScale" priority="17">
      <colorScale>
        <cfvo type="min"/>
        <cfvo type="percentile" val="50"/>
        <cfvo type="max"/>
        <color rgb="FF92D050"/>
        <color rgb="FFFFEB84"/>
        <color rgb="FFFF0000"/>
      </colorScale>
    </cfRule>
  </conditionalFormatting>
  <conditionalFormatting sqref="O74">
    <cfRule type="colorScale" priority="11">
      <colorScale>
        <cfvo type="min"/>
        <cfvo type="percentile" val="50"/>
        <cfvo type="max"/>
        <color rgb="FF63BE7B"/>
        <color rgb="FFFFEB84"/>
        <color rgb="FFF8696B"/>
      </colorScale>
    </cfRule>
  </conditionalFormatting>
  <conditionalFormatting sqref="P61:P78 P2:P59 P81:P1048576">
    <cfRule type="colorScale" priority="26">
      <colorScale>
        <cfvo type="min"/>
        <cfvo type="percentile" val="50"/>
        <cfvo type="max"/>
        <color rgb="FF63BE7B"/>
        <color rgb="FFFFEB84"/>
        <color rgb="FFF8696B"/>
      </colorScale>
    </cfRule>
  </conditionalFormatting>
  <conditionalFormatting sqref="P79">
    <cfRule type="colorScale" priority="8">
      <colorScale>
        <cfvo type="min"/>
        <cfvo type="percentile" val="50"/>
        <cfvo type="max"/>
        <color rgb="FF63BE7B"/>
        <color rgb="FFFFEB84"/>
        <color rgb="FFF8696B"/>
      </colorScale>
    </cfRule>
  </conditionalFormatting>
  <conditionalFormatting sqref="P80">
    <cfRule type="colorScale" priority="7">
      <colorScale>
        <cfvo type="min"/>
        <cfvo type="percentile" val="50"/>
        <cfvo type="max"/>
        <color rgb="FF63BE7B"/>
        <color rgb="FFFFEB84"/>
        <color rgb="FFF8696B"/>
      </colorScale>
    </cfRule>
  </conditionalFormatting>
  <conditionalFormatting sqref="Q3">
    <cfRule type="colorScale" priority="38">
      <colorScale>
        <cfvo type="min"/>
        <cfvo type="percentile" val="50"/>
        <cfvo type="max"/>
        <color rgb="FF92D050"/>
        <color rgb="FFFFEB84"/>
        <color rgb="FFFF0000"/>
      </colorScale>
    </cfRule>
  </conditionalFormatting>
  <pageMargins left="0.511811024" right="0.511811024" top="0.78740157499999996" bottom="0.78740157499999996" header="0.31496062000000002" footer="0.31496062000000002"/>
  <pageSetup orientation="portrait" r:id="rId1"/>
  <drawing r:id="rId2"/>
  <legacy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510FD-4B71-4939-8681-679F9C8D3E64}">
  <sheetPr codeName="Planilha12"/>
  <dimension ref="A3:C56"/>
  <sheetViews>
    <sheetView topLeftCell="A34" workbookViewId="0">
      <selection activeCell="E57" sqref="E57"/>
    </sheetView>
  </sheetViews>
  <sheetFormatPr defaultRowHeight="15" x14ac:dyDescent="0.25"/>
  <cols>
    <col min="1" max="1" width="13.85546875" bestFit="1" customWidth="1"/>
    <col min="2" max="2" width="7.28515625" bestFit="1" customWidth="1"/>
    <col min="3" max="3" width="5" bestFit="1" customWidth="1"/>
    <col min="4" max="5" width="24.28515625" bestFit="1" customWidth="1"/>
    <col min="6" max="7" width="13.28515625" bestFit="1" customWidth="1"/>
  </cols>
  <sheetData>
    <row r="3" spans="1:3" x14ac:dyDescent="0.25">
      <c r="A3" s="4" t="s">
        <v>752</v>
      </c>
      <c r="B3" s="4" t="s">
        <v>82</v>
      </c>
    </row>
    <row r="4" spans="1:3" x14ac:dyDescent="0.25">
      <c r="A4" s="4" t="s">
        <v>83</v>
      </c>
      <c r="B4" t="s">
        <v>753</v>
      </c>
      <c r="C4" t="s">
        <v>754</v>
      </c>
    </row>
    <row r="5" spans="1:3" x14ac:dyDescent="0.25">
      <c r="A5" t="s">
        <v>755</v>
      </c>
      <c r="B5">
        <v>12</v>
      </c>
      <c r="C5">
        <v>2</v>
      </c>
    </row>
    <row r="6" spans="1:3" x14ac:dyDescent="0.25">
      <c r="A6" t="s">
        <v>756</v>
      </c>
      <c r="B6">
        <v>11</v>
      </c>
      <c r="C6">
        <v>3</v>
      </c>
    </row>
    <row r="7" spans="1:3" x14ac:dyDescent="0.25">
      <c r="A7" t="s">
        <v>757</v>
      </c>
      <c r="B7">
        <v>13</v>
      </c>
      <c r="C7">
        <v>6</v>
      </c>
    </row>
    <row r="8" spans="1:3" x14ac:dyDescent="0.25">
      <c r="A8" t="s">
        <v>758</v>
      </c>
      <c r="B8">
        <v>15</v>
      </c>
      <c r="C8">
        <v>6</v>
      </c>
    </row>
    <row r="9" spans="1:3" x14ac:dyDescent="0.25">
      <c r="A9" t="s">
        <v>759</v>
      </c>
      <c r="B9">
        <v>15</v>
      </c>
      <c r="C9">
        <v>7</v>
      </c>
    </row>
    <row r="10" spans="1:3" x14ac:dyDescent="0.25">
      <c r="A10" t="s">
        <v>760</v>
      </c>
      <c r="B10">
        <v>13</v>
      </c>
      <c r="C10">
        <v>6</v>
      </c>
    </row>
    <row r="11" spans="1:3" x14ac:dyDescent="0.25">
      <c r="A11" t="s">
        <v>761</v>
      </c>
      <c r="B11">
        <v>18</v>
      </c>
      <c r="C11">
        <v>5</v>
      </c>
    </row>
    <row r="12" spans="1:3" x14ac:dyDescent="0.25">
      <c r="A12" t="s">
        <v>762</v>
      </c>
      <c r="B12">
        <v>15</v>
      </c>
      <c r="C12">
        <v>6</v>
      </c>
    </row>
    <row r="13" spans="1:3" x14ac:dyDescent="0.25">
      <c r="A13" t="s">
        <v>763</v>
      </c>
      <c r="B13">
        <v>14</v>
      </c>
      <c r="C13">
        <v>6</v>
      </c>
    </row>
    <row r="14" spans="1:3" x14ac:dyDescent="0.25">
      <c r="A14" t="s">
        <v>764</v>
      </c>
      <c r="B14">
        <v>13</v>
      </c>
      <c r="C14">
        <v>5</v>
      </c>
    </row>
    <row r="15" spans="1:3" x14ac:dyDescent="0.25">
      <c r="A15" t="s">
        <v>765</v>
      </c>
      <c r="B15">
        <v>12</v>
      </c>
      <c r="C15">
        <v>4</v>
      </c>
    </row>
    <row r="16" spans="1:3" x14ac:dyDescent="0.25">
      <c r="A16" t="s">
        <v>766</v>
      </c>
      <c r="B16">
        <v>14</v>
      </c>
      <c r="C16">
        <v>5</v>
      </c>
    </row>
    <row r="17" spans="1:3" x14ac:dyDescent="0.25">
      <c r="A17" t="s">
        <v>767</v>
      </c>
      <c r="B17">
        <v>13</v>
      </c>
      <c r="C17">
        <v>2</v>
      </c>
    </row>
    <row r="18" spans="1:3" x14ac:dyDescent="0.25">
      <c r="A18" t="s">
        <v>768</v>
      </c>
      <c r="B18">
        <v>12</v>
      </c>
      <c r="C18">
        <v>4</v>
      </c>
    </row>
    <row r="19" spans="1:3" x14ac:dyDescent="0.25">
      <c r="A19" t="s">
        <v>769</v>
      </c>
      <c r="B19">
        <v>13</v>
      </c>
      <c r="C19">
        <v>5</v>
      </c>
    </row>
    <row r="20" spans="1:3" ht="14.25" customHeight="1" x14ac:dyDescent="0.25">
      <c r="A20" t="s">
        <v>770</v>
      </c>
      <c r="B20">
        <v>14</v>
      </c>
      <c r="C20">
        <v>2</v>
      </c>
    </row>
    <row r="21" spans="1:3" x14ac:dyDescent="0.25">
      <c r="A21" t="s">
        <v>771</v>
      </c>
      <c r="B21">
        <v>16</v>
      </c>
      <c r="C21">
        <v>3</v>
      </c>
    </row>
    <row r="22" spans="1:3" x14ac:dyDescent="0.25">
      <c r="A22" t="s">
        <v>772</v>
      </c>
      <c r="B22">
        <v>14</v>
      </c>
      <c r="C22">
        <v>4</v>
      </c>
    </row>
    <row r="23" spans="1:3" x14ac:dyDescent="0.25">
      <c r="A23" t="s">
        <v>773</v>
      </c>
      <c r="B23">
        <v>14</v>
      </c>
      <c r="C23">
        <v>4</v>
      </c>
    </row>
    <row r="24" spans="1:3" x14ac:dyDescent="0.25">
      <c r="A24" t="s">
        <v>774</v>
      </c>
      <c r="B24">
        <v>9</v>
      </c>
      <c r="C24">
        <v>3</v>
      </c>
    </row>
    <row r="25" spans="1:3" x14ac:dyDescent="0.25">
      <c r="A25" t="s">
        <v>775</v>
      </c>
      <c r="B25">
        <v>11</v>
      </c>
      <c r="C25">
        <v>6</v>
      </c>
    </row>
    <row r="26" spans="1:3" x14ac:dyDescent="0.25">
      <c r="A26" t="s">
        <v>776</v>
      </c>
      <c r="B26">
        <v>12</v>
      </c>
      <c r="C26">
        <v>2</v>
      </c>
    </row>
    <row r="27" spans="1:3" x14ac:dyDescent="0.25">
      <c r="A27" t="s">
        <v>777</v>
      </c>
      <c r="B27">
        <v>11</v>
      </c>
      <c r="C27">
        <v>4</v>
      </c>
    </row>
    <row r="28" spans="1:3" x14ac:dyDescent="0.25">
      <c r="A28" t="s">
        <v>778</v>
      </c>
      <c r="B28">
        <v>11</v>
      </c>
      <c r="C28">
        <v>3</v>
      </c>
    </row>
    <row r="29" spans="1:3" x14ac:dyDescent="0.25">
      <c r="A29" t="s">
        <v>779</v>
      </c>
      <c r="B29">
        <v>17</v>
      </c>
      <c r="C29">
        <v>4</v>
      </c>
    </row>
    <row r="30" spans="1:3" x14ac:dyDescent="0.25">
      <c r="A30" t="s">
        <v>780</v>
      </c>
      <c r="B30">
        <v>18</v>
      </c>
      <c r="C30">
        <v>3</v>
      </c>
    </row>
    <row r="31" spans="1:3" x14ac:dyDescent="0.25">
      <c r="A31" t="s">
        <v>781</v>
      </c>
      <c r="B31">
        <v>18</v>
      </c>
      <c r="C31">
        <v>2</v>
      </c>
    </row>
    <row r="32" spans="1:3" x14ac:dyDescent="0.25">
      <c r="A32" t="s">
        <v>782</v>
      </c>
      <c r="B32">
        <v>16</v>
      </c>
      <c r="C32">
        <v>2</v>
      </c>
    </row>
    <row r="33" spans="1:3" x14ac:dyDescent="0.25">
      <c r="A33" t="s">
        <v>783</v>
      </c>
      <c r="B33">
        <v>12</v>
      </c>
      <c r="C33">
        <v>4</v>
      </c>
    </row>
    <row r="34" spans="1:3" x14ac:dyDescent="0.25">
      <c r="A34" t="s">
        <v>784</v>
      </c>
      <c r="B34">
        <v>10</v>
      </c>
      <c r="C34">
        <v>4</v>
      </c>
    </row>
    <row r="35" spans="1:3" x14ac:dyDescent="0.25">
      <c r="A35" t="s">
        <v>785</v>
      </c>
      <c r="B35">
        <v>7</v>
      </c>
      <c r="C35">
        <v>3</v>
      </c>
    </row>
    <row r="36" spans="1:3" x14ac:dyDescent="0.25">
      <c r="A36" t="s">
        <v>786</v>
      </c>
      <c r="B36">
        <v>8</v>
      </c>
      <c r="C36">
        <v>6</v>
      </c>
    </row>
    <row r="37" spans="1:3" x14ac:dyDescent="0.25">
      <c r="A37" t="s">
        <v>787</v>
      </c>
      <c r="B37">
        <v>7</v>
      </c>
      <c r="C37">
        <v>6</v>
      </c>
    </row>
    <row r="38" spans="1:3" x14ac:dyDescent="0.25">
      <c r="A38" t="s">
        <v>788</v>
      </c>
      <c r="B38">
        <v>6</v>
      </c>
      <c r="C38">
        <v>3</v>
      </c>
    </row>
    <row r="39" spans="1:3" x14ac:dyDescent="0.25">
      <c r="A39" t="s">
        <v>789</v>
      </c>
      <c r="B39">
        <v>4</v>
      </c>
      <c r="C39">
        <v>2</v>
      </c>
    </row>
    <row r="40" spans="1:3" x14ac:dyDescent="0.25">
      <c r="A40" t="s">
        <v>790</v>
      </c>
      <c r="B40">
        <v>4</v>
      </c>
      <c r="C40">
        <v>3</v>
      </c>
    </row>
    <row r="41" spans="1:3" x14ac:dyDescent="0.25">
      <c r="A41" t="s">
        <v>791</v>
      </c>
      <c r="B41">
        <v>9</v>
      </c>
      <c r="C41">
        <v>2</v>
      </c>
    </row>
    <row r="42" spans="1:3" x14ac:dyDescent="0.25">
      <c r="A42" t="s">
        <v>792</v>
      </c>
      <c r="B42">
        <v>9</v>
      </c>
      <c r="C42">
        <v>4</v>
      </c>
    </row>
    <row r="43" spans="1:3" x14ac:dyDescent="0.25">
      <c r="A43" t="s">
        <v>793</v>
      </c>
      <c r="B43">
        <v>7</v>
      </c>
      <c r="C43">
        <v>4</v>
      </c>
    </row>
    <row r="44" spans="1:3" x14ac:dyDescent="0.25">
      <c r="A44" t="s">
        <v>794</v>
      </c>
      <c r="B44">
        <v>9</v>
      </c>
      <c r="C44">
        <v>0</v>
      </c>
    </row>
    <row r="45" spans="1:3" x14ac:dyDescent="0.25">
      <c r="A45" t="s">
        <v>795</v>
      </c>
      <c r="B45">
        <v>10</v>
      </c>
      <c r="C45">
        <v>0</v>
      </c>
    </row>
    <row r="46" spans="1:3" x14ac:dyDescent="0.25">
      <c r="A46" t="s">
        <v>796</v>
      </c>
      <c r="B46">
        <v>10</v>
      </c>
      <c r="C46">
        <v>0</v>
      </c>
    </row>
    <row r="47" spans="1:3" x14ac:dyDescent="0.25">
      <c r="A47" t="s">
        <v>797</v>
      </c>
      <c r="B47">
        <v>9</v>
      </c>
      <c r="C47">
        <v>0</v>
      </c>
    </row>
    <row r="48" spans="1:3" x14ac:dyDescent="0.25">
      <c r="A48" t="s">
        <v>798</v>
      </c>
      <c r="B48">
        <v>10</v>
      </c>
      <c r="C48">
        <v>0</v>
      </c>
    </row>
    <row r="49" spans="1:3" x14ac:dyDescent="0.25">
      <c r="A49" t="s">
        <v>799</v>
      </c>
      <c r="B49">
        <v>13</v>
      </c>
      <c r="C49">
        <v>0</v>
      </c>
    </row>
    <row r="50" spans="1:3" x14ac:dyDescent="0.25">
      <c r="A50" t="s">
        <v>800</v>
      </c>
      <c r="B50">
        <v>10</v>
      </c>
      <c r="C50">
        <v>0</v>
      </c>
    </row>
    <row r="51" spans="1:3" x14ac:dyDescent="0.25">
      <c r="A51" t="s">
        <v>801</v>
      </c>
      <c r="B51">
        <v>11</v>
      </c>
      <c r="C51">
        <v>0</v>
      </c>
    </row>
    <row r="52" spans="1:3" x14ac:dyDescent="0.25">
      <c r="A52" t="s">
        <v>802</v>
      </c>
      <c r="B52">
        <v>10</v>
      </c>
      <c r="C52">
        <v>0</v>
      </c>
    </row>
    <row r="53" spans="1:3" x14ac:dyDescent="0.25">
      <c r="A53" t="s">
        <v>803</v>
      </c>
      <c r="B53">
        <v>11</v>
      </c>
      <c r="C53">
        <v>0</v>
      </c>
    </row>
    <row r="54" spans="1:3" x14ac:dyDescent="0.25">
      <c r="A54" t="s">
        <v>804</v>
      </c>
      <c r="B54">
        <v>5</v>
      </c>
      <c r="C54">
        <v>0</v>
      </c>
    </row>
    <row r="55" spans="1:3" x14ac:dyDescent="0.25">
      <c r="A55" t="s">
        <v>805</v>
      </c>
      <c r="B55">
        <v>3</v>
      </c>
      <c r="C55">
        <v>0</v>
      </c>
    </row>
    <row r="56" spans="1:3" x14ac:dyDescent="0.25">
      <c r="A56" t="s">
        <v>806</v>
      </c>
      <c r="B56">
        <v>3</v>
      </c>
      <c r="C56">
        <v>0</v>
      </c>
    </row>
  </sheetData>
  <pageMargins left="0.511811024" right="0.511811024" top="0.78740157499999996" bottom="0.78740157499999996" header="0.31496062000000002" footer="0.3149606200000000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CB273E-A248-4DD0-B0F2-4E8AC68C621C}">
  <sheetPr codeName="Planilha14">
    <tabColor rgb="FF118751"/>
  </sheetPr>
  <dimension ref="I1:AT69"/>
  <sheetViews>
    <sheetView showGridLines="0" showRowColHeaders="0" zoomScale="80" zoomScaleNormal="80" workbookViewId="0">
      <selection activeCell="J39" sqref="J39:K39"/>
    </sheetView>
  </sheetViews>
  <sheetFormatPr defaultRowHeight="15" x14ac:dyDescent="0.25"/>
  <cols>
    <col min="9" max="9" width="17.7109375" customWidth="1"/>
    <col min="10" max="13" width="19.28515625" customWidth="1"/>
    <col min="34" max="34" width="76.7109375" customWidth="1"/>
    <col min="36" max="36" width="18.28515625" bestFit="1" customWidth="1"/>
    <col min="37" max="37" width="19.5703125" bestFit="1" customWidth="1"/>
    <col min="38" max="38" width="15.7109375" bestFit="1" customWidth="1"/>
    <col min="39" max="39" width="10" bestFit="1" customWidth="1"/>
    <col min="40" max="40" width="10.42578125" bestFit="1" customWidth="1"/>
    <col min="42" max="42" width="18.28515625" bestFit="1" customWidth="1"/>
    <col min="43" max="43" width="19.5703125" bestFit="1" customWidth="1"/>
    <col min="44" max="44" width="16.7109375" bestFit="1" customWidth="1"/>
    <col min="45" max="46" width="10.42578125" bestFit="1" customWidth="1"/>
    <col min="47" max="47" width="8.42578125" bestFit="1" customWidth="1"/>
    <col min="48" max="48" width="10.42578125" bestFit="1" customWidth="1"/>
  </cols>
  <sheetData>
    <row r="1" spans="9:15" s="56" customFormat="1" x14ac:dyDescent="0.25">
      <c r="I1" s="178" t="s">
        <v>807</v>
      </c>
      <c r="J1" s="178"/>
      <c r="K1" s="178"/>
      <c r="L1" s="178"/>
      <c r="M1" s="178"/>
      <c r="N1" s="178"/>
      <c r="O1" s="178"/>
    </row>
    <row r="2" spans="9:15" s="56" customFormat="1" x14ac:dyDescent="0.25">
      <c r="I2" s="178"/>
      <c r="J2" s="178"/>
      <c r="K2" s="178"/>
      <c r="L2" s="178"/>
      <c r="M2" s="178"/>
      <c r="N2" s="178"/>
      <c r="O2" s="178"/>
    </row>
    <row r="3" spans="9:15" s="56" customFormat="1" x14ac:dyDescent="0.25">
      <c r="I3" s="178"/>
      <c r="J3" s="178"/>
      <c r="K3" s="178"/>
      <c r="L3" s="178"/>
      <c r="M3" s="178"/>
      <c r="N3" s="178"/>
      <c r="O3" s="178"/>
    </row>
    <row r="4" spans="9:15" s="57" customFormat="1" x14ac:dyDescent="0.25"/>
    <row r="5" spans="9:15" s="57" customFormat="1" x14ac:dyDescent="0.25"/>
    <row r="6" spans="9:15" s="57" customFormat="1" x14ac:dyDescent="0.25"/>
    <row r="7" spans="9:15" s="57" customFormat="1" x14ac:dyDescent="0.25"/>
    <row r="8" spans="9:15" s="57" customFormat="1" x14ac:dyDescent="0.25"/>
    <row r="9" spans="9:15" s="57" customFormat="1" x14ac:dyDescent="0.25"/>
    <row r="10" spans="9:15" s="57" customFormat="1" x14ac:dyDescent="0.25"/>
    <row r="11" spans="9:15" s="57" customFormat="1" x14ac:dyDescent="0.25"/>
    <row r="12" spans="9:15" s="57" customFormat="1" x14ac:dyDescent="0.25"/>
    <row r="13" spans="9:15" s="57" customFormat="1" x14ac:dyDescent="0.25"/>
    <row r="14" spans="9:15" s="57" customFormat="1" x14ac:dyDescent="0.25"/>
    <row r="15" spans="9:15" s="57" customFormat="1" x14ac:dyDescent="0.25"/>
    <row r="16" spans="9:15" s="57" customFormat="1" x14ac:dyDescent="0.25"/>
    <row r="17" s="57" customFormat="1" x14ac:dyDescent="0.25"/>
    <row r="18" s="57" customFormat="1" x14ac:dyDescent="0.25"/>
    <row r="19" s="57" customFormat="1" x14ac:dyDescent="0.25"/>
    <row r="20" s="57" customFormat="1" x14ac:dyDescent="0.25"/>
    <row r="21" s="57" customFormat="1" x14ac:dyDescent="0.25"/>
    <row r="22" s="57" customFormat="1" x14ac:dyDescent="0.25"/>
    <row r="23" s="57" customFormat="1" x14ac:dyDescent="0.25"/>
    <row r="24" s="57" customFormat="1" x14ac:dyDescent="0.25"/>
    <row r="25" s="57" customFormat="1" x14ac:dyDescent="0.25"/>
    <row r="26" s="57" customFormat="1" x14ac:dyDescent="0.25"/>
    <row r="27" s="57" customFormat="1" x14ac:dyDescent="0.25"/>
    <row r="28" s="57" customFormat="1" x14ac:dyDescent="0.25"/>
    <row r="29" s="57" customFormat="1" x14ac:dyDescent="0.25"/>
    <row r="30" s="57" customFormat="1" x14ac:dyDescent="0.25"/>
    <row r="31" s="57" customFormat="1" x14ac:dyDescent="0.25"/>
    <row r="32" s="57" customFormat="1" x14ac:dyDescent="0.25"/>
    <row r="33" spans="9:46" s="57" customFormat="1" x14ac:dyDescent="0.25"/>
    <row r="34" spans="9:46" s="57" customFormat="1" x14ac:dyDescent="0.25">
      <c r="J34" s="181" t="s">
        <v>808</v>
      </c>
      <c r="K34" s="181"/>
      <c r="L34" s="181"/>
      <c r="M34" s="181"/>
      <c r="AJ34" s="4" t="s">
        <v>34</v>
      </c>
      <c r="AK34" t="s">
        <v>809</v>
      </c>
      <c r="AP34" s="4" t="s">
        <v>62</v>
      </c>
      <c r="AQ34" t="s">
        <v>63</v>
      </c>
    </row>
    <row r="35" spans="9:46" s="57" customFormat="1" ht="46.5" x14ac:dyDescent="0.25">
      <c r="I35" s="60" t="s">
        <v>64</v>
      </c>
      <c r="J35" s="182">
        <f ca="1">COUNTIFS('Fonte de Dados - Auren'!E:E,"Parada",'Fonte de Dados - Auren'!F:F,"&gt;=7")</f>
        <v>3</v>
      </c>
      <c r="K35" s="182"/>
      <c r="L35" s="182"/>
      <c r="M35" s="182"/>
      <c r="AJ35" s="4" t="s">
        <v>62</v>
      </c>
      <c r="AK35" t="s">
        <v>63</v>
      </c>
      <c r="AP35" s="4" t="s">
        <v>47</v>
      </c>
      <c r="AQ35" t="s">
        <v>873</v>
      </c>
    </row>
    <row r="36" spans="9:46" s="57" customFormat="1" ht="21" x14ac:dyDescent="0.25">
      <c r="I36" s="61" t="s">
        <v>67</v>
      </c>
      <c r="J36" s="180">
        <f ca="1">J35/237</f>
        <v>1.2658227848101266E-2</v>
      </c>
      <c r="K36" s="180"/>
      <c r="L36" s="180"/>
      <c r="M36" s="180"/>
      <c r="AJ36" s="4" t="s">
        <v>47</v>
      </c>
      <c r="AK36" t="s">
        <v>65</v>
      </c>
      <c r="AP36" s="4" t="s">
        <v>34</v>
      </c>
      <c r="AQ36" t="s">
        <v>810</v>
      </c>
    </row>
    <row r="37" spans="9:46" s="57" customFormat="1" x14ac:dyDescent="0.25"/>
    <row r="38" spans="9:46" s="57" customFormat="1" ht="18.75" x14ac:dyDescent="0.3">
      <c r="J38" s="183" t="s">
        <v>811</v>
      </c>
      <c r="K38" s="183"/>
      <c r="L38" s="184" t="s">
        <v>812</v>
      </c>
      <c r="M38" s="184"/>
      <c r="AJ38" s="57" t="s">
        <v>70</v>
      </c>
      <c r="AK38" s="57" t="s">
        <v>71</v>
      </c>
      <c r="AL38"/>
      <c r="AM38"/>
      <c r="AN38"/>
      <c r="AP38" s="57" t="s">
        <v>70</v>
      </c>
      <c r="AQ38" s="57" t="s">
        <v>71</v>
      </c>
      <c r="AT38"/>
    </row>
    <row r="39" spans="9:46" s="57" customFormat="1" ht="41.65" customHeight="1" x14ac:dyDescent="0.25">
      <c r="I39" s="60" t="s">
        <v>64</v>
      </c>
      <c r="J39" s="185">
        <f>COUNTIFS('Fonte de Dados - Auren'!$A:$A,"Alto Sertão 2",'Fonte de Dados - Auren'!$E:$E,"Parada",'Fonte de Dados - Auren'!$F:$F,"&gt;=7")</f>
        <v>0</v>
      </c>
      <c r="K39" s="185"/>
      <c r="L39" s="185">
        <f ca="1">COUNTIFS('Fonte de Dados - Auren'!$A:$A,"Caetés",'Fonte de Dados - Auren'!$E:$E,"Parada",'Fonte de Dados - Auren'!$F:$F,"&gt;=7")</f>
        <v>3</v>
      </c>
      <c r="M39" s="185"/>
      <c r="AJ39" s="57" t="s">
        <v>72</v>
      </c>
      <c r="AK39" s="57" t="s">
        <v>73</v>
      </c>
      <c r="AL39"/>
      <c r="AM39"/>
      <c r="AN39"/>
      <c r="AP39" s="57" t="s">
        <v>72</v>
      </c>
      <c r="AQ39" s="57" t="s">
        <v>74</v>
      </c>
      <c r="AR39" s="57" t="s">
        <v>75</v>
      </c>
      <c r="AS39" s="57" t="s">
        <v>73</v>
      </c>
      <c r="AT39"/>
    </row>
    <row r="40" spans="9:46" s="57" customFormat="1" ht="15.75" x14ac:dyDescent="0.25">
      <c r="I40" s="61" t="s">
        <v>67</v>
      </c>
      <c r="J40" s="179">
        <f>J39/130</f>
        <v>0</v>
      </c>
      <c r="K40" s="179"/>
      <c r="L40" s="179">
        <f ca="1">L39/107</f>
        <v>2.8037383177570093E-2</v>
      </c>
      <c r="M40" s="179"/>
      <c r="AJ40" s="58" t="s">
        <v>73</v>
      </c>
      <c r="AL40"/>
      <c r="AM40"/>
      <c r="AN40"/>
      <c r="AP40" s="58" t="s">
        <v>21</v>
      </c>
      <c r="AR40" s="57">
        <v>1</v>
      </c>
      <c r="AS40" s="57">
        <v>1</v>
      </c>
      <c r="AT40"/>
    </row>
    <row r="41" spans="9:46" s="57" customFormat="1" x14ac:dyDescent="0.25">
      <c r="J41" s="59"/>
      <c r="K41" s="59"/>
      <c r="L41" s="59"/>
      <c r="M41" s="59"/>
      <c r="AJ41"/>
      <c r="AK41"/>
      <c r="AL41"/>
      <c r="AM41"/>
      <c r="AN41"/>
      <c r="AP41" s="24" t="s">
        <v>27</v>
      </c>
      <c r="AQ41">
        <v>1</v>
      </c>
      <c r="AR41"/>
      <c r="AS41">
        <v>1</v>
      </c>
      <c r="AT41"/>
    </row>
    <row r="42" spans="9:46" s="57" customFormat="1" x14ac:dyDescent="0.25">
      <c r="AJ42"/>
      <c r="AK42"/>
      <c r="AL42"/>
      <c r="AM42"/>
      <c r="AN42"/>
      <c r="AP42" s="24" t="s">
        <v>19</v>
      </c>
      <c r="AQ42">
        <v>1</v>
      </c>
      <c r="AR42"/>
      <c r="AS42">
        <v>1</v>
      </c>
      <c r="AT42"/>
    </row>
    <row r="43" spans="9:46" s="57" customFormat="1" x14ac:dyDescent="0.25">
      <c r="AJ43"/>
      <c r="AK43"/>
      <c r="AL43"/>
      <c r="AM43"/>
      <c r="AN43"/>
      <c r="AP43" s="58" t="s">
        <v>73</v>
      </c>
      <c r="AQ43" s="57">
        <v>2</v>
      </c>
      <c r="AR43" s="57">
        <v>1</v>
      </c>
      <c r="AS43" s="57">
        <v>3</v>
      </c>
      <c r="AT43"/>
    </row>
    <row r="44" spans="9:46" s="57" customFormat="1" x14ac:dyDescent="0.25">
      <c r="AJ44"/>
      <c r="AK44"/>
      <c r="AL44"/>
      <c r="AM44"/>
      <c r="AN44"/>
      <c r="AP44"/>
      <c r="AQ44"/>
      <c r="AR44"/>
      <c r="AS44"/>
      <c r="AT44"/>
    </row>
    <row r="45" spans="9:46" s="57" customFormat="1" x14ac:dyDescent="0.25">
      <c r="AJ45"/>
      <c r="AK45"/>
      <c r="AL45"/>
      <c r="AM45"/>
      <c r="AP45"/>
      <c r="AQ45"/>
      <c r="AR45"/>
      <c r="AS45"/>
      <c r="AT45"/>
    </row>
    <row r="46" spans="9:46" s="57" customFormat="1" x14ac:dyDescent="0.25"/>
    <row r="47" spans="9:46" s="57" customFormat="1" x14ac:dyDescent="0.25"/>
    <row r="48" spans="9:46" s="57" customFormat="1" x14ac:dyDescent="0.25"/>
    <row r="49" s="57" customFormat="1" x14ac:dyDescent="0.25"/>
    <row r="50" s="57" customFormat="1" x14ac:dyDescent="0.25"/>
    <row r="51" s="57" customFormat="1" x14ac:dyDescent="0.25"/>
    <row r="52" s="57" customFormat="1" x14ac:dyDescent="0.25"/>
    <row r="53" s="57" customFormat="1" x14ac:dyDescent="0.25"/>
    <row r="54" s="57" customFormat="1" x14ac:dyDescent="0.25"/>
    <row r="55" s="57" customFormat="1" x14ac:dyDescent="0.25"/>
    <row r="56" s="57" customFormat="1" x14ac:dyDescent="0.25"/>
    <row r="57" s="57" customFormat="1" x14ac:dyDescent="0.25"/>
    <row r="58" s="57" customFormat="1" x14ac:dyDescent="0.25"/>
    <row r="59" s="57" customFormat="1" x14ac:dyDescent="0.25"/>
    <row r="60" s="57" customFormat="1" x14ac:dyDescent="0.25"/>
    <row r="61" s="57" customFormat="1" x14ac:dyDescent="0.25"/>
    <row r="62" s="57" customFormat="1" x14ac:dyDescent="0.25"/>
    <row r="63" s="57" customFormat="1" x14ac:dyDescent="0.25"/>
    <row r="64" s="57" customFormat="1" x14ac:dyDescent="0.25"/>
    <row r="65" s="57" customFormat="1" x14ac:dyDescent="0.25"/>
    <row r="66" s="57" customFormat="1" x14ac:dyDescent="0.25"/>
    <row r="67" s="57" customFormat="1" x14ac:dyDescent="0.25"/>
    <row r="68" s="57" customFormat="1" x14ac:dyDescent="0.25"/>
    <row r="69" s="57" customFormat="1" x14ac:dyDescent="0.25"/>
  </sheetData>
  <mergeCells count="10">
    <mergeCell ref="J39:K39"/>
    <mergeCell ref="L39:M39"/>
    <mergeCell ref="J40:K40"/>
    <mergeCell ref="L40:M40"/>
    <mergeCell ref="I1:O3"/>
    <mergeCell ref="J34:M34"/>
    <mergeCell ref="J35:M35"/>
    <mergeCell ref="J36:M36"/>
    <mergeCell ref="J38:K38"/>
    <mergeCell ref="L38:M38"/>
  </mergeCells>
  <conditionalFormatting sqref="J35:M35">
    <cfRule type="dataBar" priority="1">
      <dataBar>
        <cfvo type="num" val="0"/>
        <cfvo type="num" val="347"/>
        <color rgb="FFFF555A"/>
      </dataBar>
      <extLst>
        <ext xmlns:x14="http://schemas.microsoft.com/office/spreadsheetml/2009/9/main" uri="{B025F937-C7B1-47D3-B67F-A62EFF666E3E}">
          <x14:id>{731102A4-BA44-4390-8B0C-215C24D0C6B9}</x14:id>
        </ext>
      </extLst>
    </cfRule>
  </conditionalFormatting>
  <conditionalFormatting sqref="J39:M39">
    <cfRule type="dataBar" priority="3">
      <dataBar>
        <cfvo type="num" val="0"/>
        <cfvo type="num" val="100"/>
        <color rgb="FFFF555A"/>
      </dataBar>
      <extLst>
        <ext xmlns:x14="http://schemas.microsoft.com/office/spreadsheetml/2009/9/main" uri="{B025F937-C7B1-47D3-B67F-A62EFF666E3E}">
          <x14:id>{C5FDB39D-CA87-462E-ABC4-8D835744B79C}</x14:id>
        </ext>
      </extLst>
    </cfRule>
  </conditionalFormatting>
  <pageMargins left="0.511811024" right="0.511811024" top="0.78740157499999996" bottom="0.78740157499999996" header="0.31496062000000002" footer="0.31496062000000002"/>
  <drawing r:id="rId3"/>
  <extLst>
    <ext xmlns:x14="http://schemas.microsoft.com/office/spreadsheetml/2009/9/main" uri="{78C0D931-6437-407d-A8EE-F0AAD7539E65}">
      <x14:conditionalFormattings>
        <x14:conditionalFormatting xmlns:xm="http://schemas.microsoft.com/office/excel/2006/main">
          <x14:cfRule type="dataBar" id="{731102A4-BA44-4390-8B0C-215C24D0C6B9}">
            <x14:dataBar minLength="0" maxLength="100" border="1" negativeBarBorderColorSameAsPositive="0">
              <x14:cfvo type="num">
                <xm:f>0</xm:f>
              </x14:cfvo>
              <x14:cfvo type="num">
                <xm:f>347</xm:f>
              </x14:cfvo>
              <x14:borderColor rgb="FFFF555A"/>
              <x14:negativeFillColor rgb="FFFF0000"/>
              <x14:negativeBorderColor rgb="FFFF0000"/>
              <x14:axisColor rgb="FF000000"/>
            </x14:dataBar>
          </x14:cfRule>
          <xm:sqref>J35:M35</xm:sqref>
        </x14:conditionalFormatting>
        <x14:conditionalFormatting xmlns:xm="http://schemas.microsoft.com/office/excel/2006/main">
          <x14:cfRule type="dataBar" id="{C5FDB39D-CA87-462E-ABC4-8D835744B79C}">
            <x14:dataBar minLength="0" maxLength="100" border="1" negativeBarBorderColorSameAsPositive="0">
              <x14:cfvo type="num">
                <xm:f>0</xm:f>
              </x14:cfvo>
              <x14:cfvo type="num">
                <xm:f>100</xm:f>
              </x14:cfvo>
              <x14:borderColor rgb="FFFF555A"/>
              <x14:negativeFillColor rgb="FFFF0000"/>
              <x14:negativeBorderColor rgb="FFFF0000"/>
              <x14:axisColor rgb="FF000000"/>
            </x14:dataBar>
          </x14:cfRule>
          <xm:sqref>J39:M39</xm:sqref>
        </x14:conditionalFormatting>
      </x14:conditionalFormatting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5CB01D-D236-4333-8279-610BC194788D}">
  <sheetPr codeName="Planilha15">
    <tabColor rgb="FF118751"/>
  </sheetPr>
  <dimension ref="A1:XFD180"/>
  <sheetViews>
    <sheetView showGridLines="0" zoomScale="85" zoomScaleNormal="85" workbookViewId="0">
      <pane xSplit="2" ySplit="5" topLeftCell="C6" activePane="bottomRight" state="frozen"/>
      <selection pane="topRight" activeCell="F243" sqref="F243"/>
      <selection pane="bottomLeft" activeCell="F243" sqref="F243"/>
      <selection pane="bottomRight" activeCell="G205" sqref="G205"/>
    </sheetView>
  </sheetViews>
  <sheetFormatPr defaultColWidth="0" defaultRowHeight="15" x14ac:dyDescent="0.25"/>
  <cols>
    <col min="1" max="1" width="15" style="68" customWidth="1"/>
    <col min="2" max="2" width="13.28515625" style="68" bestFit="1" customWidth="1"/>
    <col min="3" max="3" width="14.7109375" style="68" customWidth="1"/>
    <col min="4" max="4" width="12.42578125" style="68" customWidth="1"/>
    <col min="5" max="5" width="13.28515625" style="87" customWidth="1"/>
    <col min="6" max="6" width="14" style="68" customWidth="1"/>
    <col min="7" max="7" width="20.28515625" style="86" customWidth="1"/>
    <col min="8" max="8" width="48.7109375" style="71" customWidth="1"/>
    <col min="9" max="9" width="23.140625" style="68" bestFit="1" customWidth="1"/>
    <col min="10" max="10" width="24.7109375" style="68" customWidth="1"/>
    <col min="11" max="11" width="74.7109375" style="72" customWidth="1"/>
    <col min="12" max="12" width="9.7109375" style="73" customWidth="1"/>
    <col min="13" max="13" width="27.7109375" style="74" bestFit="1" customWidth="1"/>
    <col min="14" max="14" width="24" style="57" hidden="1" customWidth="1"/>
    <col min="15" max="15" width="14.28515625" style="72" hidden="1" customWidth="1"/>
    <col min="16" max="16" width="15.7109375" style="72" hidden="1" customWidth="1"/>
    <col min="17" max="17" width="19.140625" style="57" hidden="1" customWidth="1"/>
    <col min="18" max="19" width="10.28515625" style="57" hidden="1" customWidth="1"/>
    <col min="20" max="16384" width="8.85546875" style="57" hidden="1"/>
  </cols>
  <sheetData>
    <row r="1" spans="1:18" s="56" customFormat="1" ht="22.15" customHeight="1" x14ac:dyDescent="0.25">
      <c r="A1" s="62"/>
      <c r="B1" s="62"/>
      <c r="C1" s="62"/>
      <c r="D1" s="62"/>
      <c r="E1" s="63"/>
      <c r="F1" s="62"/>
      <c r="G1" s="64"/>
      <c r="H1" s="186" t="s">
        <v>807</v>
      </c>
      <c r="I1" s="62"/>
      <c r="J1" s="62"/>
      <c r="K1" s="65"/>
      <c r="L1" s="66"/>
      <c r="M1" s="67"/>
      <c r="N1"/>
      <c r="O1" s="1"/>
      <c r="P1" s="1"/>
      <c r="Q1"/>
      <c r="R1"/>
    </row>
    <row r="2" spans="1:18" s="56" customFormat="1" ht="21" customHeight="1" x14ac:dyDescent="0.25">
      <c r="A2" s="62"/>
      <c r="B2" s="62"/>
      <c r="C2" s="62"/>
      <c r="D2" s="62"/>
      <c r="E2" s="63"/>
      <c r="F2" s="62"/>
      <c r="G2" s="64"/>
      <c r="H2" s="186"/>
      <c r="I2" s="62"/>
      <c r="J2" s="62"/>
      <c r="K2" s="65"/>
      <c r="L2" s="66"/>
      <c r="M2" s="67"/>
      <c r="N2"/>
      <c r="O2" s="1"/>
      <c r="P2" s="1"/>
      <c r="Q2"/>
      <c r="R2"/>
    </row>
    <row r="3" spans="1:18" x14ac:dyDescent="0.25">
      <c r="N3"/>
      <c r="O3" s="1"/>
      <c r="P3" s="1"/>
      <c r="Q3"/>
      <c r="R3"/>
    </row>
    <row r="4" spans="1:18" customFormat="1" hidden="1" x14ac:dyDescent="0.25">
      <c r="A4" s="7"/>
      <c r="B4" s="7"/>
      <c r="C4" s="5" t="s">
        <v>213</v>
      </c>
      <c r="D4" s="7"/>
      <c r="E4" s="30"/>
      <c r="F4" s="29">
        <f ca="1">TODAY()</f>
        <v>46290</v>
      </c>
      <c r="G4" s="46"/>
      <c r="H4" s="20"/>
      <c r="I4" s="7"/>
      <c r="J4" s="7"/>
      <c r="K4" s="1"/>
      <c r="L4" s="43"/>
      <c r="M4" s="8"/>
      <c r="O4" s="1"/>
      <c r="P4" s="19"/>
    </row>
    <row r="5" spans="1:18" s="6" customFormat="1" ht="46.9" customHeight="1" x14ac:dyDescent="0.25">
      <c r="A5" s="80" t="s">
        <v>34</v>
      </c>
      <c r="B5" s="80" t="s">
        <v>33</v>
      </c>
      <c r="C5" s="80" t="s">
        <v>45</v>
      </c>
      <c r="D5" s="80" t="s">
        <v>214</v>
      </c>
      <c r="E5" s="80" t="s">
        <v>62</v>
      </c>
      <c r="F5" s="80" t="s">
        <v>47</v>
      </c>
      <c r="G5" s="81" t="s">
        <v>46</v>
      </c>
      <c r="H5" s="82" t="s">
        <v>48</v>
      </c>
      <c r="I5" s="80" t="s">
        <v>49</v>
      </c>
      <c r="J5" s="80" t="s">
        <v>39</v>
      </c>
      <c r="K5" s="82" t="s">
        <v>215</v>
      </c>
      <c r="L5" s="83" t="s">
        <v>216</v>
      </c>
      <c r="M5" s="84" t="s">
        <v>217</v>
      </c>
      <c r="N5" s="42" t="s">
        <v>218</v>
      </c>
      <c r="O5" s="45" t="s">
        <v>219</v>
      </c>
      <c r="P5" s="41" t="s">
        <v>220</v>
      </c>
      <c r="Q5" s="41" t="s">
        <v>221</v>
      </c>
      <c r="R5" s="15">
        <v>45292</v>
      </c>
    </row>
    <row r="6" spans="1:18" s="102" customFormat="1" ht="188.45" customHeight="1" x14ac:dyDescent="0.25">
      <c r="A6" s="88" t="s">
        <v>810</v>
      </c>
      <c r="B6" s="88" t="s">
        <v>813</v>
      </c>
      <c r="C6" s="90">
        <v>46203</v>
      </c>
      <c r="D6" s="148">
        <v>46220</v>
      </c>
      <c r="E6" s="88" t="s">
        <v>223</v>
      </c>
      <c r="F6" s="88" t="str">
        <f t="shared" ref="F6:F25" ca="1" si="0">IF(D6="",TODAY()-C6,"-")</f>
        <v>-</v>
      </c>
      <c r="G6" s="96"/>
      <c r="H6" s="96" t="s">
        <v>814</v>
      </c>
      <c r="I6" s="88" t="s">
        <v>19</v>
      </c>
      <c r="J6" s="146" t="s">
        <v>74</v>
      </c>
      <c r="K6" s="91" t="s">
        <v>815</v>
      </c>
      <c r="L6" s="96"/>
      <c r="M6" s="96" t="s">
        <v>11</v>
      </c>
      <c r="N6" s="96"/>
      <c r="O6" s="96"/>
      <c r="P6" s="96"/>
      <c r="Q6" s="96"/>
      <c r="R6" s="96"/>
    </row>
    <row r="7" spans="1:18" s="99" customFormat="1" ht="64.900000000000006" customHeight="1" x14ac:dyDescent="0.25">
      <c r="A7" s="88" t="s">
        <v>810</v>
      </c>
      <c r="B7" s="88" t="s">
        <v>816</v>
      </c>
      <c r="C7" s="90">
        <v>46189</v>
      </c>
      <c r="D7" s="96"/>
      <c r="E7" s="88" t="s">
        <v>63</v>
      </c>
      <c r="F7" s="88">
        <f t="shared" ca="1" si="0"/>
        <v>101</v>
      </c>
      <c r="G7" s="96"/>
      <c r="H7" s="93" t="s">
        <v>370</v>
      </c>
      <c r="I7" s="88" t="s">
        <v>21</v>
      </c>
      <c r="J7" s="88" t="s">
        <v>75</v>
      </c>
      <c r="K7" s="91" t="s">
        <v>817</v>
      </c>
      <c r="L7" s="96"/>
      <c r="M7" s="96" t="s">
        <v>11</v>
      </c>
      <c r="N7" s="96"/>
      <c r="O7" s="96"/>
      <c r="P7" s="96"/>
      <c r="Q7" s="96"/>
      <c r="R7" s="96"/>
    </row>
    <row r="8" spans="1:18" s="99" customFormat="1" ht="100.15" customHeight="1" x14ac:dyDescent="0.25">
      <c r="A8" s="88" t="s">
        <v>810</v>
      </c>
      <c r="B8" s="88" t="s">
        <v>826</v>
      </c>
      <c r="C8" s="90">
        <v>46218</v>
      </c>
      <c r="D8" s="148">
        <v>46220</v>
      </c>
      <c r="E8" s="88" t="s">
        <v>223</v>
      </c>
      <c r="F8" s="88" t="str">
        <f t="shared" ca="1" si="0"/>
        <v>-</v>
      </c>
      <c r="G8" s="93"/>
      <c r="H8" s="93" t="s">
        <v>827</v>
      </c>
      <c r="I8" s="88" t="s">
        <v>27</v>
      </c>
      <c r="J8" s="88" t="s">
        <v>75</v>
      </c>
      <c r="K8" s="91" t="s">
        <v>828</v>
      </c>
      <c r="L8" s="93"/>
      <c r="M8" s="93" t="s">
        <v>229</v>
      </c>
      <c r="N8" s="93"/>
      <c r="O8" s="93"/>
      <c r="P8" s="93"/>
      <c r="Q8" s="93"/>
      <c r="R8" s="93"/>
    </row>
    <row r="9" spans="1:18" s="99" customFormat="1" ht="58.15" customHeight="1" x14ac:dyDescent="0.25">
      <c r="A9" s="88" t="s">
        <v>810</v>
      </c>
      <c r="B9" s="88" t="s">
        <v>820</v>
      </c>
      <c r="C9" s="90">
        <v>46227</v>
      </c>
      <c r="D9" s="93"/>
      <c r="E9" s="88" t="s">
        <v>63</v>
      </c>
      <c r="F9" s="88">
        <f t="shared" ca="1" si="0"/>
        <v>63</v>
      </c>
      <c r="G9" s="90"/>
      <c r="H9" s="93" t="s">
        <v>821</v>
      </c>
      <c r="I9" s="88" t="s">
        <v>19</v>
      </c>
      <c r="J9" s="88" t="s">
        <v>74</v>
      </c>
      <c r="K9" s="91" t="s">
        <v>822</v>
      </c>
      <c r="L9" s="93"/>
      <c r="M9" s="93" t="s">
        <v>11</v>
      </c>
      <c r="N9" s="159"/>
      <c r="O9" s="159"/>
      <c r="P9" s="159"/>
      <c r="Q9" s="159"/>
      <c r="R9" s="159"/>
    </row>
    <row r="10" spans="1:18" s="99" customFormat="1" ht="76.150000000000006" customHeight="1" x14ac:dyDescent="0.25">
      <c r="A10" s="88" t="s">
        <v>809</v>
      </c>
      <c r="B10" s="88" t="s">
        <v>829</v>
      </c>
      <c r="C10" s="90">
        <v>46216</v>
      </c>
      <c r="D10" s="90">
        <v>46227</v>
      </c>
      <c r="E10" s="88" t="s">
        <v>223</v>
      </c>
      <c r="F10" s="88" t="str">
        <f t="shared" ca="1" si="0"/>
        <v>-</v>
      </c>
      <c r="G10" s="96"/>
      <c r="H10" s="93" t="s">
        <v>830</v>
      </c>
      <c r="I10" s="88" t="s">
        <v>27</v>
      </c>
      <c r="J10" s="88" t="s">
        <v>74</v>
      </c>
      <c r="K10" s="91" t="s">
        <v>831</v>
      </c>
      <c r="L10" s="149">
        <v>1</v>
      </c>
      <c r="M10" s="96" t="s">
        <v>11</v>
      </c>
      <c r="N10" s="96"/>
      <c r="O10" s="96"/>
      <c r="P10" s="96"/>
      <c r="Q10" s="96"/>
      <c r="R10" s="96"/>
    </row>
    <row r="11" spans="1:18" s="102" customFormat="1" ht="59.45" customHeight="1" x14ac:dyDescent="0.25">
      <c r="A11" s="88" t="s">
        <v>810</v>
      </c>
      <c r="B11" s="88" t="s">
        <v>832</v>
      </c>
      <c r="C11" s="90">
        <v>46224</v>
      </c>
      <c r="D11" s="90">
        <v>46235</v>
      </c>
      <c r="E11" s="88" t="s">
        <v>223</v>
      </c>
      <c r="F11" s="88" t="str">
        <f t="shared" ca="1" si="0"/>
        <v>-</v>
      </c>
      <c r="G11" s="90">
        <v>46234</v>
      </c>
      <c r="H11" s="93" t="s">
        <v>827</v>
      </c>
      <c r="I11" s="88" t="s">
        <v>27</v>
      </c>
      <c r="J11" s="88" t="s">
        <v>75</v>
      </c>
      <c r="K11" s="91" t="s">
        <v>833</v>
      </c>
      <c r="L11" s="93"/>
      <c r="M11" s="93" t="s">
        <v>229</v>
      </c>
      <c r="N11" s="93"/>
      <c r="O11" s="93"/>
      <c r="P11" s="93"/>
      <c r="Q11" s="93"/>
      <c r="R11" s="93"/>
    </row>
    <row r="12" spans="1:18" s="99" customFormat="1" ht="74.45" customHeight="1" x14ac:dyDescent="0.25">
      <c r="A12" s="88" t="s">
        <v>809</v>
      </c>
      <c r="B12" s="88" t="s">
        <v>834</v>
      </c>
      <c r="C12" s="90">
        <v>46217</v>
      </c>
      <c r="D12" s="148">
        <v>46237</v>
      </c>
      <c r="E12" s="88" t="s">
        <v>223</v>
      </c>
      <c r="F12" s="88" t="str">
        <f t="shared" ca="1" si="0"/>
        <v>-</v>
      </c>
      <c r="G12" s="90">
        <v>46235</v>
      </c>
      <c r="H12" s="93" t="s">
        <v>835</v>
      </c>
      <c r="I12" s="88" t="s">
        <v>836</v>
      </c>
      <c r="J12" s="88" t="s">
        <v>225</v>
      </c>
      <c r="K12" s="91" t="s">
        <v>837</v>
      </c>
      <c r="L12" s="96"/>
      <c r="M12" s="93" t="s">
        <v>229</v>
      </c>
      <c r="N12" s="96"/>
      <c r="O12" s="96"/>
      <c r="P12" s="96"/>
      <c r="Q12" s="96"/>
      <c r="R12" s="96"/>
    </row>
    <row r="13" spans="1:18" s="99" customFormat="1" ht="49.15" customHeight="1" x14ac:dyDescent="0.25">
      <c r="A13" s="88" t="s">
        <v>809</v>
      </c>
      <c r="B13" s="88" t="s">
        <v>838</v>
      </c>
      <c r="C13" s="90">
        <v>46237</v>
      </c>
      <c r="D13" s="148">
        <v>46240</v>
      </c>
      <c r="E13" s="88" t="s">
        <v>223</v>
      </c>
      <c r="F13" s="88" t="str">
        <f t="shared" ca="1" si="0"/>
        <v>-</v>
      </c>
      <c r="G13" s="90"/>
      <c r="H13" s="93" t="s">
        <v>511</v>
      </c>
      <c r="I13" s="88" t="s">
        <v>27</v>
      </c>
      <c r="J13" s="88" t="s">
        <v>75</v>
      </c>
      <c r="K13" s="91" t="s">
        <v>839</v>
      </c>
      <c r="L13" s="93"/>
      <c r="M13" s="93" t="s">
        <v>11</v>
      </c>
      <c r="N13" s="159"/>
      <c r="O13" s="159"/>
      <c r="P13" s="159"/>
      <c r="Q13" s="159"/>
      <c r="R13" s="159"/>
    </row>
    <row r="14" spans="1:18" ht="93" customHeight="1" x14ac:dyDescent="0.25">
      <c r="A14" s="88" t="s">
        <v>809</v>
      </c>
      <c r="B14" s="88" t="s">
        <v>840</v>
      </c>
      <c r="C14" s="90">
        <v>46186</v>
      </c>
      <c r="D14" s="148">
        <v>46247</v>
      </c>
      <c r="E14" s="88" t="s">
        <v>223</v>
      </c>
      <c r="F14" s="88" t="str">
        <f t="shared" ca="1" si="0"/>
        <v>-</v>
      </c>
      <c r="G14" s="90">
        <v>46247</v>
      </c>
      <c r="H14" s="93" t="s">
        <v>824</v>
      </c>
      <c r="I14" s="88" t="s">
        <v>16</v>
      </c>
      <c r="J14" s="88" t="s">
        <v>75</v>
      </c>
      <c r="K14" s="91" t="s">
        <v>841</v>
      </c>
      <c r="L14" s="93"/>
      <c r="M14" s="93" t="s">
        <v>229</v>
      </c>
      <c r="N14" s="102"/>
      <c r="O14" s="102"/>
      <c r="P14" s="102"/>
      <c r="Q14" s="102"/>
      <c r="R14" s="102"/>
    </row>
    <row r="15" spans="1:18" ht="43.9" customHeight="1" x14ac:dyDescent="0.25">
      <c r="A15" s="88" t="s">
        <v>810</v>
      </c>
      <c r="B15" s="88" t="s">
        <v>842</v>
      </c>
      <c r="C15" s="90">
        <v>46241</v>
      </c>
      <c r="D15" s="148">
        <v>46254</v>
      </c>
      <c r="E15" s="88" t="s">
        <v>223</v>
      </c>
      <c r="F15" s="88" t="str">
        <f t="shared" ca="1" si="0"/>
        <v>-</v>
      </c>
      <c r="G15" s="90"/>
      <c r="H15" s="93" t="s">
        <v>843</v>
      </c>
      <c r="I15" s="88" t="s">
        <v>16</v>
      </c>
      <c r="J15" s="88" t="s">
        <v>75</v>
      </c>
      <c r="K15" s="91" t="s">
        <v>844</v>
      </c>
      <c r="L15" s="93"/>
      <c r="M15" s="93" t="s">
        <v>229</v>
      </c>
      <c r="N15" s="163"/>
      <c r="O15" s="163"/>
      <c r="P15" s="115"/>
      <c r="Q15" s="102"/>
      <c r="R15" s="163"/>
    </row>
    <row r="16" spans="1:18" ht="49.15" customHeight="1" x14ac:dyDescent="0.25">
      <c r="A16" s="88" t="s">
        <v>809</v>
      </c>
      <c r="B16" s="88" t="s">
        <v>851</v>
      </c>
      <c r="C16" s="90">
        <v>46252</v>
      </c>
      <c r="D16" s="148">
        <v>46254</v>
      </c>
      <c r="E16" s="88" t="s">
        <v>223</v>
      </c>
      <c r="F16" s="88" t="str">
        <f t="shared" ca="1" si="0"/>
        <v>-</v>
      </c>
      <c r="G16" s="90">
        <v>46255</v>
      </c>
      <c r="H16" s="93" t="s">
        <v>852</v>
      </c>
      <c r="I16" s="88" t="s">
        <v>27</v>
      </c>
      <c r="J16" s="88" t="s">
        <v>75</v>
      </c>
      <c r="K16" s="91" t="s">
        <v>853</v>
      </c>
      <c r="L16" s="93"/>
      <c r="M16" s="93" t="s">
        <v>11</v>
      </c>
      <c r="O16" s="57"/>
      <c r="P16" s="57"/>
    </row>
    <row r="17" spans="1:16384" ht="94.15" customHeight="1" x14ac:dyDescent="0.25">
      <c r="A17" s="88" t="s">
        <v>809</v>
      </c>
      <c r="B17" s="88" t="s">
        <v>847</v>
      </c>
      <c r="C17" s="90">
        <v>46245</v>
      </c>
      <c r="D17" s="90">
        <v>46261</v>
      </c>
      <c r="E17" s="88" t="s">
        <v>223</v>
      </c>
      <c r="F17" s="88" t="str">
        <f t="shared" ca="1" si="0"/>
        <v>-</v>
      </c>
      <c r="G17" s="90">
        <v>46261</v>
      </c>
      <c r="H17" s="93" t="s">
        <v>848</v>
      </c>
      <c r="I17" s="88" t="s">
        <v>849</v>
      </c>
      <c r="J17" s="88" t="s">
        <v>75</v>
      </c>
      <c r="K17" s="91" t="s">
        <v>850</v>
      </c>
      <c r="L17" s="93"/>
      <c r="M17" s="93" t="s">
        <v>229</v>
      </c>
      <c r="N17" s="159"/>
      <c r="O17" s="159"/>
      <c r="P17" s="159"/>
      <c r="Q17" s="159"/>
      <c r="R17" s="159"/>
      <c r="S17" s="88"/>
      <c r="T17" s="90"/>
      <c r="U17" s="93"/>
      <c r="V17" s="88"/>
      <c r="W17" s="88"/>
      <c r="X17" s="91"/>
      <c r="Y17" s="93"/>
      <c r="Z17" s="93"/>
      <c r="AA17" s="88"/>
      <c r="AB17" s="88"/>
      <c r="AC17" s="90"/>
      <c r="AD17" s="148"/>
      <c r="AE17" s="88"/>
      <c r="AF17" s="88"/>
      <c r="AG17" s="90"/>
      <c r="AH17" s="93"/>
      <c r="AI17" s="88"/>
      <c r="AJ17" s="88"/>
      <c r="AK17" s="91"/>
      <c r="AL17" s="93"/>
      <c r="AM17" s="93"/>
      <c r="AN17" s="88"/>
      <c r="AO17" s="88"/>
      <c r="AP17" s="90"/>
      <c r="AQ17" s="148"/>
      <c r="AR17" s="88"/>
      <c r="AS17" s="88"/>
      <c r="AT17" s="90"/>
      <c r="AU17" s="93"/>
      <c r="AV17" s="88"/>
      <c r="AW17" s="88"/>
      <c r="AX17" s="91"/>
      <c r="AY17" s="93"/>
      <c r="AZ17" s="93"/>
      <c r="BA17" s="88"/>
      <c r="BB17" s="88"/>
      <c r="BC17" s="90"/>
      <c r="BD17" s="148"/>
      <c r="BE17" s="88"/>
      <c r="BF17" s="88"/>
      <c r="BG17" s="90"/>
      <c r="BH17" s="93"/>
      <c r="BI17" s="88"/>
      <c r="BJ17" s="88"/>
      <c r="BK17" s="91"/>
      <c r="BL17" s="93"/>
      <c r="BM17" s="93"/>
      <c r="BN17" s="88"/>
      <c r="BO17" s="88"/>
      <c r="BP17" s="90"/>
      <c r="BQ17" s="148"/>
      <c r="BR17" s="88"/>
      <c r="BS17" s="88"/>
      <c r="BT17" s="90"/>
      <c r="BU17" s="93"/>
      <c r="BV17" s="88"/>
      <c r="BW17" s="88"/>
      <c r="BX17" s="91"/>
      <c r="BY17" s="93"/>
      <c r="BZ17" s="93"/>
      <c r="CA17" s="88"/>
      <c r="CB17" s="88"/>
      <c r="CC17" s="90"/>
      <c r="CD17" s="148"/>
      <c r="CE17" s="88"/>
      <c r="CF17" s="88"/>
      <c r="CG17" s="90"/>
      <c r="CH17" s="93"/>
      <c r="CI17" s="88"/>
      <c r="CJ17" s="88"/>
      <c r="CK17" s="91"/>
      <c r="CL17" s="93"/>
      <c r="CM17" s="93"/>
      <c r="CN17" s="88"/>
      <c r="CO17" s="88"/>
      <c r="CP17" s="90"/>
      <c r="CQ17" s="148"/>
      <c r="CR17" s="88"/>
      <c r="CS17" s="88"/>
      <c r="CT17" s="90"/>
      <c r="CU17" s="93"/>
      <c r="CV17" s="88"/>
      <c r="CW17" s="88"/>
      <c r="CX17" s="91"/>
      <c r="CY17" s="93"/>
      <c r="CZ17" s="93"/>
      <c r="DA17" s="88"/>
      <c r="DB17" s="88"/>
      <c r="DC17" s="90"/>
      <c r="DD17" s="148"/>
      <c r="DE17" s="88"/>
      <c r="DF17" s="88"/>
      <c r="DG17" s="90"/>
      <c r="DH17" s="93"/>
      <c r="DI17" s="88"/>
      <c r="DJ17" s="88"/>
      <c r="DK17" s="91"/>
      <c r="DL17" s="93"/>
      <c r="DM17" s="93"/>
      <c r="DN17" s="88"/>
      <c r="DO17" s="88"/>
      <c r="DP17" s="90"/>
      <c r="DQ17" s="148"/>
      <c r="DR17" s="88"/>
      <c r="DS17" s="88"/>
      <c r="DT17" s="90"/>
      <c r="DU17" s="93"/>
      <c r="DV17" s="88"/>
      <c r="DW17" s="88"/>
      <c r="DX17" s="91"/>
      <c r="DY17" s="93"/>
      <c r="DZ17" s="93"/>
      <c r="EA17" s="88"/>
      <c r="EB17" s="88"/>
      <c r="EC17" s="90"/>
      <c r="ED17" s="148"/>
      <c r="EE17" s="88"/>
      <c r="EF17" s="88"/>
      <c r="EG17" s="90"/>
      <c r="EH17" s="93"/>
      <c r="EI17" s="88"/>
      <c r="EJ17" s="88"/>
      <c r="EK17" s="91"/>
      <c r="EL17" s="93"/>
      <c r="EM17" s="93"/>
      <c r="EN17" s="88"/>
      <c r="EO17" s="88"/>
      <c r="EP17" s="90"/>
      <c r="EQ17" s="148"/>
      <c r="ER17" s="88"/>
      <c r="ES17" s="88"/>
      <c r="ET17" s="90"/>
      <c r="EU17" s="93"/>
      <c r="EV17" s="88"/>
      <c r="EW17" s="88"/>
      <c r="EX17" s="91"/>
      <c r="EY17" s="93"/>
      <c r="EZ17" s="93"/>
      <c r="FA17" s="88"/>
      <c r="FB17" s="88"/>
      <c r="FC17" s="90"/>
      <c r="FD17" s="148"/>
      <c r="FE17" s="88"/>
      <c r="FF17" s="88"/>
      <c r="FG17" s="90"/>
      <c r="FH17" s="93"/>
      <c r="FI17" s="88"/>
      <c r="FJ17" s="88"/>
      <c r="FK17" s="91"/>
      <c r="FL17" s="93"/>
      <c r="FM17" s="93"/>
      <c r="FN17" s="88"/>
      <c r="FO17" s="88"/>
      <c r="FP17" s="90"/>
      <c r="FQ17" s="148"/>
      <c r="FR17" s="88"/>
      <c r="FS17" s="88"/>
      <c r="FT17" s="90"/>
      <c r="FU17" s="93"/>
      <c r="FV17" s="88"/>
      <c r="FW17" s="88"/>
      <c r="FX17" s="91"/>
      <c r="FY17" s="93"/>
      <c r="FZ17" s="93"/>
      <c r="GA17" s="88"/>
      <c r="GB17" s="88"/>
      <c r="GC17" s="90"/>
      <c r="GD17" s="148"/>
      <c r="GE17" s="88"/>
      <c r="GF17" s="88"/>
      <c r="GG17" s="90"/>
      <c r="GH17" s="93"/>
      <c r="GI17" s="88"/>
      <c r="GJ17" s="88"/>
      <c r="GK17" s="91"/>
      <c r="GL17" s="93"/>
      <c r="GM17" s="93"/>
      <c r="GN17" s="88"/>
      <c r="GO17" s="88"/>
      <c r="GP17" s="90"/>
      <c r="GQ17" s="148"/>
      <c r="GR17" s="88"/>
      <c r="GS17" s="88"/>
      <c r="GT17" s="90"/>
      <c r="GU17" s="93"/>
      <c r="GV17" s="88"/>
      <c r="GW17" s="88"/>
      <c r="GX17" s="91"/>
      <c r="GY17" s="93"/>
      <c r="GZ17" s="93"/>
      <c r="HA17" s="88"/>
      <c r="HB17" s="88"/>
      <c r="HC17" s="90"/>
      <c r="HD17" s="148"/>
      <c r="HE17" s="88"/>
      <c r="HF17" s="88"/>
      <c r="HG17" s="90"/>
      <c r="HH17" s="93"/>
      <c r="HI17" s="88"/>
      <c r="HJ17" s="88"/>
      <c r="HK17" s="91"/>
      <c r="HL17" s="93"/>
      <c r="HM17" s="93"/>
      <c r="HN17" s="88"/>
      <c r="HO17" s="88"/>
      <c r="HP17" s="90"/>
      <c r="HQ17" s="148"/>
      <c r="HR17" s="88"/>
      <c r="HS17" s="88"/>
      <c r="HT17" s="90"/>
      <c r="HU17" s="93"/>
      <c r="HV17" s="88"/>
      <c r="HW17" s="88"/>
      <c r="HX17" s="91"/>
      <c r="HY17" s="93"/>
      <c r="HZ17" s="93"/>
      <c r="IA17" s="88"/>
      <c r="IB17" s="88"/>
      <c r="IC17" s="90"/>
      <c r="ID17" s="148"/>
      <c r="IE17" s="88"/>
      <c r="IF17" s="88"/>
      <c r="IG17" s="90"/>
      <c r="IH17" s="93"/>
      <c r="II17" s="88"/>
      <c r="IJ17" s="88"/>
      <c r="IK17" s="91"/>
      <c r="IL17" s="93"/>
      <c r="IM17" s="93"/>
      <c r="IN17" s="88"/>
      <c r="IO17" s="88"/>
      <c r="IP17" s="90"/>
      <c r="IQ17" s="148"/>
      <c r="IR17" s="88"/>
      <c r="IS17" s="88"/>
      <c r="IT17" s="90"/>
      <c r="IU17" s="93"/>
      <c r="IV17" s="88"/>
      <c r="IW17" s="88"/>
      <c r="IX17" s="91"/>
      <c r="IY17" s="93"/>
      <c r="IZ17" s="93"/>
      <c r="JA17" s="88"/>
      <c r="JB17" s="88"/>
      <c r="JC17" s="90"/>
      <c r="JD17" s="148"/>
      <c r="JE17" s="88"/>
      <c r="JF17" s="88"/>
      <c r="JG17" s="90"/>
      <c r="JH17" s="93"/>
      <c r="JI17" s="88"/>
      <c r="JJ17" s="88"/>
      <c r="JK17" s="91"/>
      <c r="JL17" s="93"/>
      <c r="JM17" s="93"/>
      <c r="JN17" s="88"/>
      <c r="JO17" s="88"/>
      <c r="JP17" s="90"/>
      <c r="JQ17" s="148"/>
      <c r="JR17" s="88"/>
      <c r="JS17" s="88"/>
      <c r="JT17" s="90"/>
      <c r="JU17" s="93"/>
      <c r="JV17" s="88"/>
      <c r="JW17" s="88"/>
      <c r="JX17" s="91"/>
      <c r="JY17" s="93"/>
      <c r="JZ17" s="93"/>
      <c r="KA17" s="88"/>
      <c r="KB17" s="88"/>
      <c r="KC17" s="90"/>
      <c r="KD17" s="148"/>
      <c r="KE17" s="88"/>
      <c r="KF17" s="88"/>
      <c r="KG17" s="90"/>
      <c r="KH17" s="93"/>
      <c r="KI17" s="88"/>
      <c r="KJ17" s="88"/>
      <c r="KK17" s="91"/>
      <c r="KL17" s="93"/>
      <c r="KM17" s="93"/>
      <c r="KN17" s="88"/>
      <c r="KO17" s="88"/>
      <c r="KP17" s="90"/>
      <c r="KQ17" s="148"/>
      <c r="KR17" s="88"/>
      <c r="KS17" s="88"/>
      <c r="KT17" s="90"/>
      <c r="KU17" s="93"/>
      <c r="KV17" s="88"/>
      <c r="KW17" s="88"/>
      <c r="KX17" s="91"/>
      <c r="KY17" s="93"/>
      <c r="KZ17" s="93"/>
      <c r="LA17" s="88"/>
      <c r="LB17" s="88"/>
      <c r="LC17" s="90"/>
      <c r="LD17" s="148"/>
      <c r="LE17" s="88"/>
      <c r="LF17" s="88"/>
      <c r="LG17" s="90"/>
      <c r="LH17" s="93"/>
      <c r="LI17" s="88"/>
      <c r="LJ17" s="88"/>
      <c r="LK17" s="91"/>
      <c r="LL17" s="93"/>
      <c r="LM17" s="93"/>
      <c r="LN17" s="88"/>
      <c r="LO17" s="88"/>
      <c r="LP17" s="90"/>
      <c r="LQ17" s="148"/>
      <c r="LR17" s="88"/>
      <c r="LS17" s="88"/>
      <c r="LT17" s="90"/>
      <c r="LU17" s="93"/>
      <c r="LV17" s="88"/>
      <c r="LW17" s="88"/>
      <c r="LX17" s="91"/>
      <c r="LY17" s="93"/>
      <c r="LZ17" s="93"/>
      <c r="MA17" s="88"/>
      <c r="MB17" s="88"/>
      <c r="MC17" s="90"/>
      <c r="MD17" s="148"/>
      <c r="ME17" s="88"/>
      <c r="MF17" s="88"/>
      <c r="MG17" s="90"/>
      <c r="MH17" s="93"/>
      <c r="MI17" s="88"/>
      <c r="MJ17" s="88"/>
      <c r="MK17" s="91"/>
      <c r="ML17" s="93"/>
      <c r="MM17" s="93"/>
      <c r="MN17" s="88"/>
      <c r="MO17" s="88"/>
      <c r="MP17" s="90"/>
      <c r="MQ17" s="148"/>
      <c r="MR17" s="88"/>
      <c r="MS17" s="88"/>
      <c r="MT17" s="90"/>
      <c r="MU17" s="93"/>
      <c r="MV17" s="88"/>
      <c r="MW17" s="88"/>
      <c r="MX17" s="91"/>
      <c r="MY17" s="93"/>
      <c r="MZ17" s="93"/>
      <c r="NA17" s="88"/>
      <c r="NB17" s="88"/>
      <c r="NC17" s="90"/>
      <c r="ND17" s="148"/>
      <c r="NE17" s="88"/>
      <c r="NF17" s="88"/>
      <c r="NG17" s="90"/>
      <c r="NH17" s="93"/>
      <c r="NI17" s="88"/>
      <c r="NJ17" s="88"/>
      <c r="NK17" s="91"/>
      <c r="NL17" s="93"/>
      <c r="NM17" s="93"/>
      <c r="NN17" s="88"/>
      <c r="NO17" s="88"/>
      <c r="NP17" s="90"/>
      <c r="NQ17" s="148"/>
      <c r="NR17" s="88"/>
      <c r="NS17" s="88"/>
      <c r="NT17" s="90"/>
      <c r="NU17" s="93"/>
      <c r="NV17" s="88"/>
      <c r="NW17" s="88"/>
      <c r="NX17" s="91"/>
      <c r="NY17" s="93"/>
      <c r="NZ17" s="93"/>
      <c r="OA17" s="88"/>
      <c r="OB17" s="88"/>
      <c r="OC17" s="90"/>
      <c r="OD17" s="148"/>
      <c r="OE17" s="88"/>
      <c r="OF17" s="88"/>
      <c r="OG17" s="90"/>
      <c r="OH17" s="93"/>
      <c r="OI17" s="88"/>
      <c r="OJ17" s="88"/>
      <c r="OK17" s="91"/>
      <c r="OL17" s="93"/>
      <c r="OM17" s="93"/>
      <c r="ON17" s="88"/>
      <c r="OO17" s="88"/>
      <c r="OP17" s="90"/>
      <c r="OQ17" s="148"/>
      <c r="OR17" s="88"/>
      <c r="OS17" s="88"/>
      <c r="OT17" s="90"/>
      <c r="OU17" s="93"/>
      <c r="OV17" s="88"/>
      <c r="OW17" s="88"/>
      <c r="OX17" s="91"/>
      <c r="OY17" s="93"/>
      <c r="OZ17" s="93"/>
      <c r="PA17" s="88"/>
      <c r="PB17" s="88"/>
      <c r="PC17" s="90"/>
      <c r="PD17" s="148"/>
      <c r="PE17" s="88"/>
      <c r="PF17" s="88"/>
      <c r="PG17" s="90"/>
      <c r="PH17" s="93"/>
      <c r="PI17" s="88"/>
      <c r="PJ17" s="88"/>
      <c r="PK17" s="91"/>
      <c r="PL17" s="93"/>
      <c r="PM17" s="93"/>
      <c r="PN17" s="88"/>
      <c r="PO17" s="88"/>
      <c r="PP17" s="90"/>
      <c r="PQ17" s="148"/>
      <c r="PR17" s="88"/>
      <c r="PS17" s="88"/>
      <c r="PT17" s="90"/>
      <c r="PU17" s="93"/>
      <c r="PV17" s="88"/>
      <c r="PW17" s="88"/>
      <c r="PX17" s="91"/>
      <c r="PY17" s="93"/>
      <c r="PZ17" s="93"/>
      <c r="QA17" s="88"/>
      <c r="QB17" s="88"/>
      <c r="QC17" s="90"/>
      <c r="QD17" s="148"/>
      <c r="QE17" s="88"/>
      <c r="QF17" s="88"/>
      <c r="QG17" s="90"/>
      <c r="QH17" s="93"/>
      <c r="QI17" s="88"/>
      <c r="QJ17" s="88"/>
      <c r="QK17" s="91"/>
      <c r="QL17" s="93"/>
      <c r="QM17" s="93"/>
      <c r="QN17" s="88"/>
      <c r="QO17" s="88"/>
      <c r="QP17" s="90"/>
      <c r="QQ17" s="148"/>
      <c r="QR17" s="88"/>
      <c r="QS17" s="88"/>
      <c r="QT17" s="90"/>
      <c r="QU17" s="93"/>
      <c r="QV17" s="88"/>
      <c r="QW17" s="88"/>
      <c r="QX17" s="91"/>
      <c r="QY17" s="93"/>
      <c r="QZ17" s="93"/>
      <c r="RA17" s="88"/>
      <c r="RB17" s="88"/>
      <c r="RC17" s="90"/>
      <c r="RD17" s="148"/>
      <c r="RE17" s="88"/>
      <c r="RF17" s="88"/>
      <c r="RG17" s="90"/>
      <c r="RH17" s="93"/>
      <c r="RI17" s="88"/>
      <c r="RJ17" s="88"/>
      <c r="RK17" s="91"/>
      <c r="RL17" s="93"/>
      <c r="RM17" s="93"/>
      <c r="RN17" s="88"/>
      <c r="RO17" s="88"/>
      <c r="RP17" s="90"/>
      <c r="RQ17" s="148"/>
      <c r="RR17" s="88"/>
      <c r="RS17" s="88"/>
      <c r="RT17" s="90"/>
      <c r="RU17" s="93"/>
      <c r="RV17" s="88"/>
      <c r="RW17" s="88"/>
      <c r="RX17" s="91"/>
      <c r="RY17" s="93"/>
      <c r="RZ17" s="93"/>
      <c r="SA17" s="88"/>
      <c r="SB17" s="88"/>
      <c r="SC17" s="90"/>
      <c r="SD17" s="148"/>
      <c r="SE17" s="88"/>
      <c r="SF17" s="88"/>
      <c r="SG17" s="90"/>
      <c r="SH17" s="93"/>
      <c r="SI17" s="88"/>
      <c r="SJ17" s="88"/>
      <c r="SK17" s="91"/>
      <c r="SL17" s="93"/>
      <c r="SM17" s="93"/>
      <c r="SN17" s="88"/>
      <c r="SO17" s="88"/>
      <c r="SP17" s="90"/>
      <c r="SQ17" s="148"/>
      <c r="SR17" s="88"/>
      <c r="SS17" s="88"/>
      <c r="ST17" s="90"/>
      <c r="SU17" s="93"/>
      <c r="SV17" s="88"/>
      <c r="SW17" s="88"/>
      <c r="SX17" s="91"/>
      <c r="SY17" s="93"/>
      <c r="SZ17" s="93"/>
      <c r="TA17" s="88"/>
      <c r="TB17" s="88"/>
      <c r="TC17" s="90"/>
      <c r="TD17" s="148"/>
      <c r="TE17" s="88"/>
      <c r="TF17" s="88"/>
      <c r="TG17" s="90"/>
      <c r="TH17" s="93"/>
      <c r="TI17" s="88"/>
      <c r="TJ17" s="88"/>
      <c r="TK17" s="91"/>
      <c r="TL17" s="93"/>
      <c r="TM17" s="93"/>
      <c r="TN17" s="88"/>
      <c r="TO17" s="88"/>
      <c r="TP17" s="90"/>
      <c r="TQ17" s="148"/>
      <c r="TR17" s="88"/>
      <c r="TS17" s="88"/>
      <c r="TT17" s="90"/>
      <c r="TU17" s="93"/>
      <c r="TV17" s="88"/>
      <c r="TW17" s="88"/>
      <c r="TX17" s="91"/>
      <c r="TY17" s="93"/>
      <c r="TZ17" s="93"/>
      <c r="UA17" s="88"/>
      <c r="UB17" s="88"/>
      <c r="UC17" s="90"/>
      <c r="UD17" s="148"/>
      <c r="UE17" s="88"/>
      <c r="UF17" s="88"/>
      <c r="UG17" s="90"/>
      <c r="UH17" s="93"/>
      <c r="UI17" s="88"/>
      <c r="UJ17" s="88"/>
      <c r="UK17" s="91"/>
      <c r="UL17" s="93"/>
      <c r="UM17" s="93"/>
      <c r="UN17" s="88"/>
      <c r="UO17" s="88"/>
      <c r="UP17" s="90"/>
      <c r="UQ17" s="148"/>
      <c r="UR17" s="88"/>
      <c r="US17" s="88"/>
      <c r="UT17" s="90"/>
      <c r="UU17" s="93"/>
      <c r="UV17" s="88"/>
      <c r="UW17" s="88"/>
      <c r="UX17" s="91"/>
      <c r="UY17" s="93"/>
      <c r="UZ17" s="93"/>
      <c r="VA17" s="88"/>
      <c r="VB17" s="88"/>
      <c r="VC17" s="90"/>
      <c r="VD17" s="148"/>
      <c r="VE17" s="88"/>
      <c r="VF17" s="88"/>
      <c r="VG17" s="90"/>
      <c r="VH17" s="93"/>
      <c r="VI17" s="88"/>
      <c r="VJ17" s="88"/>
      <c r="VK17" s="91"/>
      <c r="VL17" s="93"/>
      <c r="VM17" s="93"/>
      <c r="VN17" s="88"/>
      <c r="VO17" s="88"/>
      <c r="VP17" s="90"/>
      <c r="VQ17" s="148"/>
      <c r="VR17" s="88"/>
      <c r="VS17" s="88"/>
      <c r="VT17" s="90"/>
      <c r="VU17" s="93"/>
      <c r="VV17" s="88"/>
      <c r="VW17" s="88"/>
      <c r="VX17" s="91"/>
      <c r="VY17" s="93"/>
      <c r="VZ17" s="93"/>
      <c r="WA17" s="88"/>
      <c r="WB17" s="88"/>
      <c r="WC17" s="90"/>
      <c r="WD17" s="148"/>
      <c r="WE17" s="88"/>
      <c r="WF17" s="88"/>
      <c r="WG17" s="90"/>
      <c r="WH17" s="93"/>
      <c r="WI17" s="88"/>
      <c r="WJ17" s="88"/>
      <c r="WK17" s="91"/>
      <c r="WL17" s="93"/>
      <c r="WM17" s="93"/>
      <c r="WN17" s="88"/>
      <c r="WO17" s="88"/>
      <c r="WP17" s="90"/>
      <c r="WQ17" s="148"/>
      <c r="WR17" s="88"/>
      <c r="WS17" s="88"/>
      <c r="WT17" s="90"/>
      <c r="WU17" s="93"/>
      <c r="WV17" s="88"/>
      <c r="WW17" s="88"/>
      <c r="WX17" s="91"/>
      <c r="WY17" s="93"/>
      <c r="WZ17" s="93"/>
      <c r="XA17" s="88"/>
      <c r="XB17" s="88"/>
      <c r="XC17" s="90"/>
      <c r="XD17" s="148"/>
      <c r="XE17" s="88"/>
      <c r="XF17" s="88"/>
      <c r="XG17" s="90"/>
      <c r="XH17" s="93"/>
      <c r="XI17" s="88"/>
      <c r="XJ17" s="88"/>
      <c r="XK17" s="91"/>
      <c r="XL17" s="93"/>
      <c r="XM17" s="93"/>
      <c r="XN17" s="88"/>
      <c r="XO17" s="88"/>
      <c r="XP17" s="90"/>
      <c r="XQ17" s="148"/>
      <c r="XR17" s="88"/>
      <c r="XS17" s="88"/>
      <c r="XT17" s="90"/>
      <c r="XU17" s="93"/>
      <c r="XV17" s="88"/>
      <c r="XW17" s="88"/>
      <c r="XX17" s="91"/>
      <c r="XY17" s="93"/>
      <c r="XZ17" s="93"/>
      <c r="YA17" s="88"/>
      <c r="YB17" s="88"/>
      <c r="YC17" s="90"/>
      <c r="YD17" s="148"/>
      <c r="YE17" s="88"/>
      <c r="YF17" s="88"/>
      <c r="YG17" s="90"/>
      <c r="YH17" s="93"/>
      <c r="YI17" s="88"/>
      <c r="YJ17" s="88"/>
      <c r="YK17" s="91"/>
      <c r="YL17" s="93"/>
      <c r="YM17" s="93"/>
      <c r="YN17" s="88"/>
      <c r="YO17" s="88"/>
      <c r="YP17" s="90"/>
      <c r="YQ17" s="148"/>
      <c r="YR17" s="88"/>
      <c r="YS17" s="88"/>
      <c r="YT17" s="90"/>
      <c r="YU17" s="93"/>
      <c r="YV17" s="88"/>
      <c r="YW17" s="88"/>
      <c r="YX17" s="91"/>
      <c r="YY17" s="93"/>
      <c r="YZ17" s="93"/>
      <c r="ZA17" s="88"/>
      <c r="ZB17" s="88"/>
      <c r="ZC17" s="90"/>
      <c r="ZD17" s="148"/>
      <c r="ZE17" s="88"/>
      <c r="ZF17" s="88"/>
      <c r="ZG17" s="90"/>
      <c r="ZH17" s="93"/>
      <c r="ZI17" s="88"/>
      <c r="ZJ17" s="88"/>
      <c r="ZK17" s="91"/>
      <c r="ZL17" s="93"/>
      <c r="ZM17" s="93"/>
      <c r="ZN17" s="88"/>
      <c r="ZO17" s="88"/>
      <c r="ZP17" s="90"/>
      <c r="ZQ17" s="148"/>
      <c r="ZR17" s="88"/>
      <c r="ZS17" s="88"/>
      <c r="ZT17" s="90"/>
      <c r="ZU17" s="93"/>
      <c r="ZV17" s="88"/>
      <c r="ZW17" s="88"/>
      <c r="ZX17" s="91"/>
      <c r="ZY17" s="93"/>
      <c r="ZZ17" s="93"/>
      <c r="AAA17" s="88"/>
      <c r="AAB17" s="88"/>
      <c r="AAC17" s="90"/>
      <c r="AAD17" s="148"/>
      <c r="AAE17" s="88"/>
      <c r="AAF17" s="88"/>
      <c r="AAG17" s="90"/>
      <c r="AAH17" s="93"/>
      <c r="AAI17" s="88"/>
      <c r="AAJ17" s="88"/>
      <c r="AAK17" s="91"/>
      <c r="AAL17" s="93"/>
      <c r="AAM17" s="93"/>
      <c r="AAN17" s="88"/>
      <c r="AAO17" s="88"/>
      <c r="AAP17" s="90"/>
      <c r="AAQ17" s="148"/>
      <c r="AAR17" s="88"/>
      <c r="AAS17" s="88"/>
      <c r="AAT17" s="90"/>
      <c r="AAU17" s="93"/>
      <c r="AAV17" s="88"/>
      <c r="AAW17" s="88"/>
      <c r="AAX17" s="91"/>
      <c r="AAY17" s="93"/>
      <c r="AAZ17" s="93"/>
      <c r="ABA17" s="88"/>
      <c r="ABB17" s="88"/>
      <c r="ABC17" s="90"/>
      <c r="ABD17" s="148"/>
      <c r="ABE17" s="88"/>
      <c r="ABF17" s="88"/>
      <c r="ABG17" s="90"/>
      <c r="ABH17" s="93"/>
      <c r="ABI17" s="88"/>
      <c r="ABJ17" s="88"/>
      <c r="ABK17" s="91"/>
      <c r="ABL17" s="93"/>
      <c r="ABM17" s="93"/>
      <c r="ABN17" s="88"/>
      <c r="ABO17" s="88"/>
      <c r="ABP17" s="90"/>
      <c r="ABQ17" s="148"/>
      <c r="ABR17" s="88"/>
      <c r="ABS17" s="88"/>
      <c r="ABT17" s="90"/>
      <c r="ABU17" s="93"/>
      <c r="ABV17" s="88"/>
      <c r="ABW17" s="88"/>
      <c r="ABX17" s="91"/>
      <c r="ABY17" s="93"/>
      <c r="ABZ17" s="93"/>
      <c r="ACA17" s="88"/>
      <c r="ACB17" s="88"/>
      <c r="ACC17" s="90"/>
      <c r="ACD17" s="148"/>
      <c r="ACE17" s="88"/>
      <c r="ACF17" s="88"/>
      <c r="ACG17" s="90"/>
      <c r="ACH17" s="93"/>
      <c r="ACI17" s="88"/>
      <c r="ACJ17" s="88"/>
      <c r="ACK17" s="91"/>
      <c r="ACL17" s="93"/>
      <c r="ACM17" s="93"/>
      <c r="ACN17" s="88"/>
      <c r="ACO17" s="88"/>
      <c r="ACP17" s="90"/>
      <c r="ACQ17" s="148"/>
      <c r="ACR17" s="88"/>
      <c r="ACS17" s="88"/>
      <c r="ACT17" s="90"/>
      <c r="ACU17" s="93"/>
      <c r="ACV17" s="88"/>
      <c r="ACW17" s="88"/>
      <c r="ACX17" s="91"/>
      <c r="ACY17" s="93"/>
      <c r="ACZ17" s="93"/>
      <c r="ADA17" s="88"/>
      <c r="ADB17" s="88"/>
      <c r="ADC17" s="90"/>
      <c r="ADD17" s="148"/>
      <c r="ADE17" s="88"/>
      <c r="ADF17" s="88"/>
      <c r="ADG17" s="90"/>
      <c r="ADH17" s="93"/>
      <c r="ADI17" s="88"/>
      <c r="ADJ17" s="88"/>
      <c r="ADK17" s="91"/>
      <c r="ADL17" s="93"/>
      <c r="ADM17" s="93"/>
      <c r="ADN17" s="88"/>
      <c r="ADO17" s="88"/>
      <c r="ADP17" s="90"/>
      <c r="ADQ17" s="148"/>
      <c r="ADR17" s="88"/>
      <c r="ADS17" s="88"/>
      <c r="ADT17" s="90"/>
      <c r="ADU17" s="93"/>
      <c r="ADV17" s="88"/>
      <c r="ADW17" s="88"/>
      <c r="ADX17" s="91"/>
      <c r="ADY17" s="93"/>
      <c r="ADZ17" s="93"/>
      <c r="AEA17" s="88"/>
      <c r="AEB17" s="88"/>
      <c r="AEC17" s="90"/>
      <c r="AED17" s="148"/>
      <c r="AEE17" s="88"/>
      <c r="AEF17" s="88"/>
      <c r="AEG17" s="90"/>
      <c r="AEH17" s="93"/>
      <c r="AEI17" s="88"/>
      <c r="AEJ17" s="88"/>
      <c r="AEK17" s="91"/>
      <c r="AEL17" s="93"/>
      <c r="AEM17" s="93"/>
      <c r="AEN17" s="88"/>
      <c r="AEO17" s="88"/>
      <c r="AEP17" s="90"/>
      <c r="AEQ17" s="148"/>
      <c r="AER17" s="88"/>
      <c r="AES17" s="88"/>
      <c r="AET17" s="90"/>
      <c r="AEU17" s="93"/>
      <c r="AEV17" s="88"/>
      <c r="AEW17" s="88"/>
      <c r="AEX17" s="91"/>
      <c r="AEY17" s="93"/>
      <c r="AEZ17" s="93"/>
      <c r="AFA17" s="88"/>
      <c r="AFB17" s="88"/>
      <c r="AFC17" s="90"/>
      <c r="AFD17" s="148"/>
      <c r="AFE17" s="88"/>
      <c r="AFF17" s="88"/>
      <c r="AFG17" s="90"/>
      <c r="AFH17" s="93"/>
      <c r="AFI17" s="88"/>
      <c r="AFJ17" s="88"/>
      <c r="AFK17" s="91"/>
      <c r="AFL17" s="93"/>
      <c r="AFM17" s="93"/>
      <c r="AFN17" s="88"/>
      <c r="AFO17" s="88"/>
      <c r="AFP17" s="90"/>
      <c r="AFQ17" s="148"/>
      <c r="AFR17" s="88"/>
      <c r="AFS17" s="88"/>
      <c r="AFT17" s="90"/>
      <c r="AFU17" s="93"/>
      <c r="AFV17" s="88"/>
      <c r="AFW17" s="88"/>
      <c r="AFX17" s="91"/>
      <c r="AFY17" s="93"/>
      <c r="AFZ17" s="93"/>
      <c r="AGA17" s="88"/>
      <c r="AGB17" s="88"/>
      <c r="AGC17" s="90"/>
      <c r="AGD17" s="148"/>
      <c r="AGE17" s="88"/>
      <c r="AGF17" s="88"/>
      <c r="AGG17" s="90"/>
      <c r="AGH17" s="93"/>
      <c r="AGI17" s="88"/>
      <c r="AGJ17" s="88"/>
      <c r="AGK17" s="91"/>
      <c r="AGL17" s="93"/>
      <c r="AGM17" s="93"/>
      <c r="AGN17" s="88"/>
      <c r="AGO17" s="88"/>
      <c r="AGP17" s="90"/>
      <c r="AGQ17" s="148"/>
      <c r="AGR17" s="88"/>
      <c r="AGS17" s="88"/>
      <c r="AGT17" s="90"/>
      <c r="AGU17" s="93"/>
      <c r="AGV17" s="88"/>
      <c r="AGW17" s="88"/>
      <c r="AGX17" s="91"/>
      <c r="AGY17" s="93"/>
      <c r="AGZ17" s="93"/>
      <c r="AHA17" s="88"/>
      <c r="AHB17" s="88"/>
      <c r="AHC17" s="90"/>
      <c r="AHD17" s="148"/>
      <c r="AHE17" s="88"/>
      <c r="AHF17" s="88"/>
      <c r="AHG17" s="90"/>
      <c r="AHH17" s="93"/>
      <c r="AHI17" s="88"/>
      <c r="AHJ17" s="88"/>
      <c r="AHK17" s="91"/>
      <c r="AHL17" s="93"/>
      <c r="AHM17" s="93"/>
      <c r="AHN17" s="88"/>
      <c r="AHO17" s="88"/>
      <c r="AHP17" s="90"/>
      <c r="AHQ17" s="148"/>
      <c r="AHR17" s="88"/>
      <c r="AHS17" s="88"/>
      <c r="AHT17" s="90"/>
      <c r="AHU17" s="93"/>
      <c r="AHV17" s="88"/>
      <c r="AHW17" s="88"/>
      <c r="AHX17" s="91"/>
      <c r="AHY17" s="93"/>
      <c r="AHZ17" s="93"/>
      <c r="AIA17" s="88"/>
      <c r="AIB17" s="88"/>
      <c r="AIC17" s="90"/>
      <c r="AID17" s="148"/>
      <c r="AIE17" s="88"/>
      <c r="AIF17" s="88"/>
      <c r="AIG17" s="90"/>
      <c r="AIH17" s="93"/>
      <c r="AII17" s="88"/>
      <c r="AIJ17" s="88"/>
      <c r="AIK17" s="91"/>
      <c r="AIL17" s="93"/>
      <c r="AIM17" s="93"/>
      <c r="AIN17" s="88"/>
      <c r="AIO17" s="88"/>
      <c r="AIP17" s="90"/>
      <c r="AIQ17" s="148"/>
      <c r="AIR17" s="88"/>
      <c r="AIS17" s="88"/>
      <c r="AIT17" s="90"/>
      <c r="AIU17" s="93"/>
      <c r="AIV17" s="88"/>
      <c r="AIW17" s="88"/>
      <c r="AIX17" s="91"/>
      <c r="AIY17" s="93"/>
      <c r="AIZ17" s="93"/>
      <c r="AJA17" s="88"/>
      <c r="AJB17" s="88"/>
      <c r="AJC17" s="90"/>
      <c r="AJD17" s="148"/>
      <c r="AJE17" s="88"/>
      <c r="AJF17" s="88"/>
      <c r="AJG17" s="90"/>
      <c r="AJH17" s="93"/>
      <c r="AJI17" s="88"/>
      <c r="AJJ17" s="88"/>
      <c r="AJK17" s="91"/>
      <c r="AJL17" s="93"/>
      <c r="AJM17" s="93"/>
      <c r="AJN17" s="88"/>
      <c r="AJO17" s="88"/>
      <c r="AJP17" s="90"/>
      <c r="AJQ17" s="148"/>
      <c r="AJR17" s="88"/>
      <c r="AJS17" s="88"/>
      <c r="AJT17" s="90"/>
      <c r="AJU17" s="93"/>
      <c r="AJV17" s="88"/>
      <c r="AJW17" s="88"/>
      <c r="AJX17" s="91"/>
      <c r="AJY17" s="93"/>
      <c r="AJZ17" s="93"/>
      <c r="AKA17" s="88"/>
      <c r="AKB17" s="88"/>
      <c r="AKC17" s="90"/>
      <c r="AKD17" s="148"/>
      <c r="AKE17" s="88"/>
      <c r="AKF17" s="88"/>
      <c r="AKG17" s="90"/>
      <c r="AKH17" s="93"/>
      <c r="AKI17" s="88"/>
      <c r="AKJ17" s="88"/>
      <c r="AKK17" s="91"/>
      <c r="AKL17" s="93"/>
      <c r="AKM17" s="93"/>
      <c r="AKN17" s="88"/>
      <c r="AKO17" s="88"/>
      <c r="AKP17" s="90"/>
      <c r="AKQ17" s="148"/>
      <c r="AKR17" s="88"/>
      <c r="AKS17" s="88"/>
      <c r="AKT17" s="90"/>
      <c r="AKU17" s="93"/>
      <c r="AKV17" s="88"/>
      <c r="AKW17" s="88"/>
      <c r="AKX17" s="91"/>
      <c r="AKY17" s="93"/>
      <c r="AKZ17" s="93"/>
      <c r="ALA17" s="88"/>
      <c r="ALB17" s="88"/>
      <c r="ALC17" s="90"/>
      <c r="ALD17" s="148"/>
      <c r="ALE17" s="88"/>
      <c r="ALF17" s="88"/>
      <c r="ALG17" s="90"/>
      <c r="ALH17" s="93"/>
      <c r="ALI17" s="88"/>
      <c r="ALJ17" s="88"/>
      <c r="ALK17" s="91"/>
      <c r="ALL17" s="93"/>
      <c r="ALM17" s="93"/>
      <c r="ALN17" s="88"/>
      <c r="ALO17" s="88"/>
      <c r="ALP17" s="90"/>
      <c r="ALQ17" s="148"/>
      <c r="ALR17" s="88"/>
      <c r="ALS17" s="88"/>
      <c r="ALT17" s="90"/>
      <c r="ALU17" s="93"/>
      <c r="ALV17" s="88"/>
      <c r="ALW17" s="88"/>
      <c r="ALX17" s="91"/>
      <c r="ALY17" s="93"/>
      <c r="ALZ17" s="93"/>
      <c r="AMA17" s="88"/>
      <c r="AMB17" s="88"/>
      <c r="AMC17" s="90"/>
      <c r="AMD17" s="148"/>
      <c r="AME17" s="88"/>
      <c r="AMF17" s="88"/>
      <c r="AMG17" s="90"/>
      <c r="AMH17" s="93"/>
      <c r="AMI17" s="88"/>
      <c r="AMJ17" s="88"/>
      <c r="AMK17" s="91"/>
      <c r="AML17" s="93"/>
      <c r="AMM17" s="93"/>
      <c r="AMN17" s="88"/>
      <c r="AMO17" s="88"/>
      <c r="AMP17" s="90"/>
      <c r="AMQ17" s="148"/>
      <c r="AMR17" s="88"/>
      <c r="AMS17" s="88"/>
      <c r="AMT17" s="90"/>
      <c r="AMU17" s="93"/>
      <c r="AMV17" s="88"/>
      <c r="AMW17" s="88"/>
      <c r="AMX17" s="91"/>
      <c r="AMY17" s="93"/>
      <c r="AMZ17" s="93"/>
      <c r="ANA17" s="88"/>
      <c r="ANB17" s="88"/>
      <c r="ANC17" s="90"/>
      <c r="AND17" s="148"/>
      <c r="ANE17" s="88"/>
      <c r="ANF17" s="88"/>
      <c r="ANG17" s="90"/>
      <c r="ANH17" s="93"/>
      <c r="ANI17" s="88"/>
      <c r="ANJ17" s="88"/>
      <c r="ANK17" s="91"/>
      <c r="ANL17" s="93"/>
      <c r="ANM17" s="93"/>
      <c r="ANN17" s="88"/>
      <c r="ANO17" s="88"/>
      <c r="ANP17" s="90"/>
      <c r="ANQ17" s="148"/>
      <c r="ANR17" s="88"/>
      <c r="ANS17" s="88"/>
      <c r="ANT17" s="90"/>
      <c r="ANU17" s="93"/>
      <c r="ANV17" s="88"/>
      <c r="ANW17" s="88"/>
      <c r="ANX17" s="91"/>
      <c r="ANY17" s="93"/>
      <c r="ANZ17" s="93"/>
      <c r="AOA17" s="88"/>
      <c r="AOB17" s="88"/>
      <c r="AOC17" s="90"/>
      <c r="AOD17" s="148"/>
      <c r="AOE17" s="88"/>
      <c r="AOF17" s="88"/>
      <c r="AOG17" s="90"/>
      <c r="AOH17" s="93"/>
      <c r="AOI17" s="88"/>
      <c r="AOJ17" s="88"/>
      <c r="AOK17" s="91"/>
      <c r="AOL17" s="93"/>
      <c r="AOM17" s="93"/>
      <c r="AON17" s="88"/>
      <c r="AOO17" s="88"/>
      <c r="AOP17" s="90"/>
      <c r="AOQ17" s="148"/>
      <c r="AOR17" s="88"/>
      <c r="AOS17" s="88"/>
      <c r="AOT17" s="90"/>
      <c r="AOU17" s="93"/>
      <c r="AOV17" s="88"/>
      <c r="AOW17" s="88"/>
      <c r="AOX17" s="91"/>
      <c r="AOY17" s="93"/>
      <c r="AOZ17" s="93"/>
      <c r="APA17" s="88"/>
      <c r="APB17" s="88"/>
      <c r="APC17" s="90"/>
      <c r="APD17" s="148"/>
      <c r="APE17" s="88"/>
      <c r="APF17" s="88"/>
      <c r="APG17" s="90"/>
      <c r="APH17" s="93"/>
      <c r="API17" s="88"/>
      <c r="APJ17" s="88"/>
      <c r="APK17" s="91"/>
      <c r="APL17" s="93"/>
      <c r="APM17" s="93"/>
      <c r="APN17" s="88"/>
      <c r="APO17" s="88"/>
      <c r="APP17" s="90"/>
      <c r="APQ17" s="148"/>
      <c r="APR17" s="88"/>
      <c r="APS17" s="88"/>
      <c r="APT17" s="90"/>
      <c r="APU17" s="93"/>
      <c r="APV17" s="88"/>
      <c r="APW17" s="88"/>
      <c r="APX17" s="91"/>
      <c r="APY17" s="93"/>
      <c r="APZ17" s="93"/>
      <c r="AQA17" s="88"/>
      <c r="AQB17" s="88"/>
      <c r="AQC17" s="90"/>
      <c r="AQD17" s="148"/>
      <c r="AQE17" s="88"/>
      <c r="AQF17" s="88"/>
      <c r="AQG17" s="90"/>
      <c r="AQH17" s="93"/>
      <c r="AQI17" s="88"/>
      <c r="AQJ17" s="88"/>
      <c r="AQK17" s="91"/>
      <c r="AQL17" s="93"/>
      <c r="AQM17" s="93"/>
      <c r="AQN17" s="88"/>
      <c r="AQO17" s="88"/>
      <c r="AQP17" s="90"/>
      <c r="AQQ17" s="148"/>
      <c r="AQR17" s="88"/>
      <c r="AQS17" s="88"/>
      <c r="AQT17" s="90"/>
      <c r="AQU17" s="93"/>
      <c r="AQV17" s="88"/>
      <c r="AQW17" s="88"/>
      <c r="AQX17" s="91"/>
      <c r="AQY17" s="93"/>
      <c r="AQZ17" s="93"/>
      <c r="ARA17" s="88"/>
      <c r="ARB17" s="88"/>
      <c r="ARC17" s="90"/>
      <c r="ARD17" s="148"/>
      <c r="ARE17" s="88"/>
      <c r="ARF17" s="88"/>
      <c r="ARG17" s="90"/>
      <c r="ARH17" s="93"/>
      <c r="ARI17" s="88"/>
      <c r="ARJ17" s="88"/>
      <c r="ARK17" s="91"/>
      <c r="ARL17" s="93"/>
      <c r="ARM17" s="93"/>
      <c r="ARN17" s="88"/>
      <c r="ARO17" s="88"/>
      <c r="ARP17" s="90"/>
      <c r="ARQ17" s="148"/>
      <c r="ARR17" s="88"/>
      <c r="ARS17" s="88"/>
      <c r="ART17" s="90"/>
      <c r="ARU17" s="93"/>
      <c r="ARV17" s="88"/>
      <c r="ARW17" s="88"/>
      <c r="ARX17" s="91"/>
      <c r="ARY17" s="93"/>
      <c r="ARZ17" s="93"/>
      <c r="ASA17" s="88"/>
      <c r="ASB17" s="88"/>
      <c r="ASC17" s="90"/>
      <c r="ASD17" s="148"/>
      <c r="ASE17" s="88"/>
      <c r="ASF17" s="88"/>
      <c r="ASG17" s="90"/>
      <c r="ASH17" s="93"/>
      <c r="ASI17" s="88"/>
      <c r="ASJ17" s="88"/>
      <c r="ASK17" s="91"/>
      <c r="ASL17" s="93"/>
      <c r="ASM17" s="93"/>
      <c r="ASN17" s="88"/>
      <c r="ASO17" s="88"/>
      <c r="ASP17" s="90"/>
      <c r="ASQ17" s="148"/>
      <c r="ASR17" s="88"/>
      <c r="ASS17" s="88"/>
      <c r="AST17" s="90"/>
      <c r="ASU17" s="93"/>
      <c r="ASV17" s="88"/>
      <c r="ASW17" s="88"/>
      <c r="ASX17" s="91"/>
      <c r="ASY17" s="93"/>
      <c r="ASZ17" s="93"/>
      <c r="ATA17" s="88"/>
      <c r="ATB17" s="88"/>
      <c r="ATC17" s="90"/>
      <c r="ATD17" s="148"/>
      <c r="ATE17" s="88"/>
      <c r="ATF17" s="88"/>
      <c r="ATG17" s="90"/>
      <c r="ATH17" s="93"/>
      <c r="ATI17" s="88"/>
      <c r="ATJ17" s="88"/>
      <c r="ATK17" s="91"/>
      <c r="ATL17" s="93"/>
      <c r="ATM17" s="93"/>
      <c r="ATN17" s="88"/>
      <c r="ATO17" s="88"/>
      <c r="ATP17" s="90"/>
      <c r="ATQ17" s="148"/>
      <c r="ATR17" s="88"/>
      <c r="ATS17" s="88"/>
      <c r="ATT17" s="90"/>
      <c r="ATU17" s="93"/>
      <c r="ATV17" s="88"/>
      <c r="ATW17" s="88"/>
      <c r="ATX17" s="91"/>
      <c r="ATY17" s="93"/>
      <c r="ATZ17" s="93"/>
      <c r="AUA17" s="88"/>
      <c r="AUB17" s="88"/>
      <c r="AUC17" s="90"/>
      <c r="AUD17" s="148"/>
      <c r="AUE17" s="88"/>
      <c r="AUF17" s="88"/>
      <c r="AUG17" s="90"/>
      <c r="AUH17" s="93"/>
      <c r="AUI17" s="88"/>
      <c r="AUJ17" s="88"/>
      <c r="AUK17" s="91"/>
      <c r="AUL17" s="93"/>
      <c r="AUM17" s="93"/>
      <c r="AUN17" s="88"/>
      <c r="AUO17" s="88"/>
      <c r="AUP17" s="90"/>
      <c r="AUQ17" s="148"/>
      <c r="AUR17" s="88"/>
      <c r="AUS17" s="88"/>
      <c r="AUT17" s="90"/>
      <c r="AUU17" s="93"/>
      <c r="AUV17" s="88"/>
      <c r="AUW17" s="88"/>
      <c r="AUX17" s="91"/>
      <c r="AUY17" s="93"/>
      <c r="AUZ17" s="93"/>
      <c r="AVA17" s="88"/>
      <c r="AVB17" s="88"/>
      <c r="AVC17" s="90"/>
      <c r="AVD17" s="148"/>
      <c r="AVE17" s="88"/>
      <c r="AVF17" s="88"/>
      <c r="AVG17" s="90"/>
      <c r="AVH17" s="93"/>
      <c r="AVI17" s="88"/>
      <c r="AVJ17" s="88"/>
      <c r="AVK17" s="91"/>
      <c r="AVL17" s="93"/>
      <c r="AVM17" s="93"/>
      <c r="AVN17" s="88"/>
      <c r="AVO17" s="88"/>
      <c r="AVP17" s="90"/>
      <c r="AVQ17" s="148"/>
      <c r="AVR17" s="88"/>
      <c r="AVS17" s="88"/>
      <c r="AVT17" s="90"/>
      <c r="AVU17" s="93"/>
      <c r="AVV17" s="88"/>
      <c r="AVW17" s="88"/>
      <c r="AVX17" s="91"/>
      <c r="AVY17" s="93"/>
      <c r="AVZ17" s="93"/>
      <c r="AWA17" s="88"/>
      <c r="AWB17" s="88"/>
      <c r="AWC17" s="90"/>
      <c r="AWD17" s="148"/>
      <c r="AWE17" s="88"/>
      <c r="AWF17" s="88"/>
      <c r="AWG17" s="90"/>
      <c r="AWH17" s="93"/>
      <c r="AWI17" s="88"/>
      <c r="AWJ17" s="88"/>
      <c r="AWK17" s="91"/>
      <c r="AWL17" s="93"/>
      <c r="AWM17" s="93"/>
      <c r="AWN17" s="88"/>
      <c r="AWO17" s="88"/>
      <c r="AWP17" s="90"/>
      <c r="AWQ17" s="148"/>
      <c r="AWR17" s="88"/>
      <c r="AWS17" s="88"/>
      <c r="AWT17" s="90"/>
      <c r="AWU17" s="93"/>
      <c r="AWV17" s="88"/>
      <c r="AWW17" s="88"/>
      <c r="AWX17" s="91"/>
      <c r="AWY17" s="93"/>
      <c r="AWZ17" s="93"/>
      <c r="AXA17" s="88"/>
      <c r="AXB17" s="88"/>
      <c r="AXC17" s="90"/>
      <c r="AXD17" s="148"/>
      <c r="AXE17" s="88"/>
      <c r="AXF17" s="88"/>
      <c r="AXG17" s="90"/>
      <c r="AXH17" s="93"/>
      <c r="AXI17" s="88"/>
      <c r="AXJ17" s="88"/>
      <c r="AXK17" s="91"/>
      <c r="AXL17" s="93"/>
      <c r="AXM17" s="93"/>
      <c r="AXN17" s="88"/>
      <c r="AXO17" s="88"/>
      <c r="AXP17" s="90"/>
      <c r="AXQ17" s="148"/>
      <c r="AXR17" s="88"/>
      <c r="AXS17" s="88"/>
      <c r="AXT17" s="90"/>
      <c r="AXU17" s="93"/>
      <c r="AXV17" s="88"/>
      <c r="AXW17" s="88"/>
      <c r="AXX17" s="91"/>
      <c r="AXY17" s="93"/>
      <c r="AXZ17" s="93"/>
      <c r="AYA17" s="88"/>
      <c r="AYB17" s="88"/>
      <c r="AYC17" s="90"/>
      <c r="AYD17" s="148"/>
      <c r="AYE17" s="88"/>
      <c r="AYF17" s="88"/>
      <c r="AYG17" s="90"/>
      <c r="AYH17" s="93"/>
      <c r="AYI17" s="88"/>
      <c r="AYJ17" s="88"/>
      <c r="AYK17" s="91"/>
      <c r="AYL17" s="93"/>
      <c r="AYM17" s="93"/>
      <c r="AYN17" s="88"/>
      <c r="AYO17" s="88"/>
      <c r="AYP17" s="90"/>
      <c r="AYQ17" s="148"/>
      <c r="AYR17" s="88"/>
      <c r="AYS17" s="88"/>
      <c r="AYT17" s="90"/>
      <c r="AYU17" s="93"/>
      <c r="AYV17" s="88"/>
      <c r="AYW17" s="88"/>
      <c r="AYX17" s="91"/>
      <c r="AYY17" s="93"/>
      <c r="AYZ17" s="93"/>
      <c r="AZA17" s="88"/>
      <c r="AZB17" s="88"/>
      <c r="AZC17" s="90"/>
      <c r="AZD17" s="148"/>
      <c r="AZE17" s="88"/>
      <c r="AZF17" s="88"/>
      <c r="AZG17" s="90"/>
      <c r="AZH17" s="93"/>
      <c r="AZI17" s="88"/>
      <c r="AZJ17" s="88"/>
      <c r="AZK17" s="91"/>
      <c r="AZL17" s="93"/>
      <c r="AZM17" s="93"/>
      <c r="AZN17" s="88"/>
      <c r="AZO17" s="88"/>
      <c r="AZP17" s="90"/>
      <c r="AZQ17" s="148"/>
      <c r="AZR17" s="88"/>
      <c r="AZS17" s="88"/>
      <c r="AZT17" s="90"/>
      <c r="AZU17" s="93"/>
      <c r="AZV17" s="88"/>
      <c r="AZW17" s="88"/>
      <c r="AZX17" s="91"/>
      <c r="AZY17" s="93"/>
      <c r="AZZ17" s="93"/>
      <c r="BAA17" s="88"/>
      <c r="BAB17" s="88"/>
      <c r="BAC17" s="90"/>
      <c r="BAD17" s="148"/>
      <c r="BAE17" s="88"/>
      <c r="BAF17" s="88"/>
      <c r="BAG17" s="90"/>
      <c r="BAH17" s="93"/>
      <c r="BAI17" s="88"/>
      <c r="BAJ17" s="88"/>
      <c r="BAK17" s="91"/>
      <c r="BAL17" s="93"/>
      <c r="BAM17" s="93"/>
      <c r="BAN17" s="88"/>
      <c r="BAO17" s="88"/>
      <c r="BAP17" s="90"/>
      <c r="BAQ17" s="148"/>
      <c r="BAR17" s="88"/>
      <c r="BAS17" s="88"/>
      <c r="BAT17" s="90"/>
      <c r="BAU17" s="93"/>
      <c r="BAV17" s="88"/>
      <c r="BAW17" s="88"/>
      <c r="BAX17" s="91"/>
      <c r="BAY17" s="93"/>
      <c r="BAZ17" s="93"/>
      <c r="BBA17" s="88"/>
      <c r="BBB17" s="88"/>
      <c r="BBC17" s="90"/>
      <c r="BBD17" s="148"/>
      <c r="BBE17" s="88"/>
      <c r="BBF17" s="88"/>
      <c r="BBG17" s="90"/>
      <c r="BBH17" s="93"/>
      <c r="BBI17" s="88"/>
      <c r="BBJ17" s="88"/>
      <c r="BBK17" s="91"/>
      <c r="BBL17" s="93"/>
      <c r="BBM17" s="93"/>
      <c r="BBN17" s="88"/>
      <c r="BBO17" s="88"/>
      <c r="BBP17" s="90"/>
      <c r="BBQ17" s="148"/>
      <c r="BBR17" s="88"/>
      <c r="BBS17" s="88"/>
      <c r="BBT17" s="90"/>
      <c r="BBU17" s="93"/>
      <c r="BBV17" s="88"/>
      <c r="BBW17" s="88"/>
      <c r="BBX17" s="91"/>
      <c r="BBY17" s="93"/>
      <c r="BBZ17" s="93"/>
      <c r="BCA17" s="88"/>
      <c r="BCB17" s="88"/>
      <c r="BCC17" s="90"/>
      <c r="BCD17" s="148"/>
      <c r="BCE17" s="88"/>
      <c r="BCF17" s="88"/>
      <c r="BCG17" s="90"/>
      <c r="BCH17" s="93"/>
      <c r="BCI17" s="88"/>
      <c r="BCJ17" s="88"/>
      <c r="BCK17" s="91"/>
      <c r="BCL17" s="93"/>
      <c r="BCM17" s="93"/>
      <c r="BCN17" s="88"/>
      <c r="BCO17" s="88"/>
      <c r="BCP17" s="90"/>
      <c r="BCQ17" s="148"/>
      <c r="BCR17" s="88"/>
      <c r="BCS17" s="88"/>
      <c r="BCT17" s="90"/>
      <c r="BCU17" s="93"/>
      <c r="BCV17" s="88"/>
      <c r="BCW17" s="88"/>
      <c r="BCX17" s="91"/>
      <c r="BCY17" s="93"/>
      <c r="BCZ17" s="93"/>
      <c r="BDA17" s="88"/>
      <c r="BDB17" s="88"/>
      <c r="BDC17" s="90"/>
      <c r="BDD17" s="148"/>
      <c r="BDE17" s="88"/>
      <c r="BDF17" s="88"/>
      <c r="BDG17" s="90"/>
      <c r="BDH17" s="93"/>
      <c r="BDI17" s="88"/>
      <c r="BDJ17" s="88"/>
      <c r="BDK17" s="91"/>
      <c r="BDL17" s="93"/>
      <c r="BDM17" s="93"/>
      <c r="BDN17" s="88"/>
      <c r="BDO17" s="88"/>
      <c r="BDP17" s="90"/>
      <c r="BDQ17" s="148"/>
      <c r="BDR17" s="88"/>
      <c r="BDS17" s="88"/>
      <c r="BDT17" s="90"/>
      <c r="BDU17" s="93"/>
      <c r="BDV17" s="88"/>
      <c r="BDW17" s="88"/>
      <c r="BDX17" s="91"/>
      <c r="BDY17" s="93"/>
      <c r="BDZ17" s="93"/>
      <c r="BEA17" s="88"/>
      <c r="BEB17" s="88"/>
      <c r="BEC17" s="90"/>
      <c r="BED17" s="148"/>
      <c r="BEE17" s="88"/>
      <c r="BEF17" s="88"/>
      <c r="BEG17" s="90"/>
      <c r="BEH17" s="93"/>
      <c r="BEI17" s="88"/>
      <c r="BEJ17" s="88"/>
      <c r="BEK17" s="91"/>
      <c r="BEL17" s="93"/>
      <c r="BEM17" s="93"/>
      <c r="BEN17" s="88"/>
      <c r="BEO17" s="88"/>
      <c r="BEP17" s="90"/>
      <c r="BEQ17" s="148"/>
      <c r="BER17" s="88"/>
      <c r="BES17" s="88"/>
      <c r="BET17" s="90"/>
      <c r="BEU17" s="93"/>
      <c r="BEV17" s="88"/>
      <c r="BEW17" s="88"/>
      <c r="BEX17" s="91"/>
      <c r="BEY17" s="93"/>
      <c r="BEZ17" s="93"/>
      <c r="BFA17" s="88"/>
      <c r="BFB17" s="88"/>
      <c r="BFC17" s="90"/>
      <c r="BFD17" s="148"/>
      <c r="BFE17" s="88"/>
      <c r="BFF17" s="88"/>
      <c r="BFG17" s="90"/>
      <c r="BFH17" s="93"/>
      <c r="BFI17" s="88"/>
      <c r="BFJ17" s="88"/>
      <c r="BFK17" s="91"/>
      <c r="BFL17" s="93"/>
      <c r="BFM17" s="93"/>
      <c r="BFN17" s="88"/>
      <c r="BFO17" s="88"/>
      <c r="BFP17" s="90"/>
      <c r="BFQ17" s="148"/>
      <c r="BFR17" s="88"/>
      <c r="BFS17" s="88"/>
      <c r="BFT17" s="90"/>
      <c r="BFU17" s="93"/>
      <c r="BFV17" s="88"/>
      <c r="BFW17" s="88"/>
      <c r="BFX17" s="91"/>
      <c r="BFY17" s="93"/>
      <c r="BFZ17" s="93"/>
      <c r="BGA17" s="88"/>
      <c r="BGB17" s="88"/>
      <c r="BGC17" s="90"/>
      <c r="BGD17" s="148"/>
      <c r="BGE17" s="88"/>
      <c r="BGF17" s="88"/>
      <c r="BGG17" s="90"/>
      <c r="BGH17" s="93"/>
      <c r="BGI17" s="88"/>
      <c r="BGJ17" s="88"/>
      <c r="BGK17" s="91"/>
      <c r="BGL17" s="93"/>
      <c r="BGM17" s="93"/>
      <c r="BGN17" s="88"/>
      <c r="BGO17" s="88"/>
      <c r="BGP17" s="90"/>
      <c r="BGQ17" s="148"/>
      <c r="BGR17" s="88"/>
      <c r="BGS17" s="88"/>
      <c r="BGT17" s="90"/>
      <c r="BGU17" s="93"/>
      <c r="BGV17" s="88"/>
      <c r="BGW17" s="88"/>
      <c r="BGX17" s="91"/>
      <c r="BGY17" s="93"/>
      <c r="BGZ17" s="93"/>
      <c r="BHA17" s="88"/>
      <c r="BHB17" s="88"/>
      <c r="BHC17" s="90"/>
      <c r="BHD17" s="148"/>
      <c r="BHE17" s="88"/>
      <c r="BHF17" s="88"/>
      <c r="BHG17" s="90"/>
      <c r="BHH17" s="93"/>
      <c r="BHI17" s="88"/>
      <c r="BHJ17" s="88"/>
      <c r="BHK17" s="91"/>
      <c r="BHL17" s="93"/>
      <c r="BHM17" s="93"/>
      <c r="BHN17" s="88"/>
      <c r="BHO17" s="88"/>
      <c r="BHP17" s="90"/>
      <c r="BHQ17" s="148"/>
      <c r="BHR17" s="88"/>
      <c r="BHS17" s="88"/>
      <c r="BHT17" s="90"/>
      <c r="BHU17" s="93"/>
      <c r="BHV17" s="88"/>
      <c r="BHW17" s="88"/>
      <c r="BHX17" s="91"/>
      <c r="BHY17" s="93"/>
      <c r="BHZ17" s="93"/>
      <c r="BIA17" s="88"/>
      <c r="BIB17" s="88"/>
      <c r="BIC17" s="90"/>
      <c r="BID17" s="148"/>
      <c r="BIE17" s="88"/>
      <c r="BIF17" s="88"/>
      <c r="BIG17" s="90"/>
      <c r="BIH17" s="93"/>
      <c r="BII17" s="88"/>
      <c r="BIJ17" s="88"/>
      <c r="BIK17" s="91"/>
      <c r="BIL17" s="93"/>
      <c r="BIM17" s="93"/>
      <c r="BIN17" s="88"/>
      <c r="BIO17" s="88"/>
      <c r="BIP17" s="90"/>
      <c r="BIQ17" s="148"/>
      <c r="BIR17" s="88"/>
      <c r="BIS17" s="88"/>
      <c r="BIT17" s="90"/>
      <c r="BIU17" s="93"/>
      <c r="BIV17" s="88"/>
      <c r="BIW17" s="88"/>
      <c r="BIX17" s="91"/>
      <c r="BIY17" s="93"/>
      <c r="BIZ17" s="93"/>
      <c r="BJA17" s="88"/>
      <c r="BJB17" s="88"/>
      <c r="BJC17" s="90"/>
      <c r="BJD17" s="148"/>
      <c r="BJE17" s="88"/>
      <c r="BJF17" s="88"/>
      <c r="BJG17" s="90"/>
      <c r="BJH17" s="93"/>
      <c r="BJI17" s="88"/>
      <c r="BJJ17" s="88"/>
      <c r="BJK17" s="91"/>
      <c r="BJL17" s="93"/>
      <c r="BJM17" s="93"/>
      <c r="BJN17" s="88"/>
      <c r="BJO17" s="88"/>
      <c r="BJP17" s="90"/>
      <c r="BJQ17" s="148"/>
      <c r="BJR17" s="88"/>
      <c r="BJS17" s="88"/>
      <c r="BJT17" s="90"/>
      <c r="BJU17" s="93"/>
      <c r="BJV17" s="88"/>
      <c r="BJW17" s="88"/>
      <c r="BJX17" s="91"/>
      <c r="BJY17" s="93"/>
      <c r="BJZ17" s="93"/>
      <c r="BKA17" s="88"/>
      <c r="BKB17" s="88"/>
      <c r="BKC17" s="90"/>
      <c r="BKD17" s="148"/>
      <c r="BKE17" s="88"/>
      <c r="BKF17" s="88"/>
      <c r="BKG17" s="90"/>
      <c r="BKH17" s="93"/>
      <c r="BKI17" s="88"/>
      <c r="BKJ17" s="88"/>
      <c r="BKK17" s="91"/>
      <c r="BKL17" s="93"/>
      <c r="BKM17" s="93"/>
      <c r="BKN17" s="88"/>
      <c r="BKO17" s="88"/>
      <c r="BKP17" s="90"/>
      <c r="BKQ17" s="148"/>
      <c r="BKR17" s="88"/>
      <c r="BKS17" s="88"/>
      <c r="BKT17" s="90"/>
      <c r="BKU17" s="93"/>
      <c r="BKV17" s="88"/>
      <c r="BKW17" s="88"/>
      <c r="BKX17" s="91"/>
      <c r="BKY17" s="93"/>
      <c r="BKZ17" s="93"/>
      <c r="BLA17" s="88"/>
      <c r="BLB17" s="88"/>
      <c r="BLC17" s="90"/>
      <c r="BLD17" s="148"/>
      <c r="BLE17" s="88"/>
      <c r="BLF17" s="88"/>
      <c r="BLG17" s="90"/>
      <c r="BLH17" s="93"/>
      <c r="BLI17" s="88"/>
      <c r="BLJ17" s="88"/>
      <c r="BLK17" s="91"/>
      <c r="BLL17" s="93"/>
      <c r="BLM17" s="93"/>
      <c r="BLN17" s="88"/>
      <c r="BLO17" s="88"/>
      <c r="BLP17" s="90"/>
      <c r="BLQ17" s="148"/>
      <c r="BLR17" s="88"/>
      <c r="BLS17" s="88"/>
      <c r="BLT17" s="90"/>
      <c r="BLU17" s="93"/>
      <c r="BLV17" s="88"/>
      <c r="BLW17" s="88"/>
      <c r="BLX17" s="91"/>
      <c r="BLY17" s="93"/>
      <c r="BLZ17" s="93"/>
      <c r="BMA17" s="88"/>
      <c r="BMB17" s="88"/>
      <c r="BMC17" s="90"/>
      <c r="BMD17" s="148"/>
      <c r="BME17" s="88"/>
      <c r="BMF17" s="88"/>
      <c r="BMG17" s="90"/>
      <c r="BMH17" s="93"/>
      <c r="BMI17" s="88"/>
      <c r="BMJ17" s="88"/>
      <c r="BMK17" s="91"/>
      <c r="BML17" s="93"/>
      <c r="BMM17" s="93"/>
      <c r="BMN17" s="88"/>
      <c r="BMO17" s="88"/>
      <c r="BMP17" s="90"/>
      <c r="BMQ17" s="148"/>
      <c r="BMR17" s="88"/>
      <c r="BMS17" s="88"/>
      <c r="BMT17" s="90"/>
      <c r="BMU17" s="93"/>
      <c r="BMV17" s="88"/>
      <c r="BMW17" s="88"/>
      <c r="BMX17" s="91"/>
      <c r="BMY17" s="93"/>
      <c r="BMZ17" s="93"/>
      <c r="BNA17" s="88"/>
      <c r="BNB17" s="88"/>
      <c r="BNC17" s="90"/>
      <c r="BND17" s="148"/>
      <c r="BNE17" s="88"/>
      <c r="BNF17" s="88"/>
      <c r="BNG17" s="90"/>
      <c r="BNH17" s="93"/>
      <c r="BNI17" s="88"/>
      <c r="BNJ17" s="88"/>
      <c r="BNK17" s="91"/>
      <c r="BNL17" s="93"/>
      <c r="BNM17" s="93"/>
      <c r="BNN17" s="88"/>
      <c r="BNO17" s="88"/>
      <c r="BNP17" s="90"/>
      <c r="BNQ17" s="148"/>
      <c r="BNR17" s="88"/>
      <c r="BNS17" s="88"/>
      <c r="BNT17" s="90"/>
      <c r="BNU17" s="93"/>
      <c r="BNV17" s="88"/>
      <c r="BNW17" s="88"/>
      <c r="BNX17" s="91"/>
      <c r="BNY17" s="93"/>
      <c r="BNZ17" s="93"/>
      <c r="BOA17" s="88"/>
      <c r="BOB17" s="88"/>
      <c r="BOC17" s="90"/>
      <c r="BOD17" s="148"/>
      <c r="BOE17" s="88"/>
      <c r="BOF17" s="88"/>
      <c r="BOG17" s="90"/>
      <c r="BOH17" s="93"/>
      <c r="BOI17" s="88"/>
      <c r="BOJ17" s="88"/>
      <c r="BOK17" s="91"/>
      <c r="BOL17" s="93"/>
      <c r="BOM17" s="93"/>
      <c r="BON17" s="88"/>
      <c r="BOO17" s="88"/>
      <c r="BOP17" s="90"/>
      <c r="BOQ17" s="148"/>
      <c r="BOR17" s="88"/>
      <c r="BOS17" s="88"/>
      <c r="BOT17" s="90"/>
      <c r="BOU17" s="93"/>
      <c r="BOV17" s="88"/>
      <c r="BOW17" s="88"/>
      <c r="BOX17" s="91"/>
      <c r="BOY17" s="93"/>
      <c r="BOZ17" s="93"/>
      <c r="BPA17" s="88"/>
      <c r="BPB17" s="88"/>
      <c r="BPC17" s="90"/>
      <c r="BPD17" s="148"/>
      <c r="BPE17" s="88"/>
      <c r="BPF17" s="88"/>
      <c r="BPG17" s="90"/>
      <c r="BPH17" s="93"/>
      <c r="BPI17" s="88"/>
      <c r="BPJ17" s="88"/>
      <c r="BPK17" s="91"/>
      <c r="BPL17" s="93"/>
      <c r="BPM17" s="93"/>
      <c r="BPN17" s="88"/>
      <c r="BPO17" s="88"/>
      <c r="BPP17" s="90"/>
      <c r="BPQ17" s="148"/>
      <c r="BPR17" s="88"/>
      <c r="BPS17" s="88"/>
      <c r="BPT17" s="90"/>
      <c r="BPU17" s="93"/>
      <c r="BPV17" s="88"/>
      <c r="BPW17" s="88"/>
      <c r="BPX17" s="91"/>
      <c r="BPY17" s="93"/>
      <c r="BPZ17" s="93"/>
      <c r="BQA17" s="88"/>
      <c r="BQB17" s="88"/>
      <c r="BQC17" s="90"/>
      <c r="BQD17" s="148"/>
      <c r="BQE17" s="88"/>
      <c r="BQF17" s="88"/>
      <c r="BQG17" s="90"/>
      <c r="BQH17" s="93"/>
      <c r="BQI17" s="88"/>
      <c r="BQJ17" s="88"/>
      <c r="BQK17" s="91"/>
      <c r="BQL17" s="93"/>
      <c r="BQM17" s="93"/>
      <c r="BQN17" s="88"/>
      <c r="BQO17" s="88"/>
      <c r="BQP17" s="90"/>
      <c r="BQQ17" s="148"/>
      <c r="BQR17" s="88"/>
      <c r="BQS17" s="88"/>
      <c r="BQT17" s="90"/>
      <c r="BQU17" s="93"/>
      <c r="BQV17" s="88"/>
      <c r="BQW17" s="88"/>
      <c r="BQX17" s="91"/>
      <c r="BQY17" s="93"/>
      <c r="BQZ17" s="93"/>
      <c r="BRA17" s="88"/>
      <c r="BRB17" s="88"/>
      <c r="BRC17" s="90"/>
      <c r="BRD17" s="148"/>
      <c r="BRE17" s="88"/>
      <c r="BRF17" s="88"/>
      <c r="BRG17" s="90"/>
      <c r="BRH17" s="93"/>
      <c r="BRI17" s="88"/>
      <c r="BRJ17" s="88"/>
      <c r="BRK17" s="91"/>
      <c r="BRL17" s="93"/>
      <c r="BRM17" s="93"/>
      <c r="BRN17" s="88"/>
      <c r="BRO17" s="88"/>
      <c r="BRP17" s="90"/>
      <c r="BRQ17" s="148"/>
      <c r="BRR17" s="88"/>
      <c r="BRS17" s="88"/>
      <c r="BRT17" s="90"/>
      <c r="BRU17" s="93"/>
      <c r="BRV17" s="88"/>
      <c r="BRW17" s="88"/>
      <c r="BRX17" s="91"/>
      <c r="BRY17" s="93"/>
      <c r="BRZ17" s="93"/>
      <c r="BSA17" s="88"/>
      <c r="BSB17" s="88"/>
      <c r="BSC17" s="90"/>
      <c r="BSD17" s="148"/>
      <c r="BSE17" s="88"/>
      <c r="BSF17" s="88"/>
      <c r="BSG17" s="90"/>
      <c r="BSH17" s="93"/>
      <c r="BSI17" s="88"/>
      <c r="BSJ17" s="88"/>
      <c r="BSK17" s="91"/>
      <c r="BSL17" s="93"/>
      <c r="BSM17" s="93"/>
      <c r="BSN17" s="88"/>
      <c r="BSO17" s="88"/>
      <c r="BSP17" s="90"/>
      <c r="BSQ17" s="148"/>
      <c r="BSR17" s="88"/>
      <c r="BSS17" s="88"/>
      <c r="BST17" s="90"/>
      <c r="BSU17" s="93"/>
      <c r="BSV17" s="88"/>
      <c r="BSW17" s="88"/>
      <c r="BSX17" s="91"/>
      <c r="BSY17" s="93"/>
      <c r="BSZ17" s="93"/>
      <c r="BTA17" s="88"/>
      <c r="BTB17" s="88"/>
      <c r="BTC17" s="90"/>
      <c r="BTD17" s="148"/>
      <c r="BTE17" s="88"/>
      <c r="BTF17" s="88"/>
      <c r="BTG17" s="90"/>
      <c r="BTH17" s="93"/>
      <c r="BTI17" s="88"/>
      <c r="BTJ17" s="88"/>
      <c r="BTK17" s="91"/>
      <c r="BTL17" s="93"/>
      <c r="BTM17" s="93"/>
      <c r="BTN17" s="88"/>
      <c r="BTO17" s="88"/>
      <c r="BTP17" s="90"/>
      <c r="BTQ17" s="148"/>
      <c r="BTR17" s="88"/>
      <c r="BTS17" s="88"/>
      <c r="BTT17" s="90"/>
      <c r="BTU17" s="93"/>
      <c r="BTV17" s="88"/>
      <c r="BTW17" s="88"/>
      <c r="BTX17" s="91"/>
      <c r="BTY17" s="93"/>
      <c r="BTZ17" s="93"/>
      <c r="BUA17" s="88"/>
      <c r="BUB17" s="88"/>
      <c r="BUC17" s="90"/>
      <c r="BUD17" s="148"/>
      <c r="BUE17" s="88"/>
      <c r="BUF17" s="88"/>
      <c r="BUG17" s="90"/>
      <c r="BUH17" s="93"/>
      <c r="BUI17" s="88"/>
      <c r="BUJ17" s="88"/>
      <c r="BUK17" s="91"/>
      <c r="BUL17" s="93"/>
      <c r="BUM17" s="93"/>
      <c r="BUN17" s="88"/>
      <c r="BUO17" s="88"/>
      <c r="BUP17" s="90"/>
      <c r="BUQ17" s="148"/>
      <c r="BUR17" s="88"/>
      <c r="BUS17" s="88"/>
      <c r="BUT17" s="90"/>
      <c r="BUU17" s="93"/>
      <c r="BUV17" s="88"/>
      <c r="BUW17" s="88"/>
      <c r="BUX17" s="91"/>
      <c r="BUY17" s="93"/>
      <c r="BUZ17" s="93"/>
      <c r="BVA17" s="88"/>
      <c r="BVB17" s="88"/>
      <c r="BVC17" s="90"/>
      <c r="BVD17" s="148"/>
      <c r="BVE17" s="88"/>
      <c r="BVF17" s="88"/>
      <c r="BVG17" s="90"/>
      <c r="BVH17" s="93"/>
      <c r="BVI17" s="88"/>
      <c r="BVJ17" s="88"/>
      <c r="BVK17" s="91"/>
      <c r="BVL17" s="93"/>
      <c r="BVM17" s="93"/>
      <c r="BVN17" s="88"/>
      <c r="BVO17" s="88"/>
      <c r="BVP17" s="90"/>
      <c r="BVQ17" s="148"/>
      <c r="BVR17" s="88"/>
      <c r="BVS17" s="88"/>
      <c r="BVT17" s="90"/>
      <c r="BVU17" s="93"/>
      <c r="BVV17" s="88"/>
      <c r="BVW17" s="88"/>
      <c r="BVX17" s="91"/>
      <c r="BVY17" s="93"/>
      <c r="BVZ17" s="93"/>
      <c r="BWA17" s="88"/>
      <c r="BWB17" s="88"/>
      <c r="BWC17" s="90"/>
      <c r="BWD17" s="148"/>
      <c r="BWE17" s="88"/>
      <c r="BWF17" s="88"/>
      <c r="BWG17" s="90"/>
      <c r="BWH17" s="93"/>
      <c r="BWI17" s="88"/>
      <c r="BWJ17" s="88"/>
      <c r="BWK17" s="91"/>
      <c r="BWL17" s="93"/>
      <c r="BWM17" s="93"/>
      <c r="BWN17" s="88"/>
      <c r="BWO17" s="88"/>
      <c r="BWP17" s="90"/>
      <c r="BWQ17" s="148"/>
      <c r="BWR17" s="88"/>
      <c r="BWS17" s="88"/>
      <c r="BWT17" s="90"/>
      <c r="BWU17" s="93"/>
      <c r="BWV17" s="88"/>
      <c r="BWW17" s="88"/>
      <c r="BWX17" s="91"/>
      <c r="BWY17" s="93"/>
      <c r="BWZ17" s="93"/>
      <c r="BXA17" s="88"/>
      <c r="BXB17" s="88"/>
      <c r="BXC17" s="90"/>
      <c r="BXD17" s="148"/>
      <c r="BXE17" s="88"/>
      <c r="BXF17" s="88"/>
      <c r="BXG17" s="90"/>
      <c r="BXH17" s="93"/>
      <c r="BXI17" s="88"/>
      <c r="BXJ17" s="88"/>
      <c r="BXK17" s="91"/>
      <c r="BXL17" s="93"/>
      <c r="BXM17" s="93"/>
      <c r="BXN17" s="88"/>
      <c r="BXO17" s="88"/>
      <c r="BXP17" s="90"/>
      <c r="BXQ17" s="148"/>
      <c r="BXR17" s="88"/>
      <c r="BXS17" s="88"/>
      <c r="BXT17" s="90"/>
      <c r="BXU17" s="93"/>
      <c r="BXV17" s="88"/>
      <c r="BXW17" s="88"/>
      <c r="BXX17" s="91"/>
      <c r="BXY17" s="93"/>
      <c r="BXZ17" s="93"/>
      <c r="BYA17" s="88"/>
      <c r="BYB17" s="88"/>
      <c r="BYC17" s="90"/>
      <c r="BYD17" s="148"/>
      <c r="BYE17" s="88"/>
      <c r="BYF17" s="88"/>
      <c r="BYG17" s="90"/>
      <c r="BYH17" s="93"/>
      <c r="BYI17" s="88"/>
      <c r="BYJ17" s="88"/>
      <c r="BYK17" s="91"/>
      <c r="BYL17" s="93"/>
      <c r="BYM17" s="93"/>
      <c r="BYN17" s="88"/>
      <c r="BYO17" s="88"/>
      <c r="BYP17" s="90"/>
      <c r="BYQ17" s="148"/>
      <c r="BYR17" s="88"/>
      <c r="BYS17" s="88"/>
      <c r="BYT17" s="90"/>
      <c r="BYU17" s="93"/>
      <c r="BYV17" s="88"/>
      <c r="BYW17" s="88"/>
      <c r="BYX17" s="91"/>
      <c r="BYY17" s="93"/>
      <c r="BYZ17" s="93"/>
      <c r="BZA17" s="88"/>
      <c r="BZB17" s="88"/>
      <c r="BZC17" s="90"/>
      <c r="BZD17" s="148"/>
      <c r="BZE17" s="88"/>
      <c r="BZF17" s="88"/>
      <c r="BZG17" s="90"/>
      <c r="BZH17" s="93"/>
      <c r="BZI17" s="88"/>
      <c r="BZJ17" s="88"/>
      <c r="BZK17" s="91"/>
      <c r="BZL17" s="93"/>
      <c r="BZM17" s="93"/>
      <c r="BZN17" s="88"/>
      <c r="BZO17" s="88"/>
      <c r="BZP17" s="90"/>
      <c r="BZQ17" s="148"/>
      <c r="BZR17" s="88"/>
      <c r="BZS17" s="88"/>
      <c r="BZT17" s="90"/>
      <c r="BZU17" s="93"/>
      <c r="BZV17" s="88"/>
      <c r="BZW17" s="88"/>
      <c r="BZX17" s="91"/>
      <c r="BZY17" s="93"/>
      <c r="BZZ17" s="93"/>
      <c r="CAA17" s="88"/>
      <c r="CAB17" s="88"/>
      <c r="CAC17" s="90"/>
      <c r="CAD17" s="148"/>
      <c r="CAE17" s="88"/>
      <c r="CAF17" s="88"/>
      <c r="CAG17" s="90"/>
      <c r="CAH17" s="93"/>
      <c r="CAI17" s="88"/>
      <c r="CAJ17" s="88"/>
      <c r="CAK17" s="91"/>
      <c r="CAL17" s="93"/>
      <c r="CAM17" s="93"/>
      <c r="CAN17" s="88"/>
      <c r="CAO17" s="88"/>
      <c r="CAP17" s="90"/>
      <c r="CAQ17" s="148"/>
      <c r="CAR17" s="88"/>
      <c r="CAS17" s="88"/>
      <c r="CAT17" s="90"/>
      <c r="CAU17" s="93"/>
      <c r="CAV17" s="88"/>
      <c r="CAW17" s="88"/>
      <c r="CAX17" s="91"/>
      <c r="CAY17" s="93"/>
      <c r="CAZ17" s="93"/>
      <c r="CBA17" s="88"/>
      <c r="CBB17" s="88"/>
      <c r="CBC17" s="90"/>
      <c r="CBD17" s="148"/>
      <c r="CBE17" s="88"/>
      <c r="CBF17" s="88"/>
      <c r="CBG17" s="90"/>
      <c r="CBH17" s="93"/>
      <c r="CBI17" s="88"/>
      <c r="CBJ17" s="88"/>
      <c r="CBK17" s="91"/>
      <c r="CBL17" s="93"/>
      <c r="CBM17" s="93"/>
      <c r="CBN17" s="88"/>
      <c r="CBO17" s="88"/>
      <c r="CBP17" s="90"/>
      <c r="CBQ17" s="148"/>
      <c r="CBR17" s="88"/>
      <c r="CBS17" s="88"/>
      <c r="CBT17" s="90"/>
      <c r="CBU17" s="93"/>
      <c r="CBV17" s="88"/>
      <c r="CBW17" s="88"/>
      <c r="CBX17" s="91"/>
      <c r="CBY17" s="93"/>
      <c r="CBZ17" s="93"/>
      <c r="CCA17" s="88"/>
      <c r="CCB17" s="88"/>
      <c r="CCC17" s="90"/>
      <c r="CCD17" s="148"/>
      <c r="CCE17" s="88"/>
      <c r="CCF17" s="88"/>
      <c r="CCG17" s="90"/>
      <c r="CCH17" s="93"/>
      <c r="CCI17" s="88"/>
      <c r="CCJ17" s="88"/>
      <c r="CCK17" s="91"/>
      <c r="CCL17" s="93"/>
      <c r="CCM17" s="93"/>
      <c r="CCN17" s="88"/>
      <c r="CCO17" s="88"/>
      <c r="CCP17" s="90"/>
      <c r="CCQ17" s="148"/>
      <c r="CCR17" s="88"/>
      <c r="CCS17" s="88"/>
      <c r="CCT17" s="90"/>
      <c r="CCU17" s="93"/>
      <c r="CCV17" s="88"/>
      <c r="CCW17" s="88"/>
      <c r="CCX17" s="91"/>
      <c r="CCY17" s="93"/>
      <c r="CCZ17" s="93"/>
      <c r="CDA17" s="88"/>
      <c r="CDB17" s="88"/>
      <c r="CDC17" s="90"/>
      <c r="CDD17" s="148"/>
      <c r="CDE17" s="88"/>
      <c r="CDF17" s="88"/>
      <c r="CDG17" s="90"/>
      <c r="CDH17" s="93"/>
      <c r="CDI17" s="88"/>
      <c r="CDJ17" s="88"/>
      <c r="CDK17" s="91"/>
      <c r="CDL17" s="93"/>
      <c r="CDM17" s="93"/>
      <c r="CDN17" s="88"/>
      <c r="CDO17" s="88"/>
      <c r="CDP17" s="90"/>
      <c r="CDQ17" s="148"/>
      <c r="CDR17" s="88"/>
      <c r="CDS17" s="88"/>
      <c r="CDT17" s="90"/>
      <c r="CDU17" s="93"/>
      <c r="CDV17" s="88"/>
      <c r="CDW17" s="88"/>
      <c r="CDX17" s="91"/>
      <c r="CDY17" s="93"/>
      <c r="CDZ17" s="93"/>
      <c r="CEA17" s="88"/>
      <c r="CEB17" s="88"/>
      <c r="CEC17" s="90"/>
      <c r="CED17" s="148"/>
      <c r="CEE17" s="88"/>
      <c r="CEF17" s="88"/>
      <c r="CEG17" s="90"/>
      <c r="CEH17" s="93"/>
      <c r="CEI17" s="88"/>
      <c r="CEJ17" s="88"/>
      <c r="CEK17" s="91"/>
      <c r="CEL17" s="93"/>
      <c r="CEM17" s="93"/>
      <c r="CEN17" s="88"/>
      <c r="CEO17" s="88"/>
      <c r="CEP17" s="90"/>
      <c r="CEQ17" s="148"/>
      <c r="CER17" s="88"/>
      <c r="CES17" s="88"/>
      <c r="CET17" s="90"/>
      <c r="CEU17" s="93"/>
      <c r="CEV17" s="88"/>
      <c r="CEW17" s="88"/>
      <c r="CEX17" s="91"/>
      <c r="CEY17" s="93"/>
      <c r="CEZ17" s="93"/>
      <c r="CFA17" s="88"/>
      <c r="CFB17" s="88"/>
      <c r="CFC17" s="90"/>
      <c r="CFD17" s="148"/>
      <c r="CFE17" s="88"/>
      <c r="CFF17" s="88"/>
      <c r="CFG17" s="90"/>
      <c r="CFH17" s="93"/>
      <c r="CFI17" s="88"/>
      <c r="CFJ17" s="88"/>
      <c r="CFK17" s="91"/>
      <c r="CFL17" s="93"/>
      <c r="CFM17" s="93"/>
      <c r="CFN17" s="88"/>
      <c r="CFO17" s="88"/>
      <c r="CFP17" s="90"/>
      <c r="CFQ17" s="148"/>
      <c r="CFR17" s="88"/>
      <c r="CFS17" s="88"/>
      <c r="CFT17" s="90"/>
      <c r="CFU17" s="93"/>
      <c r="CFV17" s="88"/>
      <c r="CFW17" s="88"/>
      <c r="CFX17" s="91"/>
      <c r="CFY17" s="93"/>
      <c r="CFZ17" s="93"/>
      <c r="CGA17" s="88"/>
      <c r="CGB17" s="88"/>
      <c r="CGC17" s="90"/>
      <c r="CGD17" s="148"/>
      <c r="CGE17" s="88"/>
      <c r="CGF17" s="88"/>
      <c r="CGG17" s="90"/>
      <c r="CGH17" s="93"/>
      <c r="CGI17" s="88"/>
      <c r="CGJ17" s="88"/>
      <c r="CGK17" s="91"/>
      <c r="CGL17" s="93"/>
      <c r="CGM17" s="93"/>
      <c r="CGN17" s="88"/>
      <c r="CGO17" s="88"/>
      <c r="CGP17" s="90"/>
      <c r="CGQ17" s="148"/>
      <c r="CGR17" s="88"/>
      <c r="CGS17" s="88"/>
      <c r="CGT17" s="90"/>
      <c r="CGU17" s="93"/>
      <c r="CGV17" s="88"/>
      <c r="CGW17" s="88"/>
      <c r="CGX17" s="91"/>
      <c r="CGY17" s="93"/>
      <c r="CGZ17" s="93"/>
      <c r="CHA17" s="88"/>
      <c r="CHB17" s="88"/>
      <c r="CHC17" s="90"/>
      <c r="CHD17" s="148"/>
      <c r="CHE17" s="88"/>
      <c r="CHF17" s="88"/>
      <c r="CHG17" s="90"/>
      <c r="CHH17" s="93"/>
      <c r="CHI17" s="88"/>
      <c r="CHJ17" s="88"/>
      <c r="CHK17" s="91"/>
      <c r="CHL17" s="93"/>
      <c r="CHM17" s="93"/>
      <c r="CHN17" s="88"/>
      <c r="CHO17" s="88"/>
      <c r="CHP17" s="90"/>
      <c r="CHQ17" s="148"/>
      <c r="CHR17" s="88"/>
      <c r="CHS17" s="88"/>
      <c r="CHT17" s="90"/>
      <c r="CHU17" s="93"/>
      <c r="CHV17" s="88"/>
      <c r="CHW17" s="88"/>
      <c r="CHX17" s="91"/>
      <c r="CHY17" s="93"/>
      <c r="CHZ17" s="93"/>
      <c r="CIA17" s="88"/>
      <c r="CIB17" s="88"/>
      <c r="CIC17" s="90"/>
      <c r="CID17" s="148"/>
      <c r="CIE17" s="88"/>
      <c r="CIF17" s="88"/>
      <c r="CIG17" s="90"/>
      <c r="CIH17" s="93"/>
      <c r="CII17" s="88"/>
      <c r="CIJ17" s="88"/>
      <c r="CIK17" s="91"/>
      <c r="CIL17" s="93"/>
      <c r="CIM17" s="93"/>
      <c r="CIN17" s="88"/>
      <c r="CIO17" s="88"/>
      <c r="CIP17" s="90"/>
      <c r="CIQ17" s="148"/>
      <c r="CIR17" s="88"/>
      <c r="CIS17" s="88"/>
      <c r="CIT17" s="90"/>
      <c r="CIU17" s="93"/>
      <c r="CIV17" s="88"/>
      <c r="CIW17" s="88"/>
      <c r="CIX17" s="91"/>
      <c r="CIY17" s="93"/>
      <c r="CIZ17" s="93"/>
      <c r="CJA17" s="88"/>
      <c r="CJB17" s="88"/>
      <c r="CJC17" s="90"/>
      <c r="CJD17" s="148"/>
      <c r="CJE17" s="88"/>
      <c r="CJF17" s="88"/>
      <c r="CJG17" s="90"/>
      <c r="CJH17" s="93"/>
      <c r="CJI17" s="88"/>
      <c r="CJJ17" s="88"/>
      <c r="CJK17" s="91"/>
      <c r="CJL17" s="93"/>
      <c r="CJM17" s="93"/>
      <c r="CJN17" s="88"/>
      <c r="CJO17" s="88"/>
      <c r="CJP17" s="90"/>
      <c r="CJQ17" s="148"/>
      <c r="CJR17" s="88"/>
      <c r="CJS17" s="88"/>
      <c r="CJT17" s="90"/>
      <c r="CJU17" s="93"/>
      <c r="CJV17" s="88"/>
      <c r="CJW17" s="88"/>
      <c r="CJX17" s="91"/>
      <c r="CJY17" s="93"/>
      <c r="CJZ17" s="93"/>
      <c r="CKA17" s="88"/>
      <c r="CKB17" s="88"/>
      <c r="CKC17" s="90"/>
      <c r="CKD17" s="148"/>
      <c r="CKE17" s="88"/>
      <c r="CKF17" s="88"/>
      <c r="CKG17" s="90"/>
      <c r="CKH17" s="93"/>
      <c r="CKI17" s="88"/>
      <c r="CKJ17" s="88"/>
      <c r="CKK17" s="91"/>
      <c r="CKL17" s="93"/>
      <c r="CKM17" s="93"/>
      <c r="CKN17" s="88"/>
      <c r="CKO17" s="88"/>
      <c r="CKP17" s="90"/>
      <c r="CKQ17" s="148"/>
      <c r="CKR17" s="88"/>
      <c r="CKS17" s="88"/>
      <c r="CKT17" s="90"/>
      <c r="CKU17" s="93"/>
      <c r="CKV17" s="88"/>
      <c r="CKW17" s="88"/>
      <c r="CKX17" s="91"/>
      <c r="CKY17" s="93"/>
      <c r="CKZ17" s="93"/>
      <c r="CLA17" s="88"/>
      <c r="CLB17" s="88"/>
      <c r="CLC17" s="90"/>
      <c r="CLD17" s="148"/>
      <c r="CLE17" s="88"/>
      <c r="CLF17" s="88"/>
      <c r="CLG17" s="90"/>
      <c r="CLH17" s="93"/>
      <c r="CLI17" s="88"/>
      <c r="CLJ17" s="88"/>
      <c r="CLK17" s="91"/>
      <c r="CLL17" s="93"/>
      <c r="CLM17" s="93"/>
      <c r="CLN17" s="88"/>
      <c r="CLO17" s="88"/>
      <c r="CLP17" s="90"/>
      <c r="CLQ17" s="148"/>
      <c r="CLR17" s="88"/>
      <c r="CLS17" s="88"/>
      <c r="CLT17" s="90"/>
      <c r="CLU17" s="93"/>
      <c r="CLV17" s="88"/>
      <c r="CLW17" s="88"/>
      <c r="CLX17" s="91"/>
      <c r="CLY17" s="93"/>
      <c r="CLZ17" s="93"/>
      <c r="CMA17" s="88"/>
      <c r="CMB17" s="88"/>
      <c r="CMC17" s="90"/>
      <c r="CMD17" s="148"/>
      <c r="CME17" s="88"/>
      <c r="CMF17" s="88"/>
      <c r="CMG17" s="90"/>
      <c r="CMH17" s="93"/>
      <c r="CMI17" s="88"/>
      <c r="CMJ17" s="88"/>
      <c r="CMK17" s="91"/>
      <c r="CML17" s="93"/>
      <c r="CMM17" s="93"/>
      <c r="CMN17" s="88"/>
      <c r="CMO17" s="88"/>
      <c r="CMP17" s="90"/>
      <c r="CMQ17" s="148"/>
      <c r="CMR17" s="88"/>
      <c r="CMS17" s="88"/>
      <c r="CMT17" s="90"/>
      <c r="CMU17" s="93"/>
      <c r="CMV17" s="88"/>
      <c r="CMW17" s="88"/>
      <c r="CMX17" s="91"/>
      <c r="CMY17" s="93"/>
      <c r="CMZ17" s="93"/>
      <c r="CNA17" s="88"/>
      <c r="CNB17" s="88"/>
      <c r="CNC17" s="90"/>
      <c r="CND17" s="148"/>
      <c r="CNE17" s="88"/>
      <c r="CNF17" s="88"/>
      <c r="CNG17" s="90"/>
      <c r="CNH17" s="93"/>
      <c r="CNI17" s="88"/>
      <c r="CNJ17" s="88"/>
      <c r="CNK17" s="91"/>
      <c r="CNL17" s="93"/>
      <c r="CNM17" s="93"/>
      <c r="CNN17" s="88"/>
      <c r="CNO17" s="88"/>
      <c r="CNP17" s="90"/>
      <c r="CNQ17" s="148"/>
      <c r="CNR17" s="88"/>
      <c r="CNS17" s="88"/>
      <c r="CNT17" s="90"/>
      <c r="CNU17" s="93"/>
      <c r="CNV17" s="88"/>
      <c r="CNW17" s="88"/>
      <c r="CNX17" s="91"/>
      <c r="CNY17" s="93"/>
      <c r="CNZ17" s="93"/>
      <c r="COA17" s="88"/>
      <c r="COB17" s="88"/>
      <c r="COC17" s="90"/>
      <c r="COD17" s="148"/>
      <c r="COE17" s="88"/>
      <c r="COF17" s="88"/>
      <c r="COG17" s="90"/>
      <c r="COH17" s="93"/>
      <c r="COI17" s="88"/>
      <c r="COJ17" s="88"/>
      <c r="COK17" s="91"/>
      <c r="COL17" s="93"/>
      <c r="COM17" s="93"/>
      <c r="CON17" s="88"/>
      <c r="COO17" s="88"/>
      <c r="COP17" s="90"/>
      <c r="COQ17" s="148"/>
      <c r="COR17" s="88"/>
      <c r="COS17" s="88"/>
      <c r="COT17" s="90"/>
      <c r="COU17" s="93"/>
      <c r="COV17" s="88"/>
      <c r="COW17" s="88"/>
      <c r="COX17" s="91"/>
      <c r="COY17" s="93"/>
      <c r="COZ17" s="93"/>
      <c r="CPA17" s="88"/>
      <c r="CPB17" s="88"/>
      <c r="CPC17" s="90"/>
      <c r="CPD17" s="148"/>
      <c r="CPE17" s="88"/>
      <c r="CPF17" s="88"/>
      <c r="CPG17" s="90"/>
      <c r="CPH17" s="93"/>
      <c r="CPI17" s="88"/>
      <c r="CPJ17" s="88"/>
      <c r="CPK17" s="91"/>
      <c r="CPL17" s="93"/>
      <c r="CPM17" s="93"/>
      <c r="CPN17" s="88"/>
      <c r="CPO17" s="88"/>
      <c r="CPP17" s="90"/>
      <c r="CPQ17" s="148"/>
      <c r="CPR17" s="88"/>
      <c r="CPS17" s="88"/>
      <c r="CPT17" s="90"/>
      <c r="CPU17" s="93"/>
      <c r="CPV17" s="88"/>
      <c r="CPW17" s="88"/>
      <c r="CPX17" s="91"/>
      <c r="CPY17" s="93"/>
      <c r="CPZ17" s="93"/>
      <c r="CQA17" s="88"/>
      <c r="CQB17" s="88"/>
      <c r="CQC17" s="90"/>
      <c r="CQD17" s="148"/>
      <c r="CQE17" s="88"/>
      <c r="CQF17" s="88"/>
      <c r="CQG17" s="90"/>
      <c r="CQH17" s="93"/>
      <c r="CQI17" s="88"/>
      <c r="CQJ17" s="88"/>
      <c r="CQK17" s="91"/>
      <c r="CQL17" s="93"/>
      <c r="CQM17" s="93"/>
      <c r="CQN17" s="88"/>
      <c r="CQO17" s="88"/>
      <c r="CQP17" s="90"/>
      <c r="CQQ17" s="148"/>
      <c r="CQR17" s="88"/>
      <c r="CQS17" s="88"/>
      <c r="CQT17" s="90"/>
      <c r="CQU17" s="93"/>
      <c r="CQV17" s="88"/>
      <c r="CQW17" s="88"/>
      <c r="CQX17" s="91"/>
      <c r="CQY17" s="93"/>
      <c r="CQZ17" s="93"/>
      <c r="CRA17" s="88"/>
      <c r="CRB17" s="88"/>
      <c r="CRC17" s="90"/>
      <c r="CRD17" s="148"/>
      <c r="CRE17" s="88"/>
      <c r="CRF17" s="88"/>
      <c r="CRG17" s="90"/>
      <c r="CRH17" s="93"/>
      <c r="CRI17" s="88"/>
      <c r="CRJ17" s="88"/>
      <c r="CRK17" s="91"/>
      <c r="CRL17" s="93"/>
      <c r="CRM17" s="93"/>
      <c r="CRN17" s="88"/>
      <c r="CRO17" s="88"/>
      <c r="CRP17" s="90"/>
      <c r="CRQ17" s="148"/>
      <c r="CRR17" s="88"/>
      <c r="CRS17" s="88"/>
      <c r="CRT17" s="90"/>
      <c r="CRU17" s="93"/>
      <c r="CRV17" s="88"/>
      <c r="CRW17" s="88"/>
      <c r="CRX17" s="91"/>
      <c r="CRY17" s="93"/>
      <c r="CRZ17" s="93"/>
      <c r="CSA17" s="88"/>
      <c r="CSB17" s="88"/>
      <c r="CSC17" s="90"/>
      <c r="CSD17" s="148"/>
      <c r="CSE17" s="88"/>
      <c r="CSF17" s="88"/>
      <c r="CSG17" s="90"/>
      <c r="CSH17" s="93"/>
      <c r="CSI17" s="88"/>
      <c r="CSJ17" s="88"/>
      <c r="CSK17" s="91"/>
      <c r="CSL17" s="93"/>
      <c r="CSM17" s="93"/>
      <c r="CSN17" s="88"/>
      <c r="CSO17" s="88"/>
      <c r="CSP17" s="90"/>
      <c r="CSQ17" s="148"/>
      <c r="CSR17" s="88"/>
      <c r="CSS17" s="88"/>
      <c r="CST17" s="90"/>
      <c r="CSU17" s="93"/>
      <c r="CSV17" s="88"/>
      <c r="CSW17" s="88"/>
      <c r="CSX17" s="91"/>
      <c r="CSY17" s="93"/>
      <c r="CSZ17" s="93"/>
      <c r="CTA17" s="88"/>
      <c r="CTB17" s="88"/>
      <c r="CTC17" s="90"/>
      <c r="CTD17" s="148"/>
      <c r="CTE17" s="88"/>
      <c r="CTF17" s="88"/>
      <c r="CTG17" s="90"/>
      <c r="CTH17" s="93"/>
      <c r="CTI17" s="88"/>
      <c r="CTJ17" s="88"/>
      <c r="CTK17" s="91"/>
      <c r="CTL17" s="93"/>
      <c r="CTM17" s="93"/>
      <c r="CTN17" s="88"/>
      <c r="CTO17" s="88"/>
      <c r="CTP17" s="90"/>
      <c r="CTQ17" s="148"/>
      <c r="CTR17" s="88"/>
      <c r="CTS17" s="88"/>
      <c r="CTT17" s="90"/>
      <c r="CTU17" s="93"/>
      <c r="CTV17" s="88"/>
      <c r="CTW17" s="88"/>
      <c r="CTX17" s="91"/>
      <c r="CTY17" s="93"/>
      <c r="CTZ17" s="93"/>
      <c r="CUA17" s="88"/>
      <c r="CUB17" s="88"/>
      <c r="CUC17" s="90"/>
      <c r="CUD17" s="148"/>
      <c r="CUE17" s="88"/>
      <c r="CUF17" s="88"/>
      <c r="CUG17" s="90"/>
      <c r="CUH17" s="93"/>
      <c r="CUI17" s="88"/>
      <c r="CUJ17" s="88"/>
      <c r="CUK17" s="91"/>
      <c r="CUL17" s="93"/>
      <c r="CUM17" s="93"/>
      <c r="CUN17" s="88"/>
      <c r="CUO17" s="88"/>
      <c r="CUP17" s="90"/>
      <c r="CUQ17" s="148"/>
      <c r="CUR17" s="88"/>
      <c r="CUS17" s="88"/>
      <c r="CUT17" s="90"/>
      <c r="CUU17" s="93"/>
      <c r="CUV17" s="88"/>
      <c r="CUW17" s="88"/>
      <c r="CUX17" s="91"/>
      <c r="CUY17" s="93"/>
      <c r="CUZ17" s="93"/>
      <c r="CVA17" s="88"/>
      <c r="CVB17" s="88"/>
      <c r="CVC17" s="90"/>
      <c r="CVD17" s="148"/>
      <c r="CVE17" s="88"/>
      <c r="CVF17" s="88"/>
      <c r="CVG17" s="90"/>
      <c r="CVH17" s="93"/>
      <c r="CVI17" s="88"/>
      <c r="CVJ17" s="88"/>
      <c r="CVK17" s="91"/>
      <c r="CVL17" s="93"/>
      <c r="CVM17" s="93"/>
      <c r="CVN17" s="88"/>
      <c r="CVO17" s="88"/>
      <c r="CVP17" s="90"/>
      <c r="CVQ17" s="148"/>
      <c r="CVR17" s="88"/>
      <c r="CVS17" s="88"/>
      <c r="CVT17" s="90"/>
      <c r="CVU17" s="93"/>
      <c r="CVV17" s="88"/>
      <c r="CVW17" s="88"/>
      <c r="CVX17" s="91"/>
      <c r="CVY17" s="93"/>
      <c r="CVZ17" s="93"/>
      <c r="CWA17" s="88"/>
      <c r="CWB17" s="88"/>
      <c r="CWC17" s="90"/>
      <c r="CWD17" s="148"/>
      <c r="CWE17" s="88"/>
      <c r="CWF17" s="88"/>
      <c r="CWG17" s="90"/>
      <c r="CWH17" s="93"/>
      <c r="CWI17" s="88"/>
      <c r="CWJ17" s="88"/>
      <c r="CWK17" s="91"/>
      <c r="CWL17" s="93"/>
      <c r="CWM17" s="93"/>
      <c r="CWN17" s="88"/>
      <c r="CWO17" s="88"/>
      <c r="CWP17" s="90"/>
      <c r="CWQ17" s="148"/>
      <c r="CWR17" s="88"/>
      <c r="CWS17" s="88"/>
      <c r="CWT17" s="90"/>
      <c r="CWU17" s="93"/>
      <c r="CWV17" s="88"/>
      <c r="CWW17" s="88"/>
      <c r="CWX17" s="91"/>
      <c r="CWY17" s="93"/>
      <c r="CWZ17" s="93"/>
      <c r="CXA17" s="88"/>
      <c r="CXB17" s="88"/>
      <c r="CXC17" s="90"/>
      <c r="CXD17" s="148"/>
      <c r="CXE17" s="88"/>
      <c r="CXF17" s="88"/>
      <c r="CXG17" s="90"/>
      <c r="CXH17" s="93"/>
      <c r="CXI17" s="88"/>
      <c r="CXJ17" s="88"/>
      <c r="CXK17" s="91"/>
      <c r="CXL17" s="93"/>
      <c r="CXM17" s="93"/>
      <c r="CXN17" s="88"/>
      <c r="CXO17" s="88"/>
      <c r="CXP17" s="90"/>
      <c r="CXQ17" s="148"/>
      <c r="CXR17" s="88"/>
      <c r="CXS17" s="88"/>
      <c r="CXT17" s="90"/>
      <c r="CXU17" s="93"/>
      <c r="CXV17" s="88"/>
      <c r="CXW17" s="88"/>
      <c r="CXX17" s="91"/>
      <c r="CXY17" s="93"/>
      <c r="CXZ17" s="93"/>
      <c r="CYA17" s="88"/>
      <c r="CYB17" s="88"/>
      <c r="CYC17" s="90"/>
      <c r="CYD17" s="148"/>
      <c r="CYE17" s="88"/>
      <c r="CYF17" s="88"/>
      <c r="CYG17" s="90"/>
      <c r="CYH17" s="93"/>
      <c r="CYI17" s="88"/>
      <c r="CYJ17" s="88"/>
      <c r="CYK17" s="91"/>
      <c r="CYL17" s="93"/>
      <c r="CYM17" s="93"/>
      <c r="CYN17" s="88"/>
      <c r="CYO17" s="88"/>
      <c r="CYP17" s="90"/>
      <c r="CYQ17" s="148"/>
      <c r="CYR17" s="88"/>
      <c r="CYS17" s="88"/>
      <c r="CYT17" s="90"/>
      <c r="CYU17" s="93"/>
      <c r="CYV17" s="88"/>
      <c r="CYW17" s="88"/>
      <c r="CYX17" s="91"/>
      <c r="CYY17" s="93"/>
      <c r="CYZ17" s="93"/>
      <c r="CZA17" s="88"/>
      <c r="CZB17" s="88"/>
      <c r="CZC17" s="90"/>
      <c r="CZD17" s="148"/>
      <c r="CZE17" s="88"/>
      <c r="CZF17" s="88"/>
      <c r="CZG17" s="90"/>
      <c r="CZH17" s="93"/>
      <c r="CZI17" s="88"/>
      <c r="CZJ17" s="88"/>
      <c r="CZK17" s="91"/>
      <c r="CZL17" s="93"/>
      <c r="CZM17" s="93"/>
      <c r="CZN17" s="88"/>
      <c r="CZO17" s="88"/>
      <c r="CZP17" s="90"/>
      <c r="CZQ17" s="148"/>
      <c r="CZR17" s="88"/>
      <c r="CZS17" s="88"/>
      <c r="CZT17" s="90"/>
      <c r="CZU17" s="93"/>
      <c r="CZV17" s="88"/>
      <c r="CZW17" s="88"/>
      <c r="CZX17" s="91"/>
      <c r="CZY17" s="93"/>
      <c r="CZZ17" s="93"/>
      <c r="DAA17" s="88"/>
      <c r="DAB17" s="88"/>
      <c r="DAC17" s="90"/>
      <c r="DAD17" s="148"/>
      <c r="DAE17" s="88"/>
      <c r="DAF17" s="88"/>
      <c r="DAG17" s="90"/>
      <c r="DAH17" s="93"/>
      <c r="DAI17" s="88"/>
      <c r="DAJ17" s="88"/>
      <c r="DAK17" s="91"/>
      <c r="DAL17" s="93"/>
      <c r="DAM17" s="93"/>
      <c r="DAN17" s="88"/>
      <c r="DAO17" s="88"/>
      <c r="DAP17" s="90"/>
      <c r="DAQ17" s="148"/>
      <c r="DAR17" s="88"/>
      <c r="DAS17" s="88"/>
      <c r="DAT17" s="90"/>
      <c r="DAU17" s="93"/>
      <c r="DAV17" s="88"/>
      <c r="DAW17" s="88"/>
      <c r="DAX17" s="91"/>
      <c r="DAY17" s="93"/>
      <c r="DAZ17" s="93"/>
      <c r="DBA17" s="88"/>
      <c r="DBB17" s="88"/>
      <c r="DBC17" s="90"/>
      <c r="DBD17" s="148"/>
      <c r="DBE17" s="88"/>
      <c r="DBF17" s="88"/>
      <c r="DBG17" s="90"/>
      <c r="DBH17" s="93"/>
      <c r="DBI17" s="88"/>
      <c r="DBJ17" s="88"/>
      <c r="DBK17" s="91"/>
      <c r="DBL17" s="93"/>
      <c r="DBM17" s="93"/>
      <c r="DBN17" s="88"/>
      <c r="DBO17" s="88"/>
      <c r="DBP17" s="90"/>
      <c r="DBQ17" s="148"/>
      <c r="DBR17" s="88"/>
      <c r="DBS17" s="88"/>
      <c r="DBT17" s="90"/>
      <c r="DBU17" s="93"/>
      <c r="DBV17" s="88"/>
      <c r="DBW17" s="88"/>
      <c r="DBX17" s="91"/>
      <c r="DBY17" s="93"/>
      <c r="DBZ17" s="93"/>
      <c r="DCA17" s="88"/>
      <c r="DCB17" s="88"/>
      <c r="DCC17" s="90"/>
      <c r="DCD17" s="148"/>
      <c r="DCE17" s="88"/>
      <c r="DCF17" s="88"/>
      <c r="DCG17" s="90"/>
      <c r="DCH17" s="93"/>
      <c r="DCI17" s="88"/>
      <c r="DCJ17" s="88"/>
      <c r="DCK17" s="91"/>
      <c r="DCL17" s="93"/>
      <c r="DCM17" s="93"/>
      <c r="DCN17" s="88"/>
      <c r="DCO17" s="88"/>
      <c r="DCP17" s="90"/>
      <c r="DCQ17" s="148"/>
      <c r="DCR17" s="88"/>
      <c r="DCS17" s="88"/>
      <c r="DCT17" s="90"/>
      <c r="DCU17" s="93"/>
      <c r="DCV17" s="88"/>
      <c r="DCW17" s="88"/>
      <c r="DCX17" s="91"/>
      <c r="DCY17" s="93"/>
      <c r="DCZ17" s="93"/>
      <c r="DDA17" s="88"/>
      <c r="DDB17" s="88"/>
      <c r="DDC17" s="90"/>
      <c r="DDD17" s="148"/>
      <c r="DDE17" s="88"/>
      <c r="DDF17" s="88"/>
      <c r="DDG17" s="90"/>
      <c r="DDH17" s="93"/>
      <c r="DDI17" s="88"/>
      <c r="DDJ17" s="88"/>
      <c r="DDK17" s="91"/>
      <c r="DDL17" s="93"/>
      <c r="DDM17" s="93"/>
      <c r="DDN17" s="88"/>
      <c r="DDO17" s="88"/>
      <c r="DDP17" s="90"/>
      <c r="DDQ17" s="148"/>
      <c r="DDR17" s="88"/>
      <c r="DDS17" s="88"/>
      <c r="DDT17" s="90"/>
      <c r="DDU17" s="93"/>
      <c r="DDV17" s="88"/>
      <c r="DDW17" s="88"/>
      <c r="DDX17" s="91"/>
      <c r="DDY17" s="93"/>
      <c r="DDZ17" s="93"/>
      <c r="DEA17" s="88"/>
      <c r="DEB17" s="88"/>
      <c r="DEC17" s="90"/>
      <c r="DED17" s="148"/>
      <c r="DEE17" s="88"/>
      <c r="DEF17" s="88"/>
      <c r="DEG17" s="90"/>
      <c r="DEH17" s="93"/>
      <c r="DEI17" s="88"/>
      <c r="DEJ17" s="88"/>
      <c r="DEK17" s="91"/>
      <c r="DEL17" s="93"/>
      <c r="DEM17" s="93"/>
      <c r="DEN17" s="88"/>
      <c r="DEO17" s="88"/>
      <c r="DEP17" s="90"/>
      <c r="DEQ17" s="148"/>
      <c r="DER17" s="88"/>
      <c r="DES17" s="88"/>
      <c r="DET17" s="90"/>
      <c r="DEU17" s="93"/>
      <c r="DEV17" s="88"/>
      <c r="DEW17" s="88"/>
      <c r="DEX17" s="91"/>
      <c r="DEY17" s="93"/>
      <c r="DEZ17" s="93"/>
      <c r="DFA17" s="88"/>
      <c r="DFB17" s="88"/>
      <c r="DFC17" s="90"/>
      <c r="DFD17" s="148"/>
      <c r="DFE17" s="88"/>
      <c r="DFF17" s="88"/>
      <c r="DFG17" s="90"/>
      <c r="DFH17" s="93"/>
      <c r="DFI17" s="88"/>
      <c r="DFJ17" s="88"/>
      <c r="DFK17" s="91"/>
      <c r="DFL17" s="93"/>
      <c r="DFM17" s="93"/>
      <c r="DFN17" s="88"/>
      <c r="DFO17" s="88"/>
      <c r="DFP17" s="90"/>
      <c r="DFQ17" s="148"/>
      <c r="DFR17" s="88"/>
      <c r="DFS17" s="88"/>
      <c r="DFT17" s="90"/>
      <c r="DFU17" s="93"/>
      <c r="DFV17" s="88"/>
      <c r="DFW17" s="88"/>
      <c r="DFX17" s="91"/>
      <c r="DFY17" s="93"/>
      <c r="DFZ17" s="93"/>
      <c r="DGA17" s="88"/>
      <c r="DGB17" s="88"/>
      <c r="DGC17" s="90"/>
      <c r="DGD17" s="148"/>
      <c r="DGE17" s="88"/>
      <c r="DGF17" s="88"/>
      <c r="DGG17" s="90"/>
      <c r="DGH17" s="93"/>
      <c r="DGI17" s="88"/>
      <c r="DGJ17" s="88"/>
      <c r="DGK17" s="91"/>
      <c r="DGL17" s="93"/>
      <c r="DGM17" s="93"/>
      <c r="DGN17" s="88"/>
      <c r="DGO17" s="88"/>
      <c r="DGP17" s="90"/>
      <c r="DGQ17" s="148"/>
      <c r="DGR17" s="88"/>
      <c r="DGS17" s="88"/>
      <c r="DGT17" s="90"/>
      <c r="DGU17" s="93"/>
      <c r="DGV17" s="88"/>
      <c r="DGW17" s="88"/>
      <c r="DGX17" s="91"/>
      <c r="DGY17" s="93"/>
      <c r="DGZ17" s="93"/>
      <c r="DHA17" s="88"/>
      <c r="DHB17" s="88"/>
      <c r="DHC17" s="90"/>
      <c r="DHD17" s="148"/>
      <c r="DHE17" s="88"/>
      <c r="DHF17" s="88"/>
      <c r="DHG17" s="90"/>
      <c r="DHH17" s="93"/>
      <c r="DHI17" s="88"/>
      <c r="DHJ17" s="88"/>
      <c r="DHK17" s="91"/>
      <c r="DHL17" s="93"/>
      <c r="DHM17" s="93"/>
      <c r="DHN17" s="88"/>
      <c r="DHO17" s="88"/>
      <c r="DHP17" s="90"/>
      <c r="DHQ17" s="148"/>
      <c r="DHR17" s="88"/>
      <c r="DHS17" s="88"/>
      <c r="DHT17" s="90"/>
      <c r="DHU17" s="93"/>
      <c r="DHV17" s="88"/>
      <c r="DHW17" s="88"/>
      <c r="DHX17" s="91"/>
      <c r="DHY17" s="93"/>
      <c r="DHZ17" s="93"/>
      <c r="DIA17" s="88"/>
      <c r="DIB17" s="88"/>
      <c r="DIC17" s="90"/>
      <c r="DID17" s="148"/>
      <c r="DIE17" s="88"/>
      <c r="DIF17" s="88"/>
      <c r="DIG17" s="90"/>
      <c r="DIH17" s="93"/>
      <c r="DII17" s="88"/>
      <c r="DIJ17" s="88"/>
      <c r="DIK17" s="91"/>
      <c r="DIL17" s="93"/>
      <c r="DIM17" s="93"/>
      <c r="DIN17" s="88"/>
      <c r="DIO17" s="88"/>
      <c r="DIP17" s="90"/>
      <c r="DIQ17" s="148"/>
      <c r="DIR17" s="88"/>
      <c r="DIS17" s="88"/>
      <c r="DIT17" s="90"/>
      <c r="DIU17" s="93"/>
      <c r="DIV17" s="88"/>
      <c r="DIW17" s="88"/>
      <c r="DIX17" s="91"/>
      <c r="DIY17" s="93"/>
      <c r="DIZ17" s="93"/>
      <c r="DJA17" s="88"/>
      <c r="DJB17" s="88"/>
      <c r="DJC17" s="90"/>
      <c r="DJD17" s="148"/>
      <c r="DJE17" s="88"/>
      <c r="DJF17" s="88"/>
      <c r="DJG17" s="90"/>
      <c r="DJH17" s="93"/>
      <c r="DJI17" s="88"/>
      <c r="DJJ17" s="88"/>
      <c r="DJK17" s="91"/>
      <c r="DJL17" s="93"/>
      <c r="DJM17" s="93"/>
      <c r="DJN17" s="88"/>
      <c r="DJO17" s="88"/>
      <c r="DJP17" s="90"/>
      <c r="DJQ17" s="148"/>
      <c r="DJR17" s="88"/>
      <c r="DJS17" s="88"/>
      <c r="DJT17" s="90"/>
      <c r="DJU17" s="93"/>
      <c r="DJV17" s="88"/>
      <c r="DJW17" s="88"/>
      <c r="DJX17" s="91"/>
      <c r="DJY17" s="93"/>
      <c r="DJZ17" s="93"/>
      <c r="DKA17" s="88"/>
      <c r="DKB17" s="88"/>
      <c r="DKC17" s="90"/>
      <c r="DKD17" s="148"/>
      <c r="DKE17" s="88"/>
      <c r="DKF17" s="88"/>
      <c r="DKG17" s="90"/>
      <c r="DKH17" s="93"/>
      <c r="DKI17" s="88"/>
      <c r="DKJ17" s="88"/>
      <c r="DKK17" s="91"/>
      <c r="DKL17" s="93"/>
      <c r="DKM17" s="93"/>
      <c r="DKN17" s="88"/>
      <c r="DKO17" s="88"/>
      <c r="DKP17" s="90"/>
      <c r="DKQ17" s="148"/>
      <c r="DKR17" s="88"/>
      <c r="DKS17" s="88"/>
      <c r="DKT17" s="90"/>
      <c r="DKU17" s="93"/>
      <c r="DKV17" s="88"/>
      <c r="DKW17" s="88"/>
      <c r="DKX17" s="91"/>
      <c r="DKY17" s="93"/>
      <c r="DKZ17" s="93"/>
      <c r="DLA17" s="88"/>
      <c r="DLB17" s="88"/>
      <c r="DLC17" s="90"/>
      <c r="DLD17" s="148"/>
      <c r="DLE17" s="88"/>
      <c r="DLF17" s="88"/>
      <c r="DLG17" s="90"/>
      <c r="DLH17" s="93"/>
      <c r="DLI17" s="88"/>
      <c r="DLJ17" s="88"/>
      <c r="DLK17" s="91"/>
      <c r="DLL17" s="93"/>
      <c r="DLM17" s="93"/>
      <c r="DLN17" s="88"/>
      <c r="DLO17" s="88"/>
      <c r="DLP17" s="90"/>
      <c r="DLQ17" s="148"/>
      <c r="DLR17" s="88"/>
      <c r="DLS17" s="88"/>
      <c r="DLT17" s="90"/>
      <c r="DLU17" s="93"/>
      <c r="DLV17" s="88"/>
      <c r="DLW17" s="88"/>
      <c r="DLX17" s="91"/>
      <c r="DLY17" s="93"/>
      <c r="DLZ17" s="93"/>
      <c r="DMA17" s="88"/>
      <c r="DMB17" s="88"/>
      <c r="DMC17" s="90"/>
      <c r="DMD17" s="148"/>
      <c r="DME17" s="88"/>
      <c r="DMF17" s="88"/>
      <c r="DMG17" s="90"/>
      <c r="DMH17" s="93"/>
      <c r="DMI17" s="88"/>
      <c r="DMJ17" s="88"/>
      <c r="DMK17" s="91"/>
      <c r="DML17" s="93"/>
      <c r="DMM17" s="93"/>
      <c r="DMN17" s="88"/>
      <c r="DMO17" s="88"/>
      <c r="DMP17" s="90"/>
      <c r="DMQ17" s="148"/>
      <c r="DMR17" s="88"/>
      <c r="DMS17" s="88"/>
      <c r="DMT17" s="90"/>
      <c r="DMU17" s="93"/>
      <c r="DMV17" s="88"/>
      <c r="DMW17" s="88"/>
      <c r="DMX17" s="91"/>
      <c r="DMY17" s="93"/>
      <c r="DMZ17" s="93"/>
      <c r="DNA17" s="88"/>
      <c r="DNB17" s="88"/>
      <c r="DNC17" s="90"/>
      <c r="DND17" s="148"/>
      <c r="DNE17" s="88"/>
      <c r="DNF17" s="88"/>
      <c r="DNG17" s="90"/>
      <c r="DNH17" s="93"/>
      <c r="DNI17" s="88"/>
      <c r="DNJ17" s="88"/>
      <c r="DNK17" s="91"/>
      <c r="DNL17" s="93"/>
      <c r="DNM17" s="93"/>
      <c r="DNN17" s="88"/>
      <c r="DNO17" s="88"/>
      <c r="DNP17" s="90"/>
      <c r="DNQ17" s="148"/>
      <c r="DNR17" s="88"/>
      <c r="DNS17" s="88"/>
      <c r="DNT17" s="90"/>
      <c r="DNU17" s="93"/>
      <c r="DNV17" s="88"/>
      <c r="DNW17" s="88"/>
      <c r="DNX17" s="91"/>
      <c r="DNY17" s="93"/>
      <c r="DNZ17" s="93"/>
      <c r="DOA17" s="88"/>
      <c r="DOB17" s="88"/>
      <c r="DOC17" s="90"/>
      <c r="DOD17" s="148"/>
      <c r="DOE17" s="88"/>
      <c r="DOF17" s="88"/>
      <c r="DOG17" s="90"/>
      <c r="DOH17" s="93"/>
      <c r="DOI17" s="88"/>
      <c r="DOJ17" s="88"/>
      <c r="DOK17" s="91"/>
      <c r="DOL17" s="93"/>
      <c r="DOM17" s="93"/>
      <c r="DON17" s="88"/>
      <c r="DOO17" s="88"/>
      <c r="DOP17" s="90"/>
      <c r="DOQ17" s="148"/>
      <c r="DOR17" s="88"/>
      <c r="DOS17" s="88"/>
      <c r="DOT17" s="90"/>
      <c r="DOU17" s="93"/>
      <c r="DOV17" s="88"/>
      <c r="DOW17" s="88"/>
      <c r="DOX17" s="91"/>
      <c r="DOY17" s="93"/>
      <c r="DOZ17" s="93"/>
      <c r="DPA17" s="88"/>
      <c r="DPB17" s="88"/>
      <c r="DPC17" s="90"/>
      <c r="DPD17" s="148"/>
      <c r="DPE17" s="88"/>
      <c r="DPF17" s="88"/>
      <c r="DPG17" s="90"/>
      <c r="DPH17" s="93"/>
      <c r="DPI17" s="88"/>
      <c r="DPJ17" s="88"/>
      <c r="DPK17" s="91"/>
      <c r="DPL17" s="93"/>
      <c r="DPM17" s="93"/>
      <c r="DPN17" s="88"/>
      <c r="DPO17" s="88"/>
      <c r="DPP17" s="90"/>
      <c r="DPQ17" s="148"/>
      <c r="DPR17" s="88"/>
      <c r="DPS17" s="88"/>
      <c r="DPT17" s="90"/>
      <c r="DPU17" s="93"/>
      <c r="DPV17" s="88"/>
      <c r="DPW17" s="88"/>
      <c r="DPX17" s="91"/>
      <c r="DPY17" s="93"/>
      <c r="DPZ17" s="93"/>
      <c r="DQA17" s="88"/>
      <c r="DQB17" s="88"/>
      <c r="DQC17" s="90"/>
      <c r="DQD17" s="148"/>
      <c r="DQE17" s="88"/>
      <c r="DQF17" s="88"/>
      <c r="DQG17" s="90"/>
      <c r="DQH17" s="93"/>
      <c r="DQI17" s="88"/>
      <c r="DQJ17" s="88"/>
      <c r="DQK17" s="91"/>
      <c r="DQL17" s="93"/>
      <c r="DQM17" s="93"/>
      <c r="DQN17" s="88"/>
      <c r="DQO17" s="88"/>
      <c r="DQP17" s="90"/>
      <c r="DQQ17" s="148"/>
      <c r="DQR17" s="88"/>
      <c r="DQS17" s="88"/>
      <c r="DQT17" s="90"/>
      <c r="DQU17" s="93"/>
      <c r="DQV17" s="88"/>
      <c r="DQW17" s="88"/>
      <c r="DQX17" s="91"/>
      <c r="DQY17" s="93"/>
      <c r="DQZ17" s="93"/>
      <c r="DRA17" s="88"/>
      <c r="DRB17" s="88"/>
      <c r="DRC17" s="90"/>
      <c r="DRD17" s="148"/>
      <c r="DRE17" s="88"/>
      <c r="DRF17" s="88"/>
      <c r="DRG17" s="90"/>
      <c r="DRH17" s="93"/>
      <c r="DRI17" s="88"/>
      <c r="DRJ17" s="88"/>
      <c r="DRK17" s="91"/>
      <c r="DRL17" s="93"/>
      <c r="DRM17" s="93"/>
      <c r="DRN17" s="88"/>
      <c r="DRO17" s="88"/>
      <c r="DRP17" s="90"/>
      <c r="DRQ17" s="148"/>
      <c r="DRR17" s="88"/>
      <c r="DRS17" s="88"/>
      <c r="DRT17" s="90"/>
      <c r="DRU17" s="93"/>
      <c r="DRV17" s="88"/>
      <c r="DRW17" s="88"/>
      <c r="DRX17" s="91"/>
      <c r="DRY17" s="93"/>
      <c r="DRZ17" s="93"/>
      <c r="DSA17" s="88"/>
      <c r="DSB17" s="88"/>
      <c r="DSC17" s="90"/>
      <c r="DSD17" s="148"/>
      <c r="DSE17" s="88"/>
      <c r="DSF17" s="88"/>
      <c r="DSG17" s="90"/>
      <c r="DSH17" s="93"/>
      <c r="DSI17" s="88"/>
      <c r="DSJ17" s="88"/>
      <c r="DSK17" s="91"/>
      <c r="DSL17" s="93"/>
      <c r="DSM17" s="93"/>
      <c r="DSN17" s="88"/>
      <c r="DSO17" s="88"/>
      <c r="DSP17" s="90"/>
      <c r="DSQ17" s="148"/>
      <c r="DSR17" s="88"/>
      <c r="DSS17" s="88"/>
      <c r="DST17" s="90"/>
      <c r="DSU17" s="93"/>
      <c r="DSV17" s="88"/>
      <c r="DSW17" s="88"/>
      <c r="DSX17" s="91"/>
      <c r="DSY17" s="93"/>
      <c r="DSZ17" s="93"/>
      <c r="DTA17" s="88"/>
      <c r="DTB17" s="88"/>
      <c r="DTC17" s="90"/>
      <c r="DTD17" s="148"/>
      <c r="DTE17" s="88"/>
      <c r="DTF17" s="88"/>
      <c r="DTG17" s="90"/>
      <c r="DTH17" s="93"/>
      <c r="DTI17" s="88"/>
      <c r="DTJ17" s="88"/>
      <c r="DTK17" s="91"/>
      <c r="DTL17" s="93"/>
      <c r="DTM17" s="93"/>
      <c r="DTN17" s="88"/>
      <c r="DTO17" s="88"/>
      <c r="DTP17" s="90"/>
      <c r="DTQ17" s="148"/>
      <c r="DTR17" s="88"/>
      <c r="DTS17" s="88"/>
      <c r="DTT17" s="90"/>
      <c r="DTU17" s="93"/>
      <c r="DTV17" s="88"/>
      <c r="DTW17" s="88"/>
      <c r="DTX17" s="91"/>
      <c r="DTY17" s="93"/>
      <c r="DTZ17" s="93"/>
      <c r="DUA17" s="88"/>
      <c r="DUB17" s="88"/>
      <c r="DUC17" s="90"/>
      <c r="DUD17" s="148"/>
      <c r="DUE17" s="88"/>
      <c r="DUF17" s="88"/>
      <c r="DUG17" s="90"/>
      <c r="DUH17" s="93"/>
      <c r="DUI17" s="88"/>
      <c r="DUJ17" s="88"/>
      <c r="DUK17" s="91"/>
      <c r="DUL17" s="93"/>
      <c r="DUM17" s="93"/>
      <c r="DUN17" s="88"/>
      <c r="DUO17" s="88"/>
      <c r="DUP17" s="90"/>
      <c r="DUQ17" s="148"/>
      <c r="DUR17" s="88"/>
      <c r="DUS17" s="88"/>
      <c r="DUT17" s="90"/>
      <c r="DUU17" s="93"/>
      <c r="DUV17" s="88"/>
      <c r="DUW17" s="88"/>
      <c r="DUX17" s="91"/>
      <c r="DUY17" s="93"/>
      <c r="DUZ17" s="93"/>
      <c r="DVA17" s="88"/>
      <c r="DVB17" s="88"/>
      <c r="DVC17" s="90"/>
      <c r="DVD17" s="148"/>
      <c r="DVE17" s="88"/>
      <c r="DVF17" s="88"/>
      <c r="DVG17" s="90"/>
      <c r="DVH17" s="93"/>
      <c r="DVI17" s="88"/>
      <c r="DVJ17" s="88"/>
      <c r="DVK17" s="91"/>
      <c r="DVL17" s="93"/>
      <c r="DVM17" s="93"/>
      <c r="DVN17" s="88"/>
      <c r="DVO17" s="88"/>
      <c r="DVP17" s="90"/>
      <c r="DVQ17" s="148"/>
      <c r="DVR17" s="88"/>
      <c r="DVS17" s="88"/>
      <c r="DVT17" s="90"/>
      <c r="DVU17" s="93"/>
      <c r="DVV17" s="88"/>
      <c r="DVW17" s="88"/>
      <c r="DVX17" s="91"/>
      <c r="DVY17" s="93"/>
      <c r="DVZ17" s="93"/>
      <c r="DWA17" s="88"/>
      <c r="DWB17" s="88"/>
      <c r="DWC17" s="90"/>
      <c r="DWD17" s="148"/>
      <c r="DWE17" s="88"/>
      <c r="DWF17" s="88"/>
      <c r="DWG17" s="90"/>
      <c r="DWH17" s="93"/>
      <c r="DWI17" s="88"/>
      <c r="DWJ17" s="88"/>
      <c r="DWK17" s="91"/>
      <c r="DWL17" s="93"/>
      <c r="DWM17" s="93"/>
      <c r="DWN17" s="88"/>
      <c r="DWO17" s="88"/>
      <c r="DWP17" s="90"/>
      <c r="DWQ17" s="148"/>
      <c r="DWR17" s="88"/>
      <c r="DWS17" s="88"/>
      <c r="DWT17" s="90"/>
      <c r="DWU17" s="93"/>
      <c r="DWV17" s="88"/>
      <c r="DWW17" s="88"/>
      <c r="DWX17" s="91"/>
      <c r="DWY17" s="93"/>
      <c r="DWZ17" s="93"/>
      <c r="DXA17" s="88"/>
      <c r="DXB17" s="88"/>
      <c r="DXC17" s="90"/>
      <c r="DXD17" s="148"/>
      <c r="DXE17" s="88"/>
      <c r="DXF17" s="88"/>
      <c r="DXG17" s="90"/>
      <c r="DXH17" s="93"/>
      <c r="DXI17" s="88"/>
      <c r="DXJ17" s="88"/>
      <c r="DXK17" s="91"/>
      <c r="DXL17" s="93"/>
      <c r="DXM17" s="93"/>
      <c r="DXN17" s="88"/>
      <c r="DXO17" s="88"/>
      <c r="DXP17" s="90"/>
      <c r="DXQ17" s="148"/>
      <c r="DXR17" s="88"/>
      <c r="DXS17" s="88"/>
      <c r="DXT17" s="90"/>
      <c r="DXU17" s="93"/>
      <c r="DXV17" s="88"/>
      <c r="DXW17" s="88"/>
      <c r="DXX17" s="91"/>
      <c r="DXY17" s="93"/>
      <c r="DXZ17" s="93"/>
      <c r="DYA17" s="88"/>
      <c r="DYB17" s="88"/>
      <c r="DYC17" s="90"/>
      <c r="DYD17" s="148"/>
      <c r="DYE17" s="88"/>
      <c r="DYF17" s="88"/>
      <c r="DYG17" s="90"/>
      <c r="DYH17" s="93"/>
      <c r="DYI17" s="88"/>
      <c r="DYJ17" s="88"/>
      <c r="DYK17" s="91"/>
      <c r="DYL17" s="93"/>
      <c r="DYM17" s="93"/>
      <c r="DYN17" s="88"/>
      <c r="DYO17" s="88"/>
      <c r="DYP17" s="90"/>
      <c r="DYQ17" s="148"/>
      <c r="DYR17" s="88"/>
      <c r="DYS17" s="88"/>
      <c r="DYT17" s="90"/>
      <c r="DYU17" s="93"/>
      <c r="DYV17" s="88"/>
      <c r="DYW17" s="88"/>
      <c r="DYX17" s="91"/>
      <c r="DYY17" s="93"/>
      <c r="DYZ17" s="93"/>
      <c r="DZA17" s="88"/>
      <c r="DZB17" s="88"/>
      <c r="DZC17" s="90"/>
      <c r="DZD17" s="148"/>
      <c r="DZE17" s="88"/>
      <c r="DZF17" s="88"/>
      <c r="DZG17" s="90"/>
      <c r="DZH17" s="93"/>
      <c r="DZI17" s="88"/>
      <c r="DZJ17" s="88"/>
      <c r="DZK17" s="91"/>
      <c r="DZL17" s="93"/>
      <c r="DZM17" s="93"/>
      <c r="DZN17" s="88"/>
      <c r="DZO17" s="88"/>
      <c r="DZP17" s="90"/>
      <c r="DZQ17" s="148"/>
      <c r="DZR17" s="88"/>
      <c r="DZS17" s="88"/>
      <c r="DZT17" s="90"/>
      <c r="DZU17" s="93"/>
      <c r="DZV17" s="88"/>
      <c r="DZW17" s="88"/>
      <c r="DZX17" s="91"/>
      <c r="DZY17" s="93"/>
      <c r="DZZ17" s="93"/>
      <c r="EAA17" s="88"/>
      <c r="EAB17" s="88"/>
      <c r="EAC17" s="90"/>
      <c r="EAD17" s="148"/>
      <c r="EAE17" s="88"/>
      <c r="EAF17" s="88"/>
      <c r="EAG17" s="90"/>
      <c r="EAH17" s="93"/>
      <c r="EAI17" s="88"/>
      <c r="EAJ17" s="88"/>
      <c r="EAK17" s="91"/>
      <c r="EAL17" s="93"/>
      <c r="EAM17" s="93"/>
      <c r="EAN17" s="88"/>
      <c r="EAO17" s="88"/>
      <c r="EAP17" s="90"/>
      <c r="EAQ17" s="148"/>
      <c r="EAR17" s="88"/>
      <c r="EAS17" s="88"/>
      <c r="EAT17" s="90"/>
      <c r="EAU17" s="93"/>
      <c r="EAV17" s="88"/>
      <c r="EAW17" s="88"/>
      <c r="EAX17" s="91"/>
      <c r="EAY17" s="93"/>
      <c r="EAZ17" s="93"/>
      <c r="EBA17" s="88"/>
      <c r="EBB17" s="88"/>
      <c r="EBC17" s="90"/>
      <c r="EBD17" s="148"/>
      <c r="EBE17" s="88"/>
      <c r="EBF17" s="88"/>
      <c r="EBG17" s="90"/>
      <c r="EBH17" s="93"/>
      <c r="EBI17" s="88"/>
      <c r="EBJ17" s="88"/>
      <c r="EBK17" s="91"/>
      <c r="EBL17" s="93"/>
      <c r="EBM17" s="93"/>
      <c r="EBN17" s="88"/>
      <c r="EBO17" s="88"/>
      <c r="EBP17" s="90"/>
      <c r="EBQ17" s="148"/>
      <c r="EBR17" s="88"/>
      <c r="EBS17" s="88"/>
      <c r="EBT17" s="90"/>
      <c r="EBU17" s="93"/>
      <c r="EBV17" s="88"/>
      <c r="EBW17" s="88"/>
      <c r="EBX17" s="91"/>
      <c r="EBY17" s="93"/>
      <c r="EBZ17" s="93"/>
      <c r="ECA17" s="88"/>
      <c r="ECB17" s="88"/>
      <c r="ECC17" s="90"/>
      <c r="ECD17" s="148"/>
      <c r="ECE17" s="88"/>
      <c r="ECF17" s="88"/>
      <c r="ECG17" s="90"/>
      <c r="ECH17" s="93"/>
      <c r="ECI17" s="88"/>
      <c r="ECJ17" s="88"/>
      <c r="ECK17" s="91"/>
      <c r="ECL17" s="93"/>
      <c r="ECM17" s="93"/>
      <c r="ECN17" s="88"/>
      <c r="ECO17" s="88"/>
      <c r="ECP17" s="90"/>
      <c r="ECQ17" s="148"/>
      <c r="ECR17" s="88"/>
      <c r="ECS17" s="88"/>
      <c r="ECT17" s="90"/>
      <c r="ECU17" s="93"/>
      <c r="ECV17" s="88"/>
      <c r="ECW17" s="88"/>
      <c r="ECX17" s="91"/>
      <c r="ECY17" s="93"/>
      <c r="ECZ17" s="93"/>
      <c r="EDA17" s="88"/>
      <c r="EDB17" s="88"/>
      <c r="EDC17" s="90"/>
      <c r="EDD17" s="148"/>
      <c r="EDE17" s="88"/>
      <c r="EDF17" s="88"/>
      <c r="EDG17" s="90"/>
      <c r="EDH17" s="93"/>
      <c r="EDI17" s="88"/>
      <c r="EDJ17" s="88"/>
      <c r="EDK17" s="91"/>
      <c r="EDL17" s="93"/>
      <c r="EDM17" s="93"/>
      <c r="EDN17" s="88"/>
      <c r="EDO17" s="88"/>
      <c r="EDP17" s="90"/>
      <c r="EDQ17" s="148"/>
      <c r="EDR17" s="88"/>
      <c r="EDS17" s="88"/>
      <c r="EDT17" s="90"/>
      <c r="EDU17" s="93"/>
      <c r="EDV17" s="88"/>
      <c r="EDW17" s="88"/>
      <c r="EDX17" s="91"/>
      <c r="EDY17" s="93"/>
      <c r="EDZ17" s="93"/>
      <c r="EEA17" s="88"/>
      <c r="EEB17" s="88"/>
      <c r="EEC17" s="90"/>
      <c r="EED17" s="148"/>
      <c r="EEE17" s="88"/>
      <c r="EEF17" s="88"/>
      <c r="EEG17" s="90"/>
      <c r="EEH17" s="93"/>
      <c r="EEI17" s="88"/>
      <c r="EEJ17" s="88"/>
      <c r="EEK17" s="91"/>
      <c r="EEL17" s="93"/>
      <c r="EEM17" s="93"/>
      <c r="EEN17" s="88"/>
      <c r="EEO17" s="88"/>
      <c r="EEP17" s="90"/>
      <c r="EEQ17" s="148"/>
      <c r="EER17" s="88"/>
      <c r="EES17" s="88"/>
      <c r="EET17" s="90"/>
      <c r="EEU17" s="93"/>
      <c r="EEV17" s="88"/>
      <c r="EEW17" s="88"/>
      <c r="EEX17" s="91"/>
      <c r="EEY17" s="93"/>
      <c r="EEZ17" s="93"/>
      <c r="EFA17" s="88"/>
      <c r="EFB17" s="88"/>
      <c r="EFC17" s="90"/>
      <c r="EFD17" s="148"/>
      <c r="EFE17" s="88"/>
      <c r="EFF17" s="88"/>
      <c r="EFG17" s="90"/>
      <c r="EFH17" s="93"/>
      <c r="EFI17" s="88"/>
      <c r="EFJ17" s="88"/>
      <c r="EFK17" s="91"/>
      <c r="EFL17" s="93"/>
      <c r="EFM17" s="93"/>
      <c r="EFN17" s="88"/>
      <c r="EFO17" s="88"/>
      <c r="EFP17" s="90"/>
      <c r="EFQ17" s="148"/>
      <c r="EFR17" s="88"/>
      <c r="EFS17" s="88"/>
      <c r="EFT17" s="90"/>
      <c r="EFU17" s="93"/>
      <c r="EFV17" s="88"/>
      <c r="EFW17" s="88"/>
      <c r="EFX17" s="91"/>
      <c r="EFY17" s="93"/>
      <c r="EFZ17" s="93"/>
      <c r="EGA17" s="88"/>
      <c r="EGB17" s="88"/>
      <c r="EGC17" s="90"/>
      <c r="EGD17" s="148"/>
      <c r="EGE17" s="88"/>
      <c r="EGF17" s="88"/>
      <c r="EGG17" s="90"/>
      <c r="EGH17" s="93"/>
      <c r="EGI17" s="88"/>
      <c r="EGJ17" s="88"/>
      <c r="EGK17" s="91"/>
      <c r="EGL17" s="93"/>
      <c r="EGM17" s="93"/>
      <c r="EGN17" s="88"/>
      <c r="EGO17" s="88"/>
      <c r="EGP17" s="90"/>
      <c r="EGQ17" s="148"/>
      <c r="EGR17" s="88"/>
      <c r="EGS17" s="88"/>
      <c r="EGT17" s="90"/>
      <c r="EGU17" s="93"/>
      <c r="EGV17" s="88"/>
      <c r="EGW17" s="88"/>
      <c r="EGX17" s="91"/>
      <c r="EGY17" s="93"/>
      <c r="EGZ17" s="93"/>
      <c r="EHA17" s="88"/>
      <c r="EHB17" s="88"/>
      <c r="EHC17" s="90"/>
      <c r="EHD17" s="148"/>
      <c r="EHE17" s="88"/>
      <c r="EHF17" s="88"/>
      <c r="EHG17" s="90"/>
      <c r="EHH17" s="93"/>
      <c r="EHI17" s="88"/>
      <c r="EHJ17" s="88"/>
      <c r="EHK17" s="91"/>
      <c r="EHL17" s="93"/>
      <c r="EHM17" s="93"/>
      <c r="EHN17" s="88"/>
      <c r="EHO17" s="88"/>
      <c r="EHP17" s="90"/>
      <c r="EHQ17" s="148"/>
      <c r="EHR17" s="88"/>
      <c r="EHS17" s="88"/>
      <c r="EHT17" s="90"/>
      <c r="EHU17" s="93"/>
      <c r="EHV17" s="88"/>
      <c r="EHW17" s="88"/>
      <c r="EHX17" s="91"/>
      <c r="EHY17" s="93"/>
      <c r="EHZ17" s="93"/>
      <c r="EIA17" s="88"/>
      <c r="EIB17" s="88"/>
      <c r="EIC17" s="90"/>
      <c r="EID17" s="148"/>
      <c r="EIE17" s="88"/>
      <c r="EIF17" s="88"/>
      <c r="EIG17" s="90"/>
      <c r="EIH17" s="93"/>
      <c r="EII17" s="88"/>
      <c r="EIJ17" s="88"/>
      <c r="EIK17" s="91"/>
      <c r="EIL17" s="93"/>
      <c r="EIM17" s="93"/>
      <c r="EIN17" s="88"/>
      <c r="EIO17" s="88"/>
      <c r="EIP17" s="90"/>
      <c r="EIQ17" s="148"/>
      <c r="EIR17" s="88"/>
      <c r="EIS17" s="88"/>
      <c r="EIT17" s="90"/>
      <c r="EIU17" s="93"/>
      <c r="EIV17" s="88"/>
      <c r="EIW17" s="88"/>
      <c r="EIX17" s="91"/>
      <c r="EIY17" s="93"/>
      <c r="EIZ17" s="93"/>
      <c r="EJA17" s="88"/>
      <c r="EJB17" s="88"/>
      <c r="EJC17" s="90"/>
      <c r="EJD17" s="148"/>
      <c r="EJE17" s="88"/>
      <c r="EJF17" s="88"/>
      <c r="EJG17" s="90"/>
      <c r="EJH17" s="93"/>
      <c r="EJI17" s="88"/>
      <c r="EJJ17" s="88"/>
      <c r="EJK17" s="91"/>
      <c r="EJL17" s="93"/>
      <c r="EJM17" s="93"/>
      <c r="EJN17" s="88"/>
      <c r="EJO17" s="88"/>
      <c r="EJP17" s="90"/>
      <c r="EJQ17" s="148"/>
      <c r="EJR17" s="88"/>
      <c r="EJS17" s="88"/>
      <c r="EJT17" s="90"/>
      <c r="EJU17" s="93"/>
      <c r="EJV17" s="88"/>
      <c r="EJW17" s="88"/>
      <c r="EJX17" s="91"/>
      <c r="EJY17" s="93"/>
      <c r="EJZ17" s="93"/>
      <c r="EKA17" s="88"/>
      <c r="EKB17" s="88"/>
      <c r="EKC17" s="90"/>
      <c r="EKD17" s="148"/>
      <c r="EKE17" s="88"/>
      <c r="EKF17" s="88"/>
      <c r="EKG17" s="90"/>
      <c r="EKH17" s="93"/>
      <c r="EKI17" s="88"/>
      <c r="EKJ17" s="88"/>
      <c r="EKK17" s="91"/>
      <c r="EKL17" s="93"/>
      <c r="EKM17" s="93"/>
      <c r="EKN17" s="88"/>
      <c r="EKO17" s="88"/>
      <c r="EKP17" s="90"/>
      <c r="EKQ17" s="148"/>
      <c r="EKR17" s="88"/>
      <c r="EKS17" s="88"/>
      <c r="EKT17" s="90"/>
      <c r="EKU17" s="93"/>
      <c r="EKV17" s="88"/>
      <c r="EKW17" s="88"/>
      <c r="EKX17" s="91"/>
      <c r="EKY17" s="93"/>
      <c r="EKZ17" s="93"/>
      <c r="ELA17" s="88"/>
      <c r="ELB17" s="88"/>
      <c r="ELC17" s="90"/>
      <c r="ELD17" s="148"/>
      <c r="ELE17" s="88"/>
      <c r="ELF17" s="88"/>
      <c r="ELG17" s="90"/>
      <c r="ELH17" s="93"/>
      <c r="ELI17" s="88"/>
      <c r="ELJ17" s="88"/>
      <c r="ELK17" s="91"/>
      <c r="ELL17" s="93"/>
      <c r="ELM17" s="93"/>
      <c r="ELN17" s="88"/>
      <c r="ELO17" s="88"/>
      <c r="ELP17" s="90"/>
      <c r="ELQ17" s="148"/>
      <c r="ELR17" s="88"/>
      <c r="ELS17" s="88"/>
      <c r="ELT17" s="90"/>
      <c r="ELU17" s="93"/>
      <c r="ELV17" s="88"/>
      <c r="ELW17" s="88"/>
      <c r="ELX17" s="91"/>
      <c r="ELY17" s="93"/>
      <c r="ELZ17" s="93"/>
      <c r="EMA17" s="88"/>
      <c r="EMB17" s="88"/>
      <c r="EMC17" s="90"/>
      <c r="EMD17" s="148"/>
      <c r="EME17" s="88"/>
      <c r="EMF17" s="88"/>
      <c r="EMG17" s="90"/>
      <c r="EMH17" s="93"/>
      <c r="EMI17" s="88"/>
      <c r="EMJ17" s="88"/>
      <c r="EMK17" s="91"/>
      <c r="EML17" s="93"/>
      <c r="EMM17" s="93"/>
      <c r="EMN17" s="88"/>
      <c r="EMO17" s="88"/>
      <c r="EMP17" s="90"/>
      <c r="EMQ17" s="148"/>
      <c r="EMR17" s="88"/>
      <c r="EMS17" s="88"/>
      <c r="EMT17" s="90"/>
      <c r="EMU17" s="93"/>
      <c r="EMV17" s="88"/>
      <c r="EMW17" s="88"/>
      <c r="EMX17" s="91"/>
      <c r="EMY17" s="93"/>
      <c r="EMZ17" s="93"/>
      <c r="ENA17" s="88"/>
      <c r="ENB17" s="88"/>
      <c r="ENC17" s="90"/>
      <c r="END17" s="148"/>
      <c r="ENE17" s="88"/>
      <c r="ENF17" s="88"/>
      <c r="ENG17" s="90"/>
      <c r="ENH17" s="93"/>
      <c r="ENI17" s="88"/>
      <c r="ENJ17" s="88"/>
      <c r="ENK17" s="91"/>
      <c r="ENL17" s="93"/>
      <c r="ENM17" s="93"/>
      <c r="ENN17" s="88"/>
      <c r="ENO17" s="88"/>
      <c r="ENP17" s="90"/>
      <c r="ENQ17" s="148"/>
      <c r="ENR17" s="88"/>
      <c r="ENS17" s="88"/>
      <c r="ENT17" s="90"/>
      <c r="ENU17" s="93"/>
      <c r="ENV17" s="88"/>
      <c r="ENW17" s="88"/>
      <c r="ENX17" s="91"/>
      <c r="ENY17" s="93"/>
      <c r="ENZ17" s="93"/>
      <c r="EOA17" s="88"/>
      <c r="EOB17" s="88"/>
      <c r="EOC17" s="90"/>
      <c r="EOD17" s="148"/>
      <c r="EOE17" s="88"/>
      <c r="EOF17" s="88"/>
      <c r="EOG17" s="90"/>
      <c r="EOH17" s="93"/>
      <c r="EOI17" s="88"/>
      <c r="EOJ17" s="88"/>
      <c r="EOK17" s="91"/>
      <c r="EOL17" s="93"/>
      <c r="EOM17" s="93"/>
      <c r="EON17" s="88"/>
      <c r="EOO17" s="88"/>
      <c r="EOP17" s="90"/>
      <c r="EOQ17" s="148"/>
      <c r="EOR17" s="88"/>
      <c r="EOS17" s="88"/>
      <c r="EOT17" s="90"/>
      <c r="EOU17" s="93"/>
      <c r="EOV17" s="88"/>
      <c r="EOW17" s="88"/>
      <c r="EOX17" s="91"/>
      <c r="EOY17" s="93"/>
      <c r="EOZ17" s="93"/>
      <c r="EPA17" s="88"/>
      <c r="EPB17" s="88"/>
      <c r="EPC17" s="90"/>
      <c r="EPD17" s="148"/>
      <c r="EPE17" s="88"/>
      <c r="EPF17" s="88"/>
      <c r="EPG17" s="90"/>
      <c r="EPH17" s="93"/>
      <c r="EPI17" s="88"/>
      <c r="EPJ17" s="88"/>
      <c r="EPK17" s="91"/>
      <c r="EPL17" s="93"/>
      <c r="EPM17" s="93"/>
      <c r="EPN17" s="88"/>
      <c r="EPO17" s="88"/>
      <c r="EPP17" s="90"/>
      <c r="EPQ17" s="148"/>
      <c r="EPR17" s="88"/>
      <c r="EPS17" s="88"/>
      <c r="EPT17" s="90"/>
      <c r="EPU17" s="93"/>
      <c r="EPV17" s="88"/>
      <c r="EPW17" s="88"/>
      <c r="EPX17" s="91"/>
      <c r="EPY17" s="93"/>
      <c r="EPZ17" s="93"/>
      <c r="EQA17" s="88"/>
      <c r="EQB17" s="88"/>
      <c r="EQC17" s="90"/>
      <c r="EQD17" s="148"/>
      <c r="EQE17" s="88"/>
      <c r="EQF17" s="88"/>
      <c r="EQG17" s="90"/>
      <c r="EQH17" s="93"/>
      <c r="EQI17" s="88"/>
      <c r="EQJ17" s="88"/>
      <c r="EQK17" s="91"/>
      <c r="EQL17" s="93"/>
      <c r="EQM17" s="93"/>
      <c r="EQN17" s="88"/>
      <c r="EQO17" s="88"/>
      <c r="EQP17" s="90"/>
      <c r="EQQ17" s="148"/>
      <c r="EQR17" s="88"/>
      <c r="EQS17" s="88"/>
      <c r="EQT17" s="90"/>
      <c r="EQU17" s="93"/>
      <c r="EQV17" s="88"/>
      <c r="EQW17" s="88"/>
      <c r="EQX17" s="91"/>
      <c r="EQY17" s="93"/>
      <c r="EQZ17" s="93"/>
      <c r="ERA17" s="88"/>
      <c r="ERB17" s="88"/>
      <c r="ERC17" s="90"/>
      <c r="ERD17" s="148"/>
      <c r="ERE17" s="88"/>
      <c r="ERF17" s="88"/>
      <c r="ERG17" s="90"/>
      <c r="ERH17" s="93"/>
      <c r="ERI17" s="88"/>
      <c r="ERJ17" s="88"/>
      <c r="ERK17" s="91"/>
      <c r="ERL17" s="93"/>
      <c r="ERM17" s="93"/>
      <c r="ERN17" s="88"/>
      <c r="ERO17" s="88"/>
      <c r="ERP17" s="90"/>
      <c r="ERQ17" s="148"/>
      <c r="ERR17" s="88"/>
      <c r="ERS17" s="88"/>
      <c r="ERT17" s="90"/>
      <c r="ERU17" s="93"/>
      <c r="ERV17" s="88"/>
      <c r="ERW17" s="88"/>
      <c r="ERX17" s="91"/>
      <c r="ERY17" s="93"/>
      <c r="ERZ17" s="93"/>
      <c r="ESA17" s="88"/>
      <c r="ESB17" s="88"/>
      <c r="ESC17" s="90"/>
      <c r="ESD17" s="148"/>
      <c r="ESE17" s="88"/>
      <c r="ESF17" s="88"/>
      <c r="ESG17" s="90"/>
      <c r="ESH17" s="93"/>
      <c r="ESI17" s="88"/>
      <c r="ESJ17" s="88"/>
      <c r="ESK17" s="91"/>
      <c r="ESL17" s="93"/>
      <c r="ESM17" s="93"/>
      <c r="ESN17" s="88"/>
      <c r="ESO17" s="88"/>
      <c r="ESP17" s="90"/>
      <c r="ESQ17" s="148"/>
      <c r="ESR17" s="88"/>
      <c r="ESS17" s="88"/>
      <c r="EST17" s="90"/>
      <c r="ESU17" s="93"/>
      <c r="ESV17" s="88"/>
      <c r="ESW17" s="88"/>
      <c r="ESX17" s="91"/>
      <c r="ESY17" s="93"/>
      <c r="ESZ17" s="93"/>
      <c r="ETA17" s="88"/>
      <c r="ETB17" s="88"/>
      <c r="ETC17" s="90"/>
      <c r="ETD17" s="148"/>
      <c r="ETE17" s="88"/>
      <c r="ETF17" s="88"/>
      <c r="ETG17" s="90"/>
      <c r="ETH17" s="93"/>
      <c r="ETI17" s="88"/>
      <c r="ETJ17" s="88"/>
      <c r="ETK17" s="91"/>
      <c r="ETL17" s="93"/>
      <c r="ETM17" s="93"/>
      <c r="ETN17" s="88"/>
      <c r="ETO17" s="88"/>
      <c r="ETP17" s="90"/>
      <c r="ETQ17" s="148"/>
      <c r="ETR17" s="88"/>
      <c r="ETS17" s="88"/>
      <c r="ETT17" s="90"/>
      <c r="ETU17" s="93"/>
      <c r="ETV17" s="88"/>
      <c r="ETW17" s="88"/>
      <c r="ETX17" s="91"/>
      <c r="ETY17" s="93"/>
      <c r="ETZ17" s="93"/>
      <c r="EUA17" s="88"/>
      <c r="EUB17" s="88"/>
      <c r="EUC17" s="90"/>
      <c r="EUD17" s="148"/>
      <c r="EUE17" s="88"/>
      <c r="EUF17" s="88"/>
      <c r="EUG17" s="90"/>
      <c r="EUH17" s="93"/>
      <c r="EUI17" s="88"/>
      <c r="EUJ17" s="88"/>
      <c r="EUK17" s="91"/>
      <c r="EUL17" s="93"/>
      <c r="EUM17" s="93"/>
      <c r="EUN17" s="88"/>
      <c r="EUO17" s="88"/>
      <c r="EUP17" s="90"/>
      <c r="EUQ17" s="148"/>
      <c r="EUR17" s="88"/>
      <c r="EUS17" s="88"/>
      <c r="EUT17" s="90"/>
      <c r="EUU17" s="93"/>
      <c r="EUV17" s="88"/>
      <c r="EUW17" s="88"/>
      <c r="EUX17" s="91"/>
      <c r="EUY17" s="93"/>
      <c r="EUZ17" s="93"/>
      <c r="EVA17" s="88"/>
      <c r="EVB17" s="88"/>
      <c r="EVC17" s="90"/>
      <c r="EVD17" s="148"/>
      <c r="EVE17" s="88"/>
      <c r="EVF17" s="88"/>
      <c r="EVG17" s="90"/>
      <c r="EVH17" s="93"/>
      <c r="EVI17" s="88"/>
      <c r="EVJ17" s="88"/>
      <c r="EVK17" s="91"/>
      <c r="EVL17" s="93"/>
      <c r="EVM17" s="93"/>
      <c r="EVN17" s="88"/>
      <c r="EVO17" s="88"/>
      <c r="EVP17" s="90"/>
      <c r="EVQ17" s="148"/>
      <c r="EVR17" s="88"/>
      <c r="EVS17" s="88"/>
      <c r="EVT17" s="90"/>
      <c r="EVU17" s="93"/>
      <c r="EVV17" s="88"/>
      <c r="EVW17" s="88"/>
      <c r="EVX17" s="91"/>
      <c r="EVY17" s="93"/>
      <c r="EVZ17" s="93"/>
      <c r="EWA17" s="88"/>
      <c r="EWB17" s="88"/>
      <c r="EWC17" s="90"/>
      <c r="EWD17" s="148"/>
      <c r="EWE17" s="88"/>
      <c r="EWF17" s="88"/>
      <c r="EWG17" s="90"/>
      <c r="EWH17" s="93"/>
      <c r="EWI17" s="88"/>
      <c r="EWJ17" s="88"/>
      <c r="EWK17" s="91"/>
      <c r="EWL17" s="93"/>
      <c r="EWM17" s="93"/>
      <c r="EWN17" s="88"/>
      <c r="EWO17" s="88"/>
      <c r="EWP17" s="90"/>
      <c r="EWQ17" s="148"/>
      <c r="EWR17" s="88"/>
      <c r="EWS17" s="88"/>
      <c r="EWT17" s="90"/>
      <c r="EWU17" s="93"/>
      <c r="EWV17" s="88"/>
      <c r="EWW17" s="88"/>
      <c r="EWX17" s="91"/>
      <c r="EWY17" s="93"/>
      <c r="EWZ17" s="93"/>
      <c r="EXA17" s="88"/>
      <c r="EXB17" s="88"/>
      <c r="EXC17" s="90"/>
      <c r="EXD17" s="148"/>
      <c r="EXE17" s="88"/>
      <c r="EXF17" s="88"/>
      <c r="EXG17" s="90"/>
      <c r="EXH17" s="93"/>
      <c r="EXI17" s="88"/>
      <c r="EXJ17" s="88"/>
      <c r="EXK17" s="91"/>
      <c r="EXL17" s="93"/>
      <c r="EXM17" s="93"/>
      <c r="EXN17" s="88"/>
      <c r="EXO17" s="88"/>
      <c r="EXP17" s="90"/>
      <c r="EXQ17" s="148"/>
      <c r="EXR17" s="88"/>
      <c r="EXS17" s="88"/>
      <c r="EXT17" s="90"/>
      <c r="EXU17" s="93"/>
      <c r="EXV17" s="88"/>
      <c r="EXW17" s="88"/>
      <c r="EXX17" s="91"/>
      <c r="EXY17" s="93"/>
      <c r="EXZ17" s="93"/>
      <c r="EYA17" s="88"/>
      <c r="EYB17" s="88"/>
      <c r="EYC17" s="90"/>
      <c r="EYD17" s="148"/>
      <c r="EYE17" s="88"/>
      <c r="EYF17" s="88"/>
      <c r="EYG17" s="90"/>
      <c r="EYH17" s="93"/>
      <c r="EYI17" s="88"/>
      <c r="EYJ17" s="88"/>
      <c r="EYK17" s="91"/>
      <c r="EYL17" s="93"/>
      <c r="EYM17" s="93"/>
      <c r="EYN17" s="88"/>
      <c r="EYO17" s="88"/>
      <c r="EYP17" s="90"/>
      <c r="EYQ17" s="148"/>
      <c r="EYR17" s="88"/>
      <c r="EYS17" s="88"/>
      <c r="EYT17" s="90"/>
      <c r="EYU17" s="93"/>
      <c r="EYV17" s="88"/>
      <c r="EYW17" s="88"/>
      <c r="EYX17" s="91"/>
      <c r="EYY17" s="93"/>
      <c r="EYZ17" s="93"/>
      <c r="EZA17" s="88"/>
      <c r="EZB17" s="88"/>
      <c r="EZC17" s="90"/>
      <c r="EZD17" s="148"/>
      <c r="EZE17" s="88"/>
      <c r="EZF17" s="88"/>
      <c r="EZG17" s="90"/>
      <c r="EZH17" s="93"/>
      <c r="EZI17" s="88"/>
      <c r="EZJ17" s="88"/>
      <c r="EZK17" s="91"/>
      <c r="EZL17" s="93"/>
      <c r="EZM17" s="93"/>
      <c r="EZN17" s="88"/>
      <c r="EZO17" s="88"/>
      <c r="EZP17" s="90"/>
      <c r="EZQ17" s="148"/>
      <c r="EZR17" s="88"/>
      <c r="EZS17" s="88"/>
      <c r="EZT17" s="90"/>
      <c r="EZU17" s="93"/>
      <c r="EZV17" s="88"/>
      <c r="EZW17" s="88"/>
      <c r="EZX17" s="91"/>
      <c r="EZY17" s="93"/>
      <c r="EZZ17" s="93"/>
      <c r="FAA17" s="88"/>
      <c r="FAB17" s="88"/>
      <c r="FAC17" s="90"/>
      <c r="FAD17" s="148"/>
      <c r="FAE17" s="88"/>
      <c r="FAF17" s="88"/>
      <c r="FAG17" s="90"/>
      <c r="FAH17" s="93"/>
      <c r="FAI17" s="88"/>
      <c r="FAJ17" s="88"/>
      <c r="FAK17" s="91"/>
      <c r="FAL17" s="93"/>
      <c r="FAM17" s="93"/>
      <c r="FAN17" s="88"/>
      <c r="FAO17" s="88"/>
      <c r="FAP17" s="90"/>
      <c r="FAQ17" s="148"/>
      <c r="FAR17" s="88"/>
      <c r="FAS17" s="88"/>
      <c r="FAT17" s="90"/>
      <c r="FAU17" s="93"/>
      <c r="FAV17" s="88"/>
      <c r="FAW17" s="88"/>
      <c r="FAX17" s="91"/>
      <c r="FAY17" s="93"/>
      <c r="FAZ17" s="93"/>
      <c r="FBA17" s="88"/>
      <c r="FBB17" s="88"/>
      <c r="FBC17" s="90"/>
      <c r="FBD17" s="148"/>
      <c r="FBE17" s="88"/>
      <c r="FBF17" s="88"/>
      <c r="FBG17" s="90"/>
      <c r="FBH17" s="93"/>
      <c r="FBI17" s="88"/>
      <c r="FBJ17" s="88"/>
      <c r="FBK17" s="91"/>
      <c r="FBL17" s="93"/>
      <c r="FBM17" s="93"/>
      <c r="FBN17" s="88"/>
      <c r="FBO17" s="88"/>
      <c r="FBP17" s="90"/>
      <c r="FBQ17" s="148"/>
      <c r="FBR17" s="88"/>
      <c r="FBS17" s="88"/>
      <c r="FBT17" s="90"/>
      <c r="FBU17" s="93"/>
      <c r="FBV17" s="88"/>
      <c r="FBW17" s="88"/>
      <c r="FBX17" s="91"/>
      <c r="FBY17" s="93"/>
      <c r="FBZ17" s="93"/>
      <c r="FCA17" s="88"/>
      <c r="FCB17" s="88"/>
      <c r="FCC17" s="90"/>
      <c r="FCD17" s="148"/>
      <c r="FCE17" s="88"/>
      <c r="FCF17" s="88"/>
      <c r="FCG17" s="90"/>
      <c r="FCH17" s="93"/>
      <c r="FCI17" s="88"/>
      <c r="FCJ17" s="88"/>
      <c r="FCK17" s="91"/>
      <c r="FCL17" s="93"/>
      <c r="FCM17" s="93"/>
      <c r="FCN17" s="88"/>
      <c r="FCO17" s="88"/>
      <c r="FCP17" s="90"/>
      <c r="FCQ17" s="148"/>
      <c r="FCR17" s="88"/>
      <c r="FCS17" s="88"/>
      <c r="FCT17" s="90"/>
      <c r="FCU17" s="93"/>
      <c r="FCV17" s="88"/>
      <c r="FCW17" s="88"/>
      <c r="FCX17" s="91"/>
      <c r="FCY17" s="93"/>
      <c r="FCZ17" s="93"/>
      <c r="FDA17" s="88"/>
      <c r="FDB17" s="88"/>
      <c r="FDC17" s="90"/>
      <c r="FDD17" s="148"/>
      <c r="FDE17" s="88"/>
      <c r="FDF17" s="88"/>
      <c r="FDG17" s="90"/>
      <c r="FDH17" s="93"/>
      <c r="FDI17" s="88"/>
      <c r="FDJ17" s="88"/>
      <c r="FDK17" s="91"/>
      <c r="FDL17" s="93"/>
      <c r="FDM17" s="93"/>
      <c r="FDN17" s="88"/>
      <c r="FDO17" s="88"/>
      <c r="FDP17" s="90"/>
      <c r="FDQ17" s="148"/>
      <c r="FDR17" s="88"/>
      <c r="FDS17" s="88"/>
      <c r="FDT17" s="90"/>
      <c r="FDU17" s="93"/>
      <c r="FDV17" s="88"/>
      <c r="FDW17" s="88"/>
      <c r="FDX17" s="91"/>
      <c r="FDY17" s="93"/>
      <c r="FDZ17" s="93"/>
      <c r="FEA17" s="88"/>
      <c r="FEB17" s="88"/>
      <c r="FEC17" s="90"/>
      <c r="FED17" s="148"/>
      <c r="FEE17" s="88"/>
      <c r="FEF17" s="88"/>
      <c r="FEG17" s="90"/>
      <c r="FEH17" s="93"/>
      <c r="FEI17" s="88"/>
      <c r="FEJ17" s="88"/>
      <c r="FEK17" s="91"/>
      <c r="FEL17" s="93"/>
      <c r="FEM17" s="93"/>
      <c r="FEN17" s="88"/>
      <c r="FEO17" s="88"/>
      <c r="FEP17" s="90"/>
      <c r="FEQ17" s="148"/>
      <c r="FER17" s="88"/>
      <c r="FES17" s="88"/>
      <c r="FET17" s="90"/>
      <c r="FEU17" s="93"/>
      <c r="FEV17" s="88"/>
      <c r="FEW17" s="88"/>
      <c r="FEX17" s="91"/>
      <c r="FEY17" s="93"/>
      <c r="FEZ17" s="93"/>
      <c r="FFA17" s="88"/>
      <c r="FFB17" s="88"/>
      <c r="FFC17" s="90"/>
      <c r="FFD17" s="148"/>
      <c r="FFE17" s="88"/>
      <c r="FFF17" s="88"/>
      <c r="FFG17" s="90"/>
      <c r="FFH17" s="93"/>
      <c r="FFI17" s="88"/>
      <c r="FFJ17" s="88"/>
      <c r="FFK17" s="91"/>
      <c r="FFL17" s="93"/>
      <c r="FFM17" s="93"/>
      <c r="FFN17" s="88"/>
      <c r="FFO17" s="88"/>
      <c r="FFP17" s="90"/>
      <c r="FFQ17" s="148"/>
      <c r="FFR17" s="88"/>
      <c r="FFS17" s="88"/>
      <c r="FFT17" s="90"/>
      <c r="FFU17" s="93"/>
      <c r="FFV17" s="88"/>
      <c r="FFW17" s="88"/>
      <c r="FFX17" s="91"/>
      <c r="FFY17" s="93"/>
      <c r="FFZ17" s="93"/>
      <c r="FGA17" s="88"/>
      <c r="FGB17" s="88"/>
      <c r="FGC17" s="90"/>
      <c r="FGD17" s="148"/>
      <c r="FGE17" s="88"/>
      <c r="FGF17" s="88"/>
      <c r="FGG17" s="90"/>
      <c r="FGH17" s="93"/>
      <c r="FGI17" s="88"/>
      <c r="FGJ17" s="88"/>
      <c r="FGK17" s="91"/>
      <c r="FGL17" s="93"/>
      <c r="FGM17" s="93"/>
      <c r="FGN17" s="88"/>
      <c r="FGO17" s="88"/>
      <c r="FGP17" s="90"/>
      <c r="FGQ17" s="148"/>
      <c r="FGR17" s="88"/>
      <c r="FGS17" s="88"/>
      <c r="FGT17" s="90"/>
      <c r="FGU17" s="93"/>
      <c r="FGV17" s="88"/>
      <c r="FGW17" s="88"/>
      <c r="FGX17" s="91"/>
      <c r="FGY17" s="93"/>
      <c r="FGZ17" s="93"/>
      <c r="FHA17" s="88"/>
      <c r="FHB17" s="88"/>
      <c r="FHC17" s="90"/>
      <c r="FHD17" s="148"/>
      <c r="FHE17" s="88"/>
      <c r="FHF17" s="88"/>
      <c r="FHG17" s="90"/>
      <c r="FHH17" s="93"/>
      <c r="FHI17" s="88"/>
      <c r="FHJ17" s="88"/>
      <c r="FHK17" s="91"/>
      <c r="FHL17" s="93"/>
      <c r="FHM17" s="93"/>
      <c r="FHN17" s="88"/>
      <c r="FHO17" s="88"/>
      <c r="FHP17" s="90"/>
      <c r="FHQ17" s="148"/>
      <c r="FHR17" s="88"/>
      <c r="FHS17" s="88"/>
      <c r="FHT17" s="90"/>
      <c r="FHU17" s="93"/>
      <c r="FHV17" s="88"/>
      <c r="FHW17" s="88"/>
      <c r="FHX17" s="91"/>
      <c r="FHY17" s="93"/>
      <c r="FHZ17" s="93"/>
      <c r="FIA17" s="88"/>
      <c r="FIB17" s="88"/>
      <c r="FIC17" s="90"/>
      <c r="FID17" s="148"/>
      <c r="FIE17" s="88"/>
      <c r="FIF17" s="88"/>
      <c r="FIG17" s="90"/>
      <c r="FIH17" s="93"/>
      <c r="FII17" s="88"/>
      <c r="FIJ17" s="88"/>
      <c r="FIK17" s="91"/>
      <c r="FIL17" s="93"/>
      <c r="FIM17" s="93"/>
      <c r="FIN17" s="88"/>
      <c r="FIO17" s="88"/>
      <c r="FIP17" s="90"/>
      <c r="FIQ17" s="148"/>
      <c r="FIR17" s="88"/>
      <c r="FIS17" s="88"/>
      <c r="FIT17" s="90"/>
      <c r="FIU17" s="93"/>
      <c r="FIV17" s="88"/>
      <c r="FIW17" s="88"/>
      <c r="FIX17" s="91"/>
      <c r="FIY17" s="93"/>
      <c r="FIZ17" s="93"/>
      <c r="FJA17" s="88"/>
      <c r="FJB17" s="88"/>
      <c r="FJC17" s="90"/>
      <c r="FJD17" s="148"/>
      <c r="FJE17" s="88"/>
      <c r="FJF17" s="88"/>
      <c r="FJG17" s="90"/>
      <c r="FJH17" s="93"/>
      <c r="FJI17" s="88"/>
      <c r="FJJ17" s="88"/>
      <c r="FJK17" s="91"/>
      <c r="FJL17" s="93"/>
      <c r="FJM17" s="93"/>
      <c r="FJN17" s="88"/>
      <c r="FJO17" s="88"/>
      <c r="FJP17" s="90"/>
      <c r="FJQ17" s="148"/>
      <c r="FJR17" s="88"/>
      <c r="FJS17" s="88"/>
      <c r="FJT17" s="90"/>
      <c r="FJU17" s="93"/>
      <c r="FJV17" s="88"/>
      <c r="FJW17" s="88"/>
      <c r="FJX17" s="91"/>
      <c r="FJY17" s="93"/>
      <c r="FJZ17" s="93"/>
      <c r="FKA17" s="88"/>
      <c r="FKB17" s="88"/>
      <c r="FKC17" s="90"/>
      <c r="FKD17" s="148"/>
      <c r="FKE17" s="88"/>
      <c r="FKF17" s="88"/>
      <c r="FKG17" s="90"/>
      <c r="FKH17" s="93"/>
      <c r="FKI17" s="88"/>
      <c r="FKJ17" s="88"/>
      <c r="FKK17" s="91"/>
      <c r="FKL17" s="93"/>
      <c r="FKM17" s="93"/>
      <c r="FKN17" s="88"/>
      <c r="FKO17" s="88"/>
      <c r="FKP17" s="90"/>
      <c r="FKQ17" s="148"/>
      <c r="FKR17" s="88"/>
      <c r="FKS17" s="88"/>
      <c r="FKT17" s="90"/>
      <c r="FKU17" s="93"/>
      <c r="FKV17" s="88"/>
      <c r="FKW17" s="88"/>
      <c r="FKX17" s="91"/>
      <c r="FKY17" s="93"/>
      <c r="FKZ17" s="93"/>
      <c r="FLA17" s="88"/>
      <c r="FLB17" s="88"/>
      <c r="FLC17" s="90"/>
      <c r="FLD17" s="148"/>
      <c r="FLE17" s="88"/>
      <c r="FLF17" s="88"/>
      <c r="FLG17" s="90"/>
      <c r="FLH17" s="93"/>
      <c r="FLI17" s="88"/>
      <c r="FLJ17" s="88"/>
      <c r="FLK17" s="91"/>
      <c r="FLL17" s="93"/>
      <c r="FLM17" s="93"/>
      <c r="FLN17" s="88"/>
      <c r="FLO17" s="88"/>
      <c r="FLP17" s="90"/>
      <c r="FLQ17" s="148"/>
      <c r="FLR17" s="88"/>
      <c r="FLS17" s="88"/>
      <c r="FLT17" s="90"/>
      <c r="FLU17" s="93"/>
      <c r="FLV17" s="88"/>
      <c r="FLW17" s="88"/>
      <c r="FLX17" s="91"/>
      <c r="FLY17" s="93"/>
      <c r="FLZ17" s="93"/>
      <c r="FMA17" s="88"/>
      <c r="FMB17" s="88"/>
      <c r="FMC17" s="90"/>
      <c r="FMD17" s="148"/>
      <c r="FME17" s="88"/>
      <c r="FMF17" s="88"/>
      <c r="FMG17" s="90"/>
      <c r="FMH17" s="93"/>
      <c r="FMI17" s="88"/>
      <c r="FMJ17" s="88"/>
      <c r="FMK17" s="91"/>
      <c r="FML17" s="93"/>
      <c r="FMM17" s="93"/>
      <c r="FMN17" s="88"/>
      <c r="FMO17" s="88"/>
      <c r="FMP17" s="90"/>
      <c r="FMQ17" s="148"/>
      <c r="FMR17" s="88"/>
      <c r="FMS17" s="88"/>
      <c r="FMT17" s="90"/>
      <c r="FMU17" s="93"/>
      <c r="FMV17" s="88"/>
      <c r="FMW17" s="88"/>
      <c r="FMX17" s="91"/>
      <c r="FMY17" s="93"/>
      <c r="FMZ17" s="93"/>
      <c r="FNA17" s="88"/>
      <c r="FNB17" s="88"/>
      <c r="FNC17" s="90"/>
      <c r="FND17" s="148"/>
      <c r="FNE17" s="88"/>
      <c r="FNF17" s="88"/>
      <c r="FNG17" s="90"/>
      <c r="FNH17" s="93"/>
      <c r="FNI17" s="88"/>
      <c r="FNJ17" s="88"/>
      <c r="FNK17" s="91"/>
      <c r="FNL17" s="93"/>
      <c r="FNM17" s="93"/>
      <c r="FNN17" s="88"/>
      <c r="FNO17" s="88"/>
      <c r="FNP17" s="90"/>
      <c r="FNQ17" s="148"/>
      <c r="FNR17" s="88"/>
      <c r="FNS17" s="88"/>
      <c r="FNT17" s="90"/>
      <c r="FNU17" s="93"/>
      <c r="FNV17" s="88"/>
      <c r="FNW17" s="88"/>
      <c r="FNX17" s="91"/>
      <c r="FNY17" s="93"/>
      <c r="FNZ17" s="93"/>
      <c r="FOA17" s="88"/>
      <c r="FOB17" s="88"/>
      <c r="FOC17" s="90"/>
      <c r="FOD17" s="148"/>
      <c r="FOE17" s="88"/>
      <c r="FOF17" s="88"/>
      <c r="FOG17" s="90"/>
      <c r="FOH17" s="93"/>
      <c r="FOI17" s="88"/>
      <c r="FOJ17" s="88"/>
      <c r="FOK17" s="91"/>
      <c r="FOL17" s="93"/>
      <c r="FOM17" s="93"/>
      <c r="FON17" s="88"/>
      <c r="FOO17" s="88"/>
      <c r="FOP17" s="90"/>
      <c r="FOQ17" s="148"/>
      <c r="FOR17" s="88"/>
      <c r="FOS17" s="88"/>
      <c r="FOT17" s="90"/>
      <c r="FOU17" s="93"/>
      <c r="FOV17" s="88"/>
      <c r="FOW17" s="88"/>
      <c r="FOX17" s="91"/>
      <c r="FOY17" s="93"/>
      <c r="FOZ17" s="93"/>
      <c r="FPA17" s="88"/>
      <c r="FPB17" s="88"/>
      <c r="FPC17" s="90"/>
      <c r="FPD17" s="148"/>
      <c r="FPE17" s="88"/>
      <c r="FPF17" s="88"/>
      <c r="FPG17" s="90"/>
      <c r="FPH17" s="93"/>
      <c r="FPI17" s="88"/>
      <c r="FPJ17" s="88"/>
      <c r="FPK17" s="91"/>
      <c r="FPL17" s="93"/>
      <c r="FPM17" s="93"/>
      <c r="FPN17" s="88"/>
      <c r="FPO17" s="88"/>
      <c r="FPP17" s="90"/>
      <c r="FPQ17" s="148"/>
      <c r="FPR17" s="88"/>
      <c r="FPS17" s="88"/>
      <c r="FPT17" s="90"/>
      <c r="FPU17" s="93"/>
      <c r="FPV17" s="88"/>
      <c r="FPW17" s="88"/>
      <c r="FPX17" s="91"/>
      <c r="FPY17" s="93"/>
      <c r="FPZ17" s="93"/>
      <c r="FQA17" s="88"/>
      <c r="FQB17" s="88"/>
      <c r="FQC17" s="90"/>
      <c r="FQD17" s="148"/>
      <c r="FQE17" s="88"/>
      <c r="FQF17" s="88"/>
      <c r="FQG17" s="90"/>
      <c r="FQH17" s="93"/>
      <c r="FQI17" s="88"/>
      <c r="FQJ17" s="88"/>
      <c r="FQK17" s="91"/>
      <c r="FQL17" s="93"/>
      <c r="FQM17" s="93"/>
      <c r="FQN17" s="88"/>
      <c r="FQO17" s="88"/>
      <c r="FQP17" s="90"/>
      <c r="FQQ17" s="148"/>
      <c r="FQR17" s="88"/>
      <c r="FQS17" s="88"/>
      <c r="FQT17" s="90"/>
      <c r="FQU17" s="93"/>
      <c r="FQV17" s="88"/>
      <c r="FQW17" s="88"/>
      <c r="FQX17" s="91"/>
      <c r="FQY17" s="93"/>
      <c r="FQZ17" s="93"/>
      <c r="FRA17" s="88"/>
      <c r="FRB17" s="88"/>
      <c r="FRC17" s="90"/>
      <c r="FRD17" s="148"/>
      <c r="FRE17" s="88"/>
      <c r="FRF17" s="88"/>
      <c r="FRG17" s="90"/>
      <c r="FRH17" s="93"/>
      <c r="FRI17" s="88"/>
      <c r="FRJ17" s="88"/>
      <c r="FRK17" s="91"/>
      <c r="FRL17" s="93"/>
      <c r="FRM17" s="93"/>
      <c r="FRN17" s="88"/>
      <c r="FRO17" s="88"/>
      <c r="FRP17" s="90"/>
      <c r="FRQ17" s="148"/>
      <c r="FRR17" s="88"/>
      <c r="FRS17" s="88"/>
      <c r="FRT17" s="90"/>
      <c r="FRU17" s="93"/>
      <c r="FRV17" s="88"/>
      <c r="FRW17" s="88"/>
      <c r="FRX17" s="91"/>
      <c r="FRY17" s="93"/>
      <c r="FRZ17" s="93"/>
      <c r="FSA17" s="88"/>
      <c r="FSB17" s="88"/>
      <c r="FSC17" s="90"/>
      <c r="FSD17" s="148"/>
      <c r="FSE17" s="88"/>
      <c r="FSF17" s="88"/>
      <c r="FSG17" s="90"/>
      <c r="FSH17" s="93"/>
      <c r="FSI17" s="88"/>
      <c r="FSJ17" s="88"/>
      <c r="FSK17" s="91"/>
      <c r="FSL17" s="93"/>
      <c r="FSM17" s="93"/>
      <c r="FSN17" s="88"/>
      <c r="FSO17" s="88"/>
      <c r="FSP17" s="90"/>
      <c r="FSQ17" s="148"/>
      <c r="FSR17" s="88"/>
      <c r="FSS17" s="88"/>
      <c r="FST17" s="90"/>
      <c r="FSU17" s="93"/>
      <c r="FSV17" s="88"/>
      <c r="FSW17" s="88"/>
      <c r="FSX17" s="91"/>
      <c r="FSY17" s="93"/>
      <c r="FSZ17" s="93"/>
      <c r="FTA17" s="88"/>
      <c r="FTB17" s="88"/>
      <c r="FTC17" s="90"/>
      <c r="FTD17" s="148"/>
      <c r="FTE17" s="88"/>
      <c r="FTF17" s="88"/>
      <c r="FTG17" s="90"/>
      <c r="FTH17" s="93"/>
      <c r="FTI17" s="88"/>
      <c r="FTJ17" s="88"/>
      <c r="FTK17" s="91"/>
      <c r="FTL17" s="93"/>
      <c r="FTM17" s="93"/>
      <c r="FTN17" s="88"/>
      <c r="FTO17" s="88"/>
      <c r="FTP17" s="90"/>
      <c r="FTQ17" s="148"/>
      <c r="FTR17" s="88"/>
      <c r="FTS17" s="88"/>
      <c r="FTT17" s="90"/>
      <c r="FTU17" s="93"/>
      <c r="FTV17" s="88"/>
      <c r="FTW17" s="88"/>
      <c r="FTX17" s="91"/>
      <c r="FTY17" s="93"/>
      <c r="FTZ17" s="93"/>
      <c r="FUA17" s="88"/>
      <c r="FUB17" s="88"/>
      <c r="FUC17" s="90"/>
      <c r="FUD17" s="148"/>
      <c r="FUE17" s="88"/>
      <c r="FUF17" s="88"/>
      <c r="FUG17" s="90"/>
      <c r="FUH17" s="93"/>
      <c r="FUI17" s="88"/>
      <c r="FUJ17" s="88"/>
      <c r="FUK17" s="91"/>
      <c r="FUL17" s="93"/>
      <c r="FUM17" s="93"/>
      <c r="FUN17" s="88"/>
      <c r="FUO17" s="88"/>
      <c r="FUP17" s="90"/>
      <c r="FUQ17" s="148"/>
      <c r="FUR17" s="88"/>
      <c r="FUS17" s="88"/>
      <c r="FUT17" s="90"/>
      <c r="FUU17" s="93"/>
      <c r="FUV17" s="88"/>
      <c r="FUW17" s="88"/>
      <c r="FUX17" s="91"/>
      <c r="FUY17" s="93"/>
      <c r="FUZ17" s="93"/>
      <c r="FVA17" s="88"/>
      <c r="FVB17" s="88"/>
      <c r="FVC17" s="90"/>
      <c r="FVD17" s="148"/>
      <c r="FVE17" s="88"/>
      <c r="FVF17" s="88"/>
      <c r="FVG17" s="90"/>
      <c r="FVH17" s="93"/>
      <c r="FVI17" s="88"/>
      <c r="FVJ17" s="88"/>
      <c r="FVK17" s="91"/>
      <c r="FVL17" s="93"/>
      <c r="FVM17" s="93"/>
      <c r="FVN17" s="88"/>
      <c r="FVO17" s="88"/>
      <c r="FVP17" s="90"/>
      <c r="FVQ17" s="148"/>
      <c r="FVR17" s="88"/>
      <c r="FVS17" s="88"/>
      <c r="FVT17" s="90"/>
      <c r="FVU17" s="93"/>
      <c r="FVV17" s="88"/>
      <c r="FVW17" s="88"/>
      <c r="FVX17" s="91"/>
      <c r="FVY17" s="93"/>
      <c r="FVZ17" s="93"/>
      <c r="FWA17" s="88"/>
      <c r="FWB17" s="88"/>
      <c r="FWC17" s="90"/>
      <c r="FWD17" s="148"/>
      <c r="FWE17" s="88"/>
      <c r="FWF17" s="88"/>
      <c r="FWG17" s="90"/>
      <c r="FWH17" s="93"/>
      <c r="FWI17" s="88"/>
      <c r="FWJ17" s="88"/>
      <c r="FWK17" s="91"/>
      <c r="FWL17" s="93"/>
      <c r="FWM17" s="93"/>
      <c r="FWN17" s="88"/>
      <c r="FWO17" s="88"/>
      <c r="FWP17" s="90"/>
      <c r="FWQ17" s="148"/>
      <c r="FWR17" s="88"/>
      <c r="FWS17" s="88"/>
      <c r="FWT17" s="90"/>
      <c r="FWU17" s="93"/>
      <c r="FWV17" s="88"/>
      <c r="FWW17" s="88"/>
      <c r="FWX17" s="91"/>
      <c r="FWY17" s="93"/>
      <c r="FWZ17" s="93"/>
      <c r="FXA17" s="88"/>
      <c r="FXB17" s="88"/>
      <c r="FXC17" s="90"/>
      <c r="FXD17" s="148"/>
      <c r="FXE17" s="88"/>
      <c r="FXF17" s="88"/>
      <c r="FXG17" s="90"/>
      <c r="FXH17" s="93"/>
      <c r="FXI17" s="88"/>
      <c r="FXJ17" s="88"/>
      <c r="FXK17" s="91"/>
      <c r="FXL17" s="93"/>
      <c r="FXM17" s="93"/>
      <c r="FXN17" s="88"/>
      <c r="FXO17" s="88"/>
      <c r="FXP17" s="90"/>
      <c r="FXQ17" s="148"/>
      <c r="FXR17" s="88"/>
      <c r="FXS17" s="88"/>
      <c r="FXT17" s="90"/>
      <c r="FXU17" s="93"/>
      <c r="FXV17" s="88"/>
      <c r="FXW17" s="88"/>
      <c r="FXX17" s="91"/>
      <c r="FXY17" s="93"/>
      <c r="FXZ17" s="93"/>
      <c r="FYA17" s="88"/>
      <c r="FYB17" s="88"/>
      <c r="FYC17" s="90"/>
      <c r="FYD17" s="148"/>
      <c r="FYE17" s="88"/>
      <c r="FYF17" s="88"/>
      <c r="FYG17" s="90"/>
      <c r="FYH17" s="93"/>
      <c r="FYI17" s="88"/>
      <c r="FYJ17" s="88"/>
      <c r="FYK17" s="91"/>
      <c r="FYL17" s="93"/>
      <c r="FYM17" s="93"/>
      <c r="FYN17" s="88"/>
      <c r="FYO17" s="88"/>
      <c r="FYP17" s="90"/>
      <c r="FYQ17" s="148"/>
      <c r="FYR17" s="88"/>
      <c r="FYS17" s="88"/>
      <c r="FYT17" s="90"/>
      <c r="FYU17" s="93"/>
      <c r="FYV17" s="88"/>
      <c r="FYW17" s="88"/>
      <c r="FYX17" s="91"/>
      <c r="FYY17" s="93"/>
      <c r="FYZ17" s="93"/>
      <c r="FZA17" s="88"/>
      <c r="FZB17" s="88"/>
      <c r="FZC17" s="90"/>
      <c r="FZD17" s="148"/>
      <c r="FZE17" s="88"/>
      <c r="FZF17" s="88"/>
      <c r="FZG17" s="90"/>
      <c r="FZH17" s="93"/>
      <c r="FZI17" s="88"/>
      <c r="FZJ17" s="88"/>
      <c r="FZK17" s="91"/>
      <c r="FZL17" s="93"/>
      <c r="FZM17" s="93"/>
      <c r="FZN17" s="88"/>
      <c r="FZO17" s="88"/>
      <c r="FZP17" s="90"/>
      <c r="FZQ17" s="148"/>
      <c r="FZR17" s="88"/>
      <c r="FZS17" s="88"/>
      <c r="FZT17" s="90"/>
      <c r="FZU17" s="93"/>
      <c r="FZV17" s="88"/>
      <c r="FZW17" s="88"/>
      <c r="FZX17" s="91"/>
      <c r="FZY17" s="93"/>
      <c r="FZZ17" s="93"/>
      <c r="GAA17" s="88"/>
      <c r="GAB17" s="88"/>
      <c r="GAC17" s="90"/>
      <c r="GAD17" s="148"/>
      <c r="GAE17" s="88"/>
      <c r="GAF17" s="88"/>
      <c r="GAG17" s="90"/>
      <c r="GAH17" s="93"/>
      <c r="GAI17" s="88"/>
      <c r="GAJ17" s="88"/>
      <c r="GAK17" s="91"/>
      <c r="GAL17" s="93"/>
      <c r="GAM17" s="93"/>
      <c r="GAN17" s="88"/>
      <c r="GAO17" s="88"/>
      <c r="GAP17" s="90"/>
      <c r="GAQ17" s="148"/>
      <c r="GAR17" s="88"/>
      <c r="GAS17" s="88"/>
      <c r="GAT17" s="90"/>
      <c r="GAU17" s="93"/>
      <c r="GAV17" s="88"/>
      <c r="GAW17" s="88"/>
      <c r="GAX17" s="91"/>
      <c r="GAY17" s="93"/>
      <c r="GAZ17" s="93"/>
      <c r="GBA17" s="88"/>
      <c r="GBB17" s="88"/>
      <c r="GBC17" s="90"/>
      <c r="GBD17" s="148"/>
      <c r="GBE17" s="88"/>
      <c r="GBF17" s="88"/>
      <c r="GBG17" s="90"/>
      <c r="GBH17" s="93"/>
      <c r="GBI17" s="88"/>
      <c r="GBJ17" s="88"/>
      <c r="GBK17" s="91"/>
      <c r="GBL17" s="93"/>
      <c r="GBM17" s="93"/>
      <c r="GBN17" s="88"/>
      <c r="GBO17" s="88"/>
      <c r="GBP17" s="90"/>
      <c r="GBQ17" s="148"/>
      <c r="GBR17" s="88"/>
      <c r="GBS17" s="88"/>
      <c r="GBT17" s="90"/>
      <c r="GBU17" s="93"/>
      <c r="GBV17" s="88"/>
      <c r="GBW17" s="88"/>
      <c r="GBX17" s="91"/>
      <c r="GBY17" s="93"/>
      <c r="GBZ17" s="93"/>
      <c r="GCA17" s="88"/>
      <c r="GCB17" s="88"/>
      <c r="GCC17" s="90"/>
      <c r="GCD17" s="148"/>
      <c r="GCE17" s="88"/>
      <c r="GCF17" s="88"/>
      <c r="GCG17" s="90"/>
      <c r="GCH17" s="93"/>
      <c r="GCI17" s="88"/>
      <c r="GCJ17" s="88"/>
      <c r="GCK17" s="91"/>
      <c r="GCL17" s="93"/>
      <c r="GCM17" s="93"/>
      <c r="GCN17" s="88"/>
      <c r="GCO17" s="88"/>
      <c r="GCP17" s="90"/>
      <c r="GCQ17" s="148"/>
      <c r="GCR17" s="88"/>
      <c r="GCS17" s="88"/>
      <c r="GCT17" s="90"/>
      <c r="GCU17" s="93"/>
      <c r="GCV17" s="88"/>
      <c r="GCW17" s="88"/>
      <c r="GCX17" s="91"/>
      <c r="GCY17" s="93"/>
      <c r="GCZ17" s="93"/>
      <c r="GDA17" s="88"/>
      <c r="GDB17" s="88"/>
      <c r="GDC17" s="90"/>
      <c r="GDD17" s="148"/>
      <c r="GDE17" s="88"/>
      <c r="GDF17" s="88"/>
      <c r="GDG17" s="90"/>
      <c r="GDH17" s="93"/>
      <c r="GDI17" s="88"/>
      <c r="GDJ17" s="88"/>
      <c r="GDK17" s="91"/>
      <c r="GDL17" s="93"/>
      <c r="GDM17" s="93"/>
      <c r="GDN17" s="88"/>
      <c r="GDO17" s="88"/>
      <c r="GDP17" s="90"/>
      <c r="GDQ17" s="148"/>
      <c r="GDR17" s="88"/>
      <c r="GDS17" s="88"/>
      <c r="GDT17" s="90"/>
      <c r="GDU17" s="93"/>
      <c r="GDV17" s="88"/>
      <c r="GDW17" s="88"/>
      <c r="GDX17" s="91"/>
      <c r="GDY17" s="93"/>
      <c r="GDZ17" s="93"/>
      <c r="GEA17" s="88"/>
      <c r="GEB17" s="88"/>
      <c r="GEC17" s="90"/>
      <c r="GED17" s="148"/>
      <c r="GEE17" s="88"/>
      <c r="GEF17" s="88"/>
      <c r="GEG17" s="90"/>
      <c r="GEH17" s="93"/>
      <c r="GEI17" s="88"/>
      <c r="GEJ17" s="88"/>
      <c r="GEK17" s="91"/>
      <c r="GEL17" s="93"/>
      <c r="GEM17" s="93"/>
      <c r="GEN17" s="88"/>
      <c r="GEO17" s="88"/>
      <c r="GEP17" s="90"/>
      <c r="GEQ17" s="148"/>
      <c r="GER17" s="88"/>
      <c r="GES17" s="88"/>
      <c r="GET17" s="90"/>
      <c r="GEU17" s="93"/>
      <c r="GEV17" s="88"/>
      <c r="GEW17" s="88"/>
      <c r="GEX17" s="91"/>
      <c r="GEY17" s="93"/>
      <c r="GEZ17" s="93"/>
      <c r="GFA17" s="88"/>
      <c r="GFB17" s="88"/>
      <c r="GFC17" s="90"/>
      <c r="GFD17" s="148"/>
      <c r="GFE17" s="88"/>
      <c r="GFF17" s="88"/>
      <c r="GFG17" s="90"/>
      <c r="GFH17" s="93"/>
      <c r="GFI17" s="88"/>
      <c r="GFJ17" s="88"/>
      <c r="GFK17" s="91"/>
      <c r="GFL17" s="93"/>
      <c r="GFM17" s="93"/>
      <c r="GFN17" s="88"/>
      <c r="GFO17" s="88"/>
      <c r="GFP17" s="90"/>
      <c r="GFQ17" s="148"/>
      <c r="GFR17" s="88"/>
      <c r="GFS17" s="88"/>
      <c r="GFT17" s="90"/>
      <c r="GFU17" s="93"/>
      <c r="GFV17" s="88"/>
      <c r="GFW17" s="88"/>
      <c r="GFX17" s="91"/>
      <c r="GFY17" s="93"/>
      <c r="GFZ17" s="93"/>
      <c r="GGA17" s="88"/>
      <c r="GGB17" s="88"/>
      <c r="GGC17" s="90"/>
      <c r="GGD17" s="148"/>
      <c r="GGE17" s="88"/>
      <c r="GGF17" s="88"/>
      <c r="GGG17" s="90"/>
      <c r="GGH17" s="93"/>
      <c r="GGI17" s="88"/>
      <c r="GGJ17" s="88"/>
      <c r="GGK17" s="91"/>
      <c r="GGL17" s="93"/>
      <c r="GGM17" s="93"/>
      <c r="GGN17" s="88"/>
      <c r="GGO17" s="88"/>
      <c r="GGP17" s="90"/>
      <c r="GGQ17" s="148"/>
      <c r="GGR17" s="88"/>
      <c r="GGS17" s="88"/>
      <c r="GGT17" s="90"/>
      <c r="GGU17" s="93"/>
      <c r="GGV17" s="88"/>
      <c r="GGW17" s="88"/>
      <c r="GGX17" s="91"/>
      <c r="GGY17" s="93"/>
      <c r="GGZ17" s="93"/>
      <c r="GHA17" s="88"/>
      <c r="GHB17" s="88"/>
      <c r="GHC17" s="90"/>
      <c r="GHD17" s="148"/>
      <c r="GHE17" s="88"/>
      <c r="GHF17" s="88"/>
      <c r="GHG17" s="90"/>
      <c r="GHH17" s="93"/>
      <c r="GHI17" s="88"/>
      <c r="GHJ17" s="88"/>
      <c r="GHK17" s="91"/>
      <c r="GHL17" s="93"/>
      <c r="GHM17" s="93"/>
      <c r="GHN17" s="88"/>
      <c r="GHO17" s="88"/>
      <c r="GHP17" s="90"/>
      <c r="GHQ17" s="148"/>
      <c r="GHR17" s="88"/>
      <c r="GHS17" s="88"/>
      <c r="GHT17" s="90"/>
      <c r="GHU17" s="93"/>
      <c r="GHV17" s="88"/>
      <c r="GHW17" s="88"/>
      <c r="GHX17" s="91"/>
      <c r="GHY17" s="93"/>
      <c r="GHZ17" s="93"/>
      <c r="GIA17" s="88"/>
      <c r="GIB17" s="88"/>
      <c r="GIC17" s="90"/>
      <c r="GID17" s="148"/>
      <c r="GIE17" s="88"/>
      <c r="GIF17" s="88"/>
      <c r="GIG17" s="90"/>
      <c r="GIH17" s="93"/>
      <c r="GII17" s="88"/>
      <c r="GIJ17" s="88"/>
      <c r="GIK17" s="91"/>
      <c r="GIL17" s="93"/>
      <c r="GIM17" s="93"/>
      <c r="GIN17" s="88"/>
      <c r="GIO17" s="88"/>
      <c r="GIP17" s="90"/>
      <c r="GIQ17" s="148"/>
      <c r="GIR17" s="88"/>
      <c r="GIS17" s="88"/>
      <c r="GIT17" s="90"/>
      <c r="GIU17" s="93"/>
      <c r="GIV17" s="88"/>
      <c r="GIW17" s="88"/>
      <c r="GIX17" s="91"/>
      <c r="GIY17" s="93"/>
      <c r="GIZ17" s="93"/>
      <c r="GJA17" s="88"/>
      <c r="GJB17" s="88"/>
      <c r="GJC17" s="90"/>
      <c r="GJD17" s="148"/>
      <c r="GJE17" s="88"/>
      <c r="GJF17" s="88"/>
      <c r="GJG17" s="90"/>
      <c r="GJH17" s="93"/>
      <c r="GJI17" s="88"/>
      <c r="GJJ17" s="88"/>
      <c r="GJK17" s="91"/>
      <c r="GJL17" s="93"/>
      <c r="GJM17" s="93"/>
      <c r="GJN17" s="88"/>
      <c r="GJO17" s="88"/>
      <c r="GJP17" s="90"/>
      <c r="GJQ17" s="148"/>
      <c r="GJR17" s="88"/>
      <c r="GJS17" s="88"/>
      <c r="GJT17" s="90"/>
      <c r="GJU17" s="93"/>
      <c r="GJV17" s="88"/>
      <c r="GJW17" s="88"/>
      <c r="GJX17" s="91"/>
      <c r="GJY17" s="93"/>
      <c r="GJZ17" s="93"/>
      <c r="GKA17" s="88"/>
      <c r="GKB17" s="88"/>
      <c r="GKC17" s="90"/>
      <c r="GKD17" s="148"/>
      <c r="GKE17" s="88"/>
      <c r="GKF17" s="88"/>
      <c r="GKG17" s="90"/>
      <c r="GKH17" s="93"/>
      <c r="GKI17" s="88"/>
      <c r="GKJ17" s="88"/>
      <c r="GKK17" s="91"/>
      <c r="GKL17" s="93"/>
      <c r="GKM17" s="93"/>
      <c r="GKN17" s="88"/>
      <c r="GKO17" s="88"/>
      <c r="GKP17" s="90"/>
      <c r="GKQ17" s="148"/>
      <c r="GKR17" s="88"/>
      <c r="GKS17" s="88"/>
      <c r="GKT17" s="90"/>
      <c r="GKU17" s="93"/>
      <c r="GKV17" s="88"/>
      <c r="GKW17" s="88"/>
      <c r="GKX17" s="91"/>
      <c r="GKY17" s="93"/>
      <c r="GKZ17" s="93"/>
      <c r="GLA17" s="88"/>
      <c r="GLB17" s="88"/>
      <c r="GLC17" s="90"/>
      <c r="GLD17" s="148"/>
      <c r="GLE17" s="88"/>
      <c r="GLF17" s="88"/>
      <c r="GLG17" s="90"/>
      <c r="GLH17" s="93"/>
      <c r="GLI17" s="88"/>
      <c r="GLJ17" s="88"/>
      <c r="GLK17" s="91"/>
      <c r="GLL17" s="93"/>
      <c r="GLM17" s="93"/>
      <c r="GLN17" s="88"/>
      <c r="GLO17" s="88"/>
      <c r="GLP17" s="90"/>
      <c r="GLQ17" s="148"/>
      <c r="GLR17" s="88"/>
      <c r="GLS17" s="88"/>
      <c r="GLT17" s="90"/>
      <c r="GLU17" s="93"/>
      <c r="GLV17" s="88"/>
      <c r="GLW17" s="88"/>
      <c r="GLX17" s="91"/>
      <c r="GLY17" s="93"/>
      <c r="GLZ17" s="93"/>
      <c r="GMA17" s="88"/>
      <c r="GMB17" s="88"/>
      <c r="GMC17" s="90"/>
      <c r="GMD17" s="148"/>
      <c r="GME17" s="88"/>
      <c r="GMF17" s="88"/>
      <c r="GMG17" s="90"/>
      <c r="GMH17" s="93"/>
      <c r="GMI17" s="88"/>
      <c r="GMJ17" s="88"/>
      <c r="GMK17" s="91"/>
      <c r="GML17" s="93"/>
      <c r="GMM17" s="93"/>
      <c r="GMN17" s="88"/>
      <c r="GMO17" s="88"/>
      <c r="GMP17" s="90"/>
      <c r="GMQ17" s="148"/>
      <c r="GMR17" s="88"/>
      <c r="GMS17" s="88"/>
      <c r="GMT17" s="90"/>
      <c r="GMU17" s="93"/>
      <c r="GMV17" s="88"/>
      <c r="GMW17" s="88"/>
      <c r="GMX17" s="91"/>
      <c r="GMY17" s="93"/>
      <c r="GMZ17" s="93"/>
      <c r="GNA17" s="88"/>
      <c r="GNB17" s="88"/>
      <c r="GNC17" s="90"/>
      <c r="GND17" s="148"/>
      <c r="GNE17" s="88"/>
      <c r="GNF17" s="88"/>
      <c r="GNG17" s="90"/>
      <c r="GNH17" s="93"/>
      <c r="GNI17" s="88"/>
      <c r="GNJ17" s="88"/>
      <c r="GNK17" s="91"/>
      <c r="GNL17" s="93"/>
      <c r="GNM17" s="93"/>
      <c r="GNN17" s="88"/>
      <c r="GNO17" s="88"/>
      <c r="GNP17" s="90"/>
      <c r="GNQ17" s="148"/>
      <c r="GNR17" s="88"/>
      <c r="GNS17" s="88"/>
      <c r="GNT17" s="90"/>
      <c r="GNU17" s="93"/>
      <c r="GNV17" s="88"/>
      <c r="GNW17" s="88"/>
      <c r="GNX17" s="91"/>
      <c r="GNY17" s="93"/>
      <c r="GNZ17" s="93"/>
      <c r="GOA17" s="88"/>
      <c r="GOB17" s="88"/>
      <c r="GOC17" s="90"/>
      <c r="GOD17" s="148"/>
      <c r="GOE17" s="88"/>
      <c r="GOF17" s="88"/>
      <c r="GOG17" s="90"/>
      <c r="GOH17" s="93"/>
      <c r="GOI17" s="88"/>
      <c r="GOJ17" s="88"/>
      <c r="GOK17" s="91"/>
      <c r="GOL17" s="93"/>
      <c r="GOM17" s="93"/>
      <c r="GON17" s="88"/>
      <c r="GOO17" s="88"/>
      <c r="GOP17" s="90"/>
      <c r="GOQ17" s="148"/>
      <c r="GOR17" s="88"/>
      <c r="GOS17" s="88"/>
      <c r="GOT17" s="90"/>
      <c r="GOU17" s="93"/>
      <c r="GOV17" s="88"/>
      <c r="GOW17" s="88"/>
      <c r="GOX17" s="91"/>
      <c r="GOY17" s="93"/>
      <c r="GOZ17" s="93"/>
      <c r="GPA17" s="88"/>
      <c r="GPB17" s="88"/>
      <c r="GPC17" s="90"/>
      <c r="GPD17" s="148"/>
      <c r="GPE17" s="88"/>
      <c r="GPF17" s="88"/>
      <c r="GPG17" s="90"/>
      <c r="GPH17" s="93"/>
      <c r="GPI17" s="88"/>
      <c r="GPJ17" s="88"/>
      <c r="GPK17" s="91"/>
      <c r="GPL17" s="93"/>
      <c r="GPM17" s="93"/>
      <c r="GPN17" s="88"/>
      <c r="GPO17" s="88"/>
      <c r="GPP17" s="90"/>
      <c r="GPQ17" s="148"/>
      <c r="GPR17" s="88"/>
      <c r="GPS17" s="88"/>
      <c r="GPT17" s="90"/>
      <c r="GPU17" s="93"/>
      <c r="GPV17" s="88"/>
      <c r="GPW17" s="88"/>
      <c r="GPX17" s="91"/>
      <c r="GPY17" s="93"/>
      <c r="GPZ17" s="93"/>
      <c r="GQA17" s="88"/>
      <c r="GQB17" s="88"/>
      <c r="GQC17" s="90"/>
      <c r="GQD17" s="148"/>
      <c r="GQE17" s="88"/>
      <c r="GQF17" s="88"/>
      <c r="GQG17" s="90"/>
      <c r="GQH17" s="93"/>
      <c r="GQI17" s="88"/>
      <c r="GQJ17" s="88"/>
      <c r="GQK17" s="91"/>
      <c r="GQL17" s="93"/>
      <c r="GQM17" s="93"/>
      <c r="GQN17" s="88"/>
      <c r="GQO17" s="88"/>
      <c r="GQP17" s="90"/>
      <c r="GQQ17" s="148"/>
      <c r="GQR17" s="88"/>
      <c r="GQS17" s="88"/>
      <c r="GQT17" s="90"/>
      <c r="GQU17" s="93"/>
      <c r="GQV17" s="88"/>
      <c r="GQW17" s="88"/>
      <c r="GQX17" s="91"/>
      <c r="GQY17" s="93"/>
      <c r="GQZ17" s="93"/>
      <c r="GRA17" s="88"/>
      <c r="GRB17" s="88"/>
      <c r="GRC17" s="90"/>
      <c r="GRD17" s="148"/>
      <c r="GRE17" s="88"/>
      <c r="GRF17" s="88"/>
      <c r="GRG17" s="90"/>
      <c r="GRH17" s="93"/>
      <c r="GRI17" s="88"/>
      <c r="GRJ17" s="88"/>
      <c r="GRK17" s="91"/>
      <c r="GRL17" s="93"/>
      <c r="GRM17" s="93"/>
      <c r="GRN17" s="88"/>
      <c r="GRO17" s="88"/>
      <c r="GRP17" s="90"/>
      <c r="GRQ17" s="148"/>
      <c r="GRR17" s="88"/>
      <c r="GRS17" s="88"/>
      <c r="GRT17" s="90"/>
      <c r="GRU17" s="93"/>
      <c r="GRV17" s="88"/>
      <c r="GRW17" s="88"/>
      <c r="GRX17" s="91"/>
      <c r="GRY17" s="93"/>
      <c r="GRZ17" s="93"/>
      <c r="GSA17" s="88"/>
      <c r="GSB17" s="88"/>
      <c r="GSC17" s="90"/>
      <c r="GSD17" s="148"/>
      <c r="GSE17" s="88"/>
      <c r="GSF17" s="88"/>
      <c r="GSG17" s="90"/>
      <c r="GSH17" s="93"/>
      <c r="GSI17" s="88"/>
      <c r="GSJ17" s="88"/>
      <c r="GSK17" s="91"/>
      <c r="GSL17" s="93"/>
      <c r="GSM17" s="93"/>
      <c r="GSN17" s="88"/>
      <c r="GSO17" s="88"/>
      <c r="GSP17" s="90"/>
      <c r="GSQ17" s="148"/>
      <c r="GSR17" s="88"/>
      <c r="GSS17" s="88"/>
      <c r="GST17" s="90"/>
      <c r="GSU17" s="93"/>
      <c r="GSV17" s="88"/>
      <c r="GSW17" s="88"/>
      <c r="GSX17" s="91"/>
      <c r="GSY17" s="93"/>
      <c r="GSZ17" s="93"/>
      <c r="GTA17" s="88"/>
      <c r="GTB17" s="88"/>
      <c r="GTC17" s="90"/>
      <c r="GTD17" s="148"/>
      <c r="GTE17" s="88"/>
      <c r="GTF17" s="88"/>
      <c r="GTG17" s="90"/>
      <c r="GTH17" s="93"/>
      <c r="GTI17" s="88"/>
      <c r="GTJ17" s="88"/>
      <c r="GTK17" s="91"/>
      <c r="GTL17" s="93"/>
      <c r="GTM17" s="93"/>
      <c r="GTN17" s="88"/>
      <c r="GTO17" s="88"/>
      <c r="GTP17" s="90"/>
      <c r="GTQ17" s="148"/>
      <c r="GTR17" s="88"/>
      <c r="GTS17" s="88"/>
      <c r="GTT17" s="90"/>
      <c r="GTU17" s="93"/>
      <c r="GTV17" s="88"/>
      <c r="GTW17" s="88"/>
      <c r="GTX17" s="91"/>
      <c r="GTY17" s="93"/>
      <c r="GTZ17" s="93"/>
      <c r="GUA17" s="88"/>
      <c r="GUB17" s="88"/>
      <c r="GUC17" s="90"/>
      <c r="GUD17" s="148"/>
      <c r="GUE17" s="88"/>
      <c r="GUF17" s="88"/>
      <c r="GUG17" s="90"/>
      <c r="GUH17" s="93"/>
      <c r="GUI17" s="88"/>
      <c r="GUJ17" s="88"/>
      <c r="GUK17" s="91"/>
      <c r="GUL17" s="93"/>
      <c r="GUM17" s="93"/>
      <c r="GUN17" s="88"/>
      <c r="GUO17" s="88"/>
      <c r="GUP17" s="90"/>
      <c r="GUQ17" s="148"/>
      <c r="GUR17" s="88"/>
      <c r="GUS17" s="88"/>
      <c r="GUT17" s="90"/>
      <c r="GUU17" s="93"/>
      <c r="GUV17" s="88"/>
      <c r="GUW17" s="88"/>
      <c r="GUX17" s="91"/>
      <c r="GUY17" s="93"/>
      <c r="GUZ17" s="93"/>
      <c r="GVA17" s="88"/>
      <c r="GVB17" s="88"/>
      <c r="GVC17" s="90"/>
      <c r="GVD17" s="148"/>
      <c r="GVE17" s="88"/>
      <c r="GVF17" s="88"/>
      <c r="GVG17" s="90"/>
      <c r="GVH17" s="93"/>
      <c r="GVI17" s="88"/>
      <c r="GVJ17" s="88"/>
      <c r="GVK17" s="91"/>
      <c r="GVL17" s="93"/>
      <c r="GVM17" s="93"/>
      <c r="GVN17" s="88"/>
      <c r="GVO17" s="88"/>
      <c r="GVP17" s="90"/>
      <c r="GVQ17" s="148"/>
      <c r="GVR17" s="88"/>
      <c r="GVS17" s="88"/>
      <c r="GVT17" s="90"/>
      <c r="GVU17" s="93"/>
      <c r="GVV17" s="88"/>
      <c r="GVW17" s="88"/>
      <c r="GVX17" s="91"/>
      <c r="GVY17" s="93"/>
      <c r="GVZ17" s="93"/>
      <c r="GWA17" s="88"/>
      <c r="GWB17" s="88"/>
      <c r="GWC17" s="90"/>
      <c r="GWD17" s="148"/>
      <c r="GWE17" s="88"/>
      <c r="GWF17" s="88"/>
      <c r="GWG17" s="90"/>
      <c r="GWH17" s="93"/>
      <c r="GWI17" s="88"/>
      <c r="GWJ17" s="88"/>
      <c r="GWK17" s="91"/>
      <c r="GWL17" s="93"/>
      <c r="GWM17" s="93"/>
      <c r="GWN17" s="88"/>
      <c r="GWO17" s="88"/>
      <c r="GWP17" s="90"/>
      <c r="GWQ17" s="148"/>
      <c r="GWR17" s="88"/>
      <c r="GWS17" s="88"/>
      <c r="GWT17" s="90"/>
      <c r="GWU17" s="93"/>
      <c r="GWV17" s="88"/>
      <c r="GWW17" s="88"/>
      <c r="GWX17" s="91"/>
      <c r="GWY17" s="93"/>
      <c r="GWZ17" s="93"/>
      <c r="GXA17" s="88"/>
      <c r="GXB17" s="88"/>
      <c r="GXC17" s="90"/>
      <c r="GXD17" s="148"/>
      <c r="GXE17" s="88"/>
      <c r="GXF17" s="88"/>
      <c r="GXG17" s="90"/>
      <c r="GXH17" s="93"/>
      <c r="GXI17" s="88"/>
      <c r="GXJ17" s="88"/>
      <c r="GXK17" s="91"/>
      <c r="GXL17" s="93"/>
      <c r="GXM17" s="93"/>
      <c r="GXN17" s="88"/>
      <c r="GXO17" s="88"/>
      <c r="GXP17" s="90"/>
      <c r="GXQ17" s="148"/>
      <c r="GXR17" s="88"/>
      <c r="GXS17" s="88"/>
      <c r="GXT17" s="90"/>
      <c r="GXU17" s="93"/>
      <c r="GXV17" s="88"/>
      <c r="GXW17" s="88"/>
      <c r="GXX17" s="91"/>
      <c r="GXY17" s="93"/>
      <c r="GXZ17" s="93"/>
      <c r="GYA17" s="88"/>
      <c r="GYB17" s="88"/>
      <c r="GYC17" s="90"/>
      <c r="GYD17" s="148"/>
      <c r="GYE17" s="88"/>
      <c r="GYF17" s="88"/>
      <c r="GYG17" s="90"/>
      <c r="GYH17" s="93"/>
      <c r="GYI17" s="88"/>
      <c r="GYJ17" s="88"/>
      <c r="GYK17" s="91"/>
      <c r="GYL17" s="93"/>
      <c r="GYM17" s="93"/>
      <c r="GYN17" s="88"/>
      <c r="GYO17" s="88"/>
      <c r="GYP17" s="90"/>
      <c r="GYQ17" s="148"/>
      <c r="GYR17" s="88"/>
      <c r="GYS17" s="88"/>
      <c r="GYT17" s="90"/>
      <c r="GYU17" s="93"/>
      <c r="GYV17" s="88"/>
      <c r="GYW17" s="88"/>
      <c r="GYX17" s="91"/>
      <c r="GYY17" s="93"/>
      <c r="GYZ17" s="93"/>
      <c r="GZA17" s="88"/>
      <c r="GZB17" s="88"/>
      <c r="GZC17" s="90"/>
      <c r="GZD17" s="148"/>
      <c r="GZE17" s="88"/>
      <c r="GZF17" s="88"/>
      <c r="GZG17" s="90"/>
      <c r="GZH17" s="93"/>
      <c r="GZI17" s="88"/>
      <c r="GZJ17" s="88"/>
      <c r="GZK17" s="91"/>
      <c r="GZL17" s="93"/>
      <c r="GZM17" s="93"/>
      <c r="GZN17" s="88"/>
      <c r="GZO17" s="88"/>
      <c r="GZP17" s="90"/>
      <c r="GZQ17" s="148"/>
      <c r="GZR17" s="88"/>
      <c r="GZS17" s="88"/>
      <c r="GZT17" s="90"/>
      <c r="GZU17" s="93"/>
      <c r="GZV17" s="88"/>
      <c r="GZW17" s="88"/>
      <c r="GZX17" s="91"/>
      <c r="GZY17" s="93"/>
      <c r="GZZ17" s="93"/>
      <c r="HAA17" s="88"/>
      <c r="HAB17" s="88"/>
      <c r="HAC17" s="90"/>
      <c r="HAD17" s="148"/>
      <c r="HAE17" s="88"/>
      <c r="HAF17" s="88"/>
      <c r="HAG17" s="90"/>
      <c r="HAH17" s="93"/>
      <c r="HAI17" s="88"/>
      <c r="HAJ17" s="88"/>
      <c r="HAK17" s="91"/>
      <c r="HAL17" s="93"/>
      <c r="HAM17" s="93"/>
      <c r="HAN17" s="88"/>
      <c r="HAO17" s="88"/>
      <c r="HAP17" s="90"/>
      <c r="HAQ17" s="148"/>
      <c r="HAR17" s="88"/>
      <c r="HAS17" s="88"/>
      <c r="HAT17" s="90"/>
      <c r="HAU17" s="93"/>
      <c r="HAV17" s="88"/>
      <c r="HAW17" s="88"/>
      <c r="HAX17" s="91"/>
      <c r="HAY17" s="93"/>
      <c r="HAZ17" s="93"/>
      <c r="HBA17" s="88"/>
      <c r="HBB17" s="88"/>
      <c r="HBC17" s="90"/>
      <c r="HBD17" s="148"/>
      <c r="HBE17" s="88"/>
      <c r="HBF17" s="88"/>
      <c r="HBG17" s="90"/>
      <c r="HBH17" s="93"/>
      <c r="HBI17" s="88"/>
      <c r="HBJ17" s="88"/>
      <c r="HBK17" s="91"/>
      <c r="HBL17" s="93"/>
      <c r="HBM17" s="93"/>
      <c r="HBN17" s="88"/>
      <c r="HBO17" s="88"/>
      <c r="HBP17" s="90"/>
      <c r="HBQ17" s="148"/>
      <c r="HBR17" s="88"/>
      <c r="HBS17" s="88"/>
      <c r="HBT17" s="90"/>
      <c r="HBU17" s="93"/>
      <c r="HBV17" s="88"/>
      <c r="HBW17" s="88"/>
      <c r="HBX17" s="91"/>
      <c r="HBY17" s="93"/>
      <c r="HBZ17" s="93"/>
      <c r="HCA17" s="88"/>
      <c r="HCB17" s="88"/>
      <c r="HCC17" s="90"/>
      <c r="HCD17" s="148"/>
      <c r="HCE17" s="88"/>
      <c r="HCF17" s="88"/>
      <c r="HCG17" s="90"/>
      <c r="HCH17" s="93"/>
      <c r="HCI17" s="88"/>
      <c r="HCJ17" s="88"/>
      <c r="HCK17" s="91"/>
      <c r="HCL17" s="93"/>
      <c r="HCM17" s="93"/>
      <c r="HCN17" s="88"/>
      <c r="HCO17" s="88"/>
      <c r="HCP17" s="90"/>
      <c r="HCQ17" s="148"/>
      <c r="HCR17" s="88"/>
      <c r="HCS17" s="88"/>
      <c r="HCT17" s="90"/>
      <c r="HCU17" s="93"/>
      <c r="HCV17" s="88"/>
      <c r="HCW17" s="88"/>
      <c r="HCX17" s="91"/>
      <c r="HCY17" s="93"/>
      <c r="HCZ17" s="93"/>
      <c r="HDA17" s="88"/>
      <c r="HDB17" s="88"/>
      <c r="HDC17" s="90"/>
      <c r="HDD17" s="148"/>
      <c r="HDE17" s="88"/>
      <c r="HDF17" s="88"/>
      <c r="HDG17" s="90"/>
      <c r="HDH17" s="93"/>
      <c r="HDI17" s="88"/>
      <c r="HDJ17" s="88"/>
      <c r="HDK17" s="91"/>
      <c r="HDL17" s="93"/>
      <c r="HDM17" s="93"/>
      <c r="HDN17" s="88"/>
      <c r="HDO17" s="88"/>
      <c r="HDP17" s="90"/>
      <c r="HDQ17" s="148"/>
      <c r="HDR17" s="88"/>
      <c r="HDS17" s="88"/>
      <c r="HDT17" s="90"/>
      <c r="HDU17" s="93"/>
      <c r="HDV17" s="88"/>
      <c r="HDW17" s="88"/>
      <c r="HDX17" s="91"/>
      <c r="HDY17" s="93"/>
      <c r="HDZ17" s="93"/>
      <c r="HEA17" s="88"/>
      <c r="HEB17" s="88"/>
      <c r="HEC17" s="90"/>
      <c r="HED17" s="148"/>
      <c r="HEE17" s="88"/>
      <c r="HEF17" s="88"/>
      <c r="HEG17" s="90"/>
      <c r="HEH17" s="93"/>
      <c r="HEI17" s="88"/>
      <c r="HEJ17" s="88"/>
      <c r="HEK17" s="91"/>
      <c r="HEL17" s="93"/>
      <c r="HEM17" s="93"/>
      <c r="HEN17" s="88"/>
      <c r="HEO17" s="88"/>
      <c r="HEP17" s="90"/>
      <c r="HEQ17" s="148"/>
      <c r="HER17" s="88"/>
      <c r="HES17" s="88"/>
      <c r="HET17" s="90"/>
      <c r="HEU17" s="93"/>
      <c r="HEV17" s="88"/>
      <c r="HEW17" s="88"/>
      <c r="HEX17" s="91"/>
      <c r="HEY17" s="93"/>
      <c r="HEZ17" s="93"/>
      <c r="HFA17" s="88"/>
      <c r="HFB17" s="88"/>
      <c r="HFC17" s="90"/>
      <c r="HFD17" s="148"/>
      <c r="HFE17" s="88"/>
      <c r="HFF17" s="88"/>
      <c r="HFG17" s="90"/>
      <c r="HFH17" s="93"/>
      <c r="HFI17" s="88"/>
      <c r="HFJ17" s="88"/>
      <c r="HFK17" s="91"/>
      <c r="HFL17" s="93"/>
      <c r="HFM17" s="93"/>
      <c r="HFN17" s="88"/>
      <c r="HFO17" s="88"/>
      <c r="HFP17" s="90"/>
      <c r="HFQ17" s="148"/>
      <c r="HFR17" s="88"/>
      <c r="HFS17" s="88"/>
      <c r="HFT17" s="90"/>
      <c r="HFU17" s="93"/>
      <c r="HFV17" s="88"/>
      <c r="HFW17" s="88"/>
      <c r="HFX17" s="91"/>
      <c r="HFY17" s="93"/>
      <c r="HFZ17" s="93"/>
      <c r="HGA17" s="88"/>
      <c r="HGB17" s="88"/>
      <c r="HGC17" s="90"/>
      <c r="HGD17" s="148"/>
      <c r="HGE17" s="88"/>
      <c r="HGF17" s="88"/>
      <c r="HGG17" s="90"/>
      <c r="HGH17" s="93"/>
      <c r="HGI17" s="88"/>
      <c r="HGJ17" s="88"/>
      <c r="HGK17" s="91"/>
      <c r="HGL17" s="93"/>
      <c r="HGM17" s="93"/>
      <c r="HGN17" s="88"/>
      <c r="HGO17" s="88"/>
      <c r="HGP17" s="90"/>
      <c r="HGQ17" s="148"/>
      <c r="HGR17" s="88"/>
      <c r="HGS17" s="88"/>
      <c r="HGT17" s="90"/>
      <c r="HGU17" s="93"/>
      <c r="HGV17" s="88"/>
      <c r="HGW17" s="88"/>
      <c r="HGX17" s="91"/>
      <c r="HGY17" s="93"/>
      <c r="HGZ17" s="93"/>
      <c r="HHA17" s="88"/>
      <c r="HHB17" s="88"/>
      <c r="HHC17" s="90"/>
      <c r="HHD17" s="148"/>
      <c r="HHE17" s="88"/>
      <c r="HHF17" s="88"/>
      <c r="HHG17" s="90"/>
      <c r="HHH17" s="93"/>
      <c r="HHI17" s="88"/>
      <c r="HHJ17" s="88"/>
      <c r="HHK17" s="91"/>
      <c r="HHL17" s="93"/>
      <c r="HHM17" s="93"/>
      <c r="HHN17" s="88"/>
      <c r="HHO17" s="88"/>
      <c r="HHP17" s="90"/>
      <c r="HHQ17" s="148"/>
      <c r="HHR17" s="88"/>
      <c r="HHS17" s="88"/>
      <c r="HHT17" s="90"/>
      <c r="HHU17" s="93"/>
      <c r="HHV17" s="88"/>
      <c r="HHW17" s="88"/>
      <c r="HHX17" s="91"/>
      <c r="HHY17" s="93"/>
      <c r="HHZ17" s="93"/>
      <c r="HIA17" s="88"/>
      <c r="HIB17" s="88"/>
      <c r="HIC17" s="90"/>
      <c r="HID17" s="148"/>
      <c r="HIE17" s="88"/>
      <c r="HIF17" s="88"/>
      <c r="HIG17" s="90"/>
      <c r="HIH17" s="93"/>
      <c r="HII17" s="88"/>
      <c r="HIJ17" s="88"/>
      <c r="HIK17" s="91"/>
      <c r="HIL17" s="93"/>
      <c r="HIM17" s="93"/>
      <c r="HIN17" s="88"/>
      <c r="HIO17" s="88"/>
      <c r="HIP17" s="90"/>
      <c r="HIQ17" s="148"/>
      <c r="HIR17" s="88"/>
      <c r="HIS17" s="88"/>
      <c r="HIT17" s="90"/>
      <c r="HIU17" s="93"/>
      <c r="HIV17" s="88"/>
      <c r="HIW17" s="88"/>
      <c r="HIX17" s="91"/>
      <c r="HIY17" s="93"/>
      <c r="HIZ17" s="93"/>
      <c r="HJA17" s="88"/>
      <c r="HJB17" s="88"/>
      <c r="HJC17" s="90"/>
      <c r="HJD17" s="148"/>
      <c r="HJE17" s="88"/>
      <c r="HJF17" s="88"/>
      <c r="HJG17" s="90"/>
      <c r="HJH17" s="93"/>
      <c r="HJI17" s="88"/>
      <c r="HJJ17" s="88"/>
      <c r="HJK17" s="91"/>
      <c r="HJL17" s="93"/>
      <c r="HJM17" s="93"/>
      <c r="HJN17" s="88"/>
      <c r="HJO17" s="88"/>
      <c r="HJP17" s="90"/>
      <c r="HJQ17" s="148"/>
      <c r="HJR17" s="88"/>
      <c r="HJS17" s="88"/>
      <c r="HJT17" s="90"/>
      <c r="HJU17" s="93"/>
      <c r="HJV17" s="88"/>
      <c r="HJW17" s="88"/>
      <c r="HJX17" s="91"/>
      <c r="HJY17" s="93"/>
      <c r="HJZ17" s="93"/>
      <c r="HKA17" s="88"/>
      <c r="HKB17" s="88"/>
      <c r="HKC17" s="90"/>
      <c r="HKD17" s="148"/>
      <c r="HKE17" s="88"/>
      <c r="HKF17" s="88"/>
      <c r="HKG17" s="90"/>
      <c r="HKH17" s="93"/>
      <c r="HKI17" s="88"/>
      <c r="HKJ17" s="88"/>
      <c r="HKK17" s="91"/>
      <c r="HKL17" s="93"/>
      <c r="HKM17" s="93"/>
      <c r="HKN17" s="88"/>
      <c r="HKO17" s="88"/>
      <c r="HKP17" s="90"/>
      <c r="HKQ17" s="148"/>
      <c r="HKR17" s="88"/>
      <c r="HKS17" s="88"/>
      <c r="HKT17" s="90"/>
      <c r="HKU17" s="93"/>
      <c r="HKV17" s="88"/>
      <c r="HKW17" s="88"/>
      <c r="HKX17" s="91"/>
      <c r="HKY17" s="93"/>
      <c r="HKZ17" s="93"/>
      <c r="HLA17" s="88"/>
      <c r="HLB17" s="88"/>
      <c r="HLC17" s="90"/>
      <c r="HLD17" s="148"/>
      <c r="HLE17" s="88"/>
      <c r="HLF17" s="88"/>
      <c r="HLG17" s="90"/>
      <c r="HLH17" s="93"/>
      <c r="HLI17" s="88"/>
      <c r="HLJ17" s="88"/>
      <c r="HLK17" s="91"/>
      <c r="HLL17" s="93"/>
      <c r="HLM17" s="93"/>
      <c r="HLN17" s="88"/>
      <c r="HLO17" s="88"/>
      <c r="HLP17" s="90"/>
      <c r="HLQ17" s="148"/>
      <c r="HLR17" s="88"/>
      <c r="HLS17" s="88"/>
      <c r="HLT17" s="90"/>
      <c r="HLU17" s="93"/>
      <c r="HLV17" s="88"/>
      <c r="HLW17" s="88"/>
      <c r="HLX17" s="91"/>
      <c r="HLY17" s="93"/>
      <c r="HLZ17" s="93"/>
      <c r="HMA17" s="88"/>
      <c r="HMB17" s="88"/>
      <c r="HMC17" s="90"/>
      <c r="HMD17" s="148"/>
      <c r="HME17" s="88"/>
      <c r="HMF17" s="88"/>
      <c r="HMG17" s="90"/>
      <c r="HMH17" s="93"/>
      <c r="HMI17" s="88"/>
      <c r="HMJ17" s="88"/>
      <c r="HMK17" s="91"/>
      <c r="HML17" s="93"/>
      <c r="HMM17" s="93"/>
      <c r="HMN17" s="88"/>
      <c r="HMO17" s="88"/>
      <c r="HMP17" s="90"/>
      <c r="HMQ17" s="148"/>
      <c r="HMR17" s="88"/>
      <c r="HMS17" s="88"/>
      <c r="HMT17" s="90"/>
      <c r="HMU17" s="93"/>
      <c r="HMV17" s="88"/>
      <c r="HMW17" s="88"/>
      <c r="HMX17" s="91"/>
      <c r="HMY17" s="93"/>
      <c r="HMZ17" s="93"/>
      <c r="HNA17" s="88"/>
      <c r="HNB17" s="88"/>
      <c r="HNC17" s="90"/>
      <c r="HND17" s="148"/>
      <c r="HNE17" s="88"/>
      <c r="HNF17" s="88"/>
      <c r="HNG17" s="90"/>
      <c r="HNH17" s="93"/>
      <c r="HNI17" s="88"/>
      <c r="HNJ17" s="88"/>
      <c r="HNK17" s="91"/>
      <c r="HNL17" s="93"/>
      <c r="HNM17" s="93"/>
      <c r="HNN17" s="88"/>
      <c r="HNO17" s="88"/>
      <c r="HNP17" s="90"/>
      <c r="HNQ17" s="148"/>
      <c r="HNR17" s="88"/>
      <c r="HNS17" s="88"/>
      <c r="HNT17" s="90"/>
      <c r="HNU17" s="93"/>
      <c r="HNV17" s="88"/>
      <c r="HNW17" s="88"/>
      <c r="HNX17" s="91"/>
      <c r="HNY17" s="93"/>
      <c r="HNZ17" s="93"/>
      <c r="HOA17" s="88"/>
      <c r="HOB17" s="88"/>
      <c r="HOC17" s="90"/>
      <c r="HOD17" s="148"/>
      <c r="HOE17" s="88"/>
      <c r="HOF17" s="88"/>
      <c r="HOG17" s="90"/>
      <c r="HOH17" s="93"/>
      <c r="HOI17" s="88"/>
      <c r="HOJ17" s="88"/>
      <c r="HOK17" s="91"/>
      <c r="HOL17" s="93"/>
      <c r="HOM17" s="93"/>
      <c r="HON17" s="88"/>
      <c r="HOO17" s="88"/>
      <c r="HOP17" s="90"/>
      <c r="HOQ17" s="148"/>
      <c r="HOR17" s="88"/>
      <c r="HOS17" s="88"/>
      <c r="HOT17" s="90"/>
      <c r="HOU17" s="93"/>
      <c r="HOV17" s="88"/>
      <c r="HOW17" s="88"/>
      <c r="HOX17" s="91"/>
      <c r="HOY17" s="93"/>
      <c r="HOZ17" s="93"/>
      <c r="HPA17" s="88"/>
      <c r="HPB17" s="88"/>
      <c r="HPC17" s="90"/>
      <c r="HPD17" s="148"/>
      <c r="HPE17" s="88"/>
      <c r="HPF17" s="88"/>
      <c r="HPG17" s="90"/>
      <c r="HPH17" s="93"/>
      <c r="HPI17" s="88"/>
      <c r="HPJ17" s="88"/>
      <c r="HPK17" s="91"/>
      <c r="HPL17" s="93"/>
      <c r="HPM17" s="93"/>
      <c r="HPN17" s="88"/>
      <c r="HPO17" s="88"/>
      <c r="HPP17" s="90"/>
      <c r="HPQ17" s="148"/>
      <c r="HPR17" s="88"/>
      <c r="HPS17" s="88"/>
      <c r="HPT17" s="90"/>
      <c r="HPU17" s="93"/>
      <c r="HPV17" s="88"/>
      <c r="HPW17" s="88"/>
      <c r="HPX17" s="91"/>
      <c r="HPY17" s="93"/>
      <c r="HPZ17" s="93"/>
      <c r="HQA17" s="88"/>
      <c r="HQB17" s="88"/>
      <c r="HQC17" s="90"/>
      <c r="HQD17" s="148"/>
      <c r="HQE17" s="88"/>
      <c r="HQF17" s="88"/>
      <c r="HQG17" s="90"/>
      <c r="HQH17" s="93"/>
      <c r="HQI17" s="88"/>
      <c r="HQJ17" s="88"/>
      <c r="HQK17" s="91"/>
      <c r="HQL17" s="93"/>
      <c r="HQM17" s="93"/>
      <c r="HQN17" s="88"/>
      <c r="HQO17" s="88"/>
      <c r="HQP17" s="90"/>
      <c r="HQQ17" s="148"/>
      <c r="HQR17" s="88"/>
      <c r="HQS17" s="88"/>
      <c r="HQT17" s="90"/>
      <c r="HQU17" s="93"/>
      <c r="HQV17" s="88"/>
      <c r="HQW17" s="88"/>
      <c r="HQX17" s="91"/>
      <c r="HQY17" s="93"/>
      <c r="HQZ17" s="93"/>
      <c r="HRA17" s="88"/>
      <c r="HRB17" s="88"/>
      <c r="HRC17" s="90"/>
      <c r="HRD17" s="148"/>
      <c r="HRE17" s="88"/>
      <c r="HRF17" s="88"/>
      <c r="HRG17" s="90"/>
      <c r="HRH17" s="93"/>
      <c r="HRI17" s="88"/>
      <c r="HRJ17" s="88"/>
      <c r="HRK17" s="91"/>
      <c r="HRL17" s="93"/>
      <c r="HRM17" s="93"/>
      <c r="HRN17" s="88"/>
      <c r="HRO17" s="88"/>
      <c r="HRP17" s="90"/>
      <c r="HRQ17" s="148"/>
      <c r="HRR17" s="88"/>
      <c r="HRS17" s="88"/>
      <c r="HRT17" s="90"/>
      <c r="HRU17" s="93"/>
      <c r="HRV17" s="88"/>
      <c r="HRW17" s="88"/>
      <c r="HRX17" s="91"/>
      <c r="HRY17" s="93"/>
      <c r="HRZ17" s="93"/>
      <c r="HSA17" s="88"/>
      <c r="HSB17" s="88"/>
      <c r="HSC17" s="90"/>
      <c r="HSD17" s="148"/>
      <c r="HSE17" s="88"/>
      <c r="HSF17" s="88"/>
      <c r="HSG17" s="90"/>
      <c r="HSH17" s="93"/>
      <c r="HSI17" s="88"/>
      <c r="HSJ17" s="88"/>
      <c r="HSK17" s="91"/>
      <c r="HSL17" s="93"/>
      <c r="HSM17" s="93"/>
      <c r="HSN17" s="88"/>
      <c r="HSO17" s="88"/>
      <c r="HSP17" s="90"/>
      <c r="HSQ17" s="148"/>
      <c r="HSR17" s="88"/>
      <c r="HSS17" s="88"/>
      <c r="HST17" s="90"/>
      <c r="HSU17" s="93"/>
      <c r="HSV17" s="88"/>
      <c r="HSW17" s="88"/>
      <c r="HSX17" s="91"/>
      <c r="HSY17" s="93"/>
      <c r="HSZ17" s="93"/>
      <c r="HTA17" s="88"/>
      <c r="HTB17" s="88"/>
      <c r="HTC17" s="90"/>
      <c r="HTD17" s="148"/>
      <c r="HTE17" s="88"/>
      <c r="HTF17" s="88"/>
      <c r="HTG17" s="90"/>
      <c r="HTH17" s="93"/>
      <c r="HTI17" s="88"/>
      <c r="HTJ17" s="88"/>
      <c r="HTK17" s="91"/>
      <c r="HTL17" s="93"/>
      <c r="HTM17" s="93"/>
      <c r="HTN17" s="88"/>
      <c r="HTO17" s="88"/>
      <c r="HTP17" s="90"/>
      <c r="HTQ17" s="148"/>
      <c r="HTR17" s="88"/>
      <c r="HTS17" s="88"/>
      <c r="HTT17" s="90"/>
      <c r="HTU17" s="93"/>
      <c r="HTV17" s="88"/>
      <c r="HTW17" s="88"/>
      <c r="HTX17" s="91"/>
      <c r="HTY17" s="93"/>
      <c r="HTZ17" s="93"/>
      <c r="HUA17" s="88"/>
      <c r="HUB17" s="88"/>
      <c r="HUC17" s="90"/>
      <c r="HUD17" s="148"/>
      <c r="HUE17" s="88"/>
      <c r="HUF17" s="88"/>
      <c r="HUG17" s="90"/>
      <c r="HUH17" s="93"/>
      <c r="HUI17" s="88"/>
      <c r="HUJ17" s="88"/>
      <c r="HUK17" s="91"/>
      <c r="HUL17" s="93"/>
      <c r="HUM17" s="93"/>
      <c r="HUN17" s="88"/>
      <c r="HUO17" s="88"/>
      <c r="HUP17" s="90"/>
      <c r="HUQ17" s="148"/>
      <c r="HUR17" s="88"/>
      <c r="HUS17" s="88"/>
      <c r="HUT17" s="90"/>
      <c r="HUU17" s="93"/>
      <c r="HUV17" s="88"/>
      <c r="HUW17" s="88"/>
      <c r="HUX17" s="91"/>
      <c r="HUY17" s="93"/>
      <c r="HUZ17" s="93"/>
      <c r="HVA17" s="88"/>
      <c r="HVB17" s="88"/>
      <c r="HVC17" s="90"/>
      <c r="HVD17" s="148"/>
      <c r="HVE17" s="88"/>
      <c r="HVF17" s="88"/>
      <c r="HVG17" s="90"/>
      <c r="HVH17" s="93"/>
      <c r="HVI17" s="88"/>
      <c r="HVJ17" s="88"/>
      <c r="HVK17" s="91"/>
      <c r="HVL17" s="93"/>
      <c r="HVM17" s="93"/>
      <c r="HVN17" s="88"/>
      <c r="HVO17" s="88"/>
      <c r="HVP17" s="90"/>
      <c r="HVQ17" s="148"/>
      <c r="HVR17" s="88"/>
      <c r="HVS17" s="88"/>
      <c r="HVT17" s="90"/>
      <c r="HVU17" s="93"/>
      <c r="HVV17" s="88"/>
      <c r="HVW17" s="88"/>
      <c r="HVX17" s="91"/>
      <c r="HVY17" s="93"/>
      <c r="HVZ17" s="93"/>
      <c r="HWA17" s="88"/>
      <c r="HWB17" s="88"/>
      <c r="HWC17" s="90"/>
      <c r="HWD17" s="148"/>
      <c r="HWE17" s="88"/>
      <c r="HWF17" s="88"/>
      <c r="HWG17" s="90"/>
      <c r="HWH17" s="93"/>
      <c r="HWI17" s="88"/>
      <c r="HWJ17" s="88"/>
      <c r="HWK17" s="91"/>
      <c r="HWL17" s="93"/>
      <c r="HWM17" s="93"/>
      <c r="HWN17" s="88"/>
      <c r="HWO17" s="88"/>
      <c r="HWP17" s="90"/>
      <c r="HWQ17" s="148"/>
      <c r="HWR17" s="88"/>
      <c r="HWS17" s="88"/>
      <c r="HWT17" s="90"/>
      <c r="HWU17" s="93"/>
      <c r="HWV17" s="88"/>
      <c r="HWW17" s="88"/>
      <c r="HWX17" s="91"/>
      <c r="HWY17" s="93"/>
      <c r="HWZ17" s="93"/>
      <c r="HXA17" s="88"/>
      <c r="HXB17" s="88"/>
      <c r="HXC17" s="90"/>
      <c r="HXD17" s="148"/>
      <c r="HXE17" s="88"/>
      <c r="HXF17" s="88"/>
      <c r="HXG17" s="90"/>
      <c r="HXH17" s="93"/>
      <c r="HXI17" s="88"/>
      <c r="HXJ17" s="88"/>
      <c r="HXK17" s="91"/>
      <c r="HXL17" s="93"/>
      <c r="HXM17" s="93"/>
      <c r="HXN17" s="88"/>
      <c r="HXO17" s="88"/>
      <c r="HXP17" s="90"/>
      <c r="HXQ17" s="148"/>
      <c r="HXR17" s="88"/>
      <c r="HXS17" s="88"/>
      <c r="HXT17" s="90"/>
      <c r="HXU17" s="93"/>
      <c r="HXV17" s="88"/>
      <c r="HXW17" s="88"/>
      <c r="HXX17" s="91"/>
      <c r="HXY17" s="93"/>
      <c r="HXZ17" s="93"/>
      <c r="HYA17" s="88"/>
      <c r="HYB17" s="88"/>
      <c r="HYC17" s="90"/>
      <c r="HYD17" s="148"/>
      <c r="HYE17" s="88"/>
      <c r="HYF17" s="88"/>
      <c r="HYG17" s="90"/>
      <c r="HYH17" s="93"/>
      <c r="HYI17" s="88"/>
      <c r="HYJ17" s="88"/>
      <c r="HYK17" s="91"/>
      <c r="HYL17" s="93"/>
      <c r="HYM17" s="93"/>
      <c r="HYN17" s="88"/>
      <c r="HYO17" s="88"/>
      <c r="HYP17" s="90"/>
      <c r="HYQ17" s="148"/>
      <c r="HYR17" s="88"/>
      <c r="HYS17" s="88"/>
      <c r="HYT17" s="90"/>
      <c r="HYU17" s="93"/>
      <c r="HYV17" s="88"/>
      <c r="HYW17" s="88"/>
      <c r="HYX17" s="91"/>
      <c r="HYY17" s="93"/>
      <c r="HYZ17" s="93"/>
      <c r="HZA17" s="88"/>
      <c r="HZB17" s="88"/>
      <c r="HZC17" s="90"/>
      <c r="HZD17" s="148"/>
      <c r="HZE17" s="88"/>
      <c r="HZF17" s="88"/>
      <c r="HZG17" s="90"/>
      <c r="HZH17" s="93"/>
      <c r="HZI17" s="88"/>
      <c r="HZJ17" s="88"/>
      <c r="HZK17" s="91"/>
      <c r="HZL17" s="93"/>
      <c r="HZM17" s="93"/>
      <c r="HZN17" s="88"/>
      <c r="HZO17" s="88"/>
      <c r="HZP17" s="90"/>
      <c r="HZQ17" s="148"/>
      <c r="HZR17" s="88"/>
      <c r="HZS17" s="88"/>
      <c r="HZT17" s="90"/>
      <c r="HZU17" s="93"/>
      <c r="HZV17" s="88"/>
      <c r="HZW17" s="88"/>
      <c r="HZX17" s="91"/>
      <c r="HZY17" s="93"/>
      <c r="HZZ17" s="93"/>
      <c r="IAA17" s="88"/>
      <c r="IAB17" s="88"/>
      <c r="IAC17" s="90"/>
      <c r="IAD17" s="148"/>
      <c r="IAE17" s="88"/>
      <c r="IAF17" s="88"/>
      <c r="IAG17" s="90"/>
      <c r="IAH17" s="93"/>
      <c r="IAI17" s="88"/>
      <c r="IAJ17" s="88"/>
      <c r="IAK17" s="91"/>
      <c r="IAL17" s="93"/>
      <c r="IAM17" s="93"/>
      <c r="IAN17" s="88"/>
      <c r="IAO17" s="88"/>
      <c r="IAP17" s="90"/>
      <c r="IAQ17" s="148"/>
      <c r="IAR17" s="88"/>
      <c r="IAS17" s="88"/>
      <c r="IAT17" s="90"/>
      <c r="IAU17" s="93"/>
      <c r="IAV17" s="88"/>
      <c r="IAW17" s="88"/>
      <c r="IAX17" s="91"/>
      <c r="IAY17" s="93"/>
      <c r="IAZ17" s="93"/>
      <c r="IBA17" s="88"/>
      <c r="IBB17" s="88"/>
      <c r="IBC17" s="90"/>
      <c r="IBD17" s="148"/>
      <c r="IBE17" s="88"/>
      <c r="IBF17" s="88"/>
      <c r="IBG17" s="90"/>
      <c r="IBH17" s="93"/>
      <c r="IBI17" s="88"/>
      <c r="IBJ17" s="88"/>
      <c r="IBK17" s="91"/>
      <c r="IBL17" s="93"/>
      <c r="IBM17" s="93"/>
      <c r="IBN17" s="88"/>
      <c r="IBO17" s="88"/>
      <c r="IBP17" s="90"/>
      <c r="IBQ17" s="148"/>
      <c r="IBR17" s="88"/>
      <c r="IBS17" s="88"/>
      <c r="IBT17" s="90"/>
      <c r="IBU17" s="93"/>
      <c r="IBV17" s="88"/>
      <c r="IBW17" s="88"/>
      <c r="IBX17" s="91"/>
      <c r="IBY17" s="93"/>
      <c r="IBZ17" s="93"/>
      <c r="ICA17" s="88"/>
      <c r="ICB17" s="88"/>
      <c r="ICC17" s="90"/>
      <c r="ICD17" s="148"/>
      <c r="ICE17" s="88"/>
      <c r="ICF17" s="88"/>
      <c r="ICG17" s="90"/>
      <c r="ICH17" s="93"/>
      <c r="ICI17" s="88"/>
      <c r="ICJ17" s="88"/>
      <c r="ICK17" s="91"/>
      <c r="ICL17" s="93"/>
      <c r="ICM17" s="93"/>
      <c r="ICN17" s="88"/>
      <c r="ICO17" s="88"/>
      <c r="ICP17" s="90"/>
      <c r="ICQ17" s="148"/>
      <c r="ICR17" s="88"/>
      <c r="ICS17" s="88"/>
      <c r="ICT17" s="90"/>
      <c r="ICU17" s="93"/>
      <c r="ICV17" s="88"/>
      <c r="ICW17" s="88"/>
      <c r="ICX17" s="91"/>
      <c r="ICY17" s="93"/>
      <c r="ICZ17" s="93"/>
      <c r="IDA17" s="88"/>
      <c r="IDB17" s="88"/>
      <c r="IDC17" s="90"/>
      <c r="IDD17" s="148"/>
      <c r="IDE17" s="88"/>
      <c r="IDF17" s="88"/>
      <c r="IDG17" s="90"/>
      <c r="IDH17" s="93"/>
      <c r="IDI17" s="88"/>
      <c r="IDJ17" s="88"/>
      <c r="IDK17" s="91"/>
      <c r="IDL17" s="93"/>
      <c r="IDM17" s="93"/>
      <c r="IDN17" s="88"/>
      <c r="IDO17" s="88"/>
      <c r="IDP17" s="90"/>
      <c r="IDQ17" s="148"/>
      <c r="IDR17" s="88"/>
      <c r="IDS17" s="88"/>
      <c r="IDT17" s="90"/>
      <c r="IDU17" s="93"/>
      <c r="IDV17" s="88"/>
      <c r="IDW17" s="88"/>
      <c r="IDX17" s="91"/>
      <c r="IDY17" s="93"/>
      <c r="IDZ17" s="93"/>
      <c r="IEA17" s="88"/>
      <c r="IEB17" s="88"/>
      <c r="IEC17" s="90"/>
      <c r="IED17" s="148"/>
      <c r="IEE17" s="88"/>
      <c r="IEF17" s="88"/>
      <c r="IEG17" s="90"/>
      <c r="IEH17" s="93"/>
      <c r="IEI17" s="88"/>
      <c r="IEJ17" s="88"/>
      <c r="IEK17" s="91"/>
      <c r="IEL17" s="93"/>
      <c r="IEM17" s="93"/>
      <c r="IEN17" s="88"/>
      <c r="IEO17" s="88"/>
      <c r="IEP17" s="90"/>
      <c r="IEQ17" s="148"/>
      <c r="IER17" s="88"/>
      <c r="IES17" s="88"/>
      <c r="IET17" s="90"/>
      <c r="IEU17" s="93"/>
      <c r="IEV17" s="88"/>
      <c r="IEW17" s="88"/>
      <c r="IEX17" s="91"/>
      <c r="IEY17" s="93"/>
      <c r="IEZ17" s="93"/>
      <c r="IFA17" s="88"/>
      <c r="IFB17" s="88"/>
      <c r="IFC17" s="90"/>
      <c r="IFD17" s="148"/>
      <c r="IFE17" s="88"/>
      <c r="IFF17" s="88"/>
      <c r="IFG17" s="90"/>
      <c r="IFH17" s="93"/>
      <c r="IFI17" s="88"/>
      <c r="IFJ17" s="88"/>
      <c r="IFK17" s="91"/>
      <c r="IFL17" s="93"/>
      <c r="IFM17" s="93"/>
      <c r="IFN17" s="88"/>
      <c r="IFO17" s="88"/>
      <c r="IFP17" s="90"/>
      <c r="IFQ17" s="148"/>
      <c r="IFR17" s="88"/>
      <c r="IFS17" s="88"/>
      <c r="IFT17" s="90"/>
      <c r="IFU17" s="93"/>
      <c r="IFV17" s="88"/>
      <c r="IFW17" s="88"/>
      <c r="IFX17" s="91"/>
      <c r="IFY17" s="93"/>
      <c r="IFZ17" s="93"/>
      <c r="IGA17" s="88"/>
      <c r="IGB17" s="88"/>
      <c r="IGC17" s="90"/>
      <c r="IGD17" s="148"/>
      <c r="IGE17" s="88"/>
      <c r="IGF17" s="88"/>
      <c r="IGG17" s="90"/>
      <c r="IGH17" s="93"/>
      <c r="IGI17" s="88"/>
      <c r="IGJ17" s="88"/>
      <c r="IGK17" s="91"/>
      <c r="IGL17" s="93"/>
      <c r="IGM17" s="93"/>
      <c r="IGN17" s="88"/>
      <c r="IGO17" s="88"/>
      <c r="IGP17" s="90"/>
      <c r="IGQ17" s="148"/>
      <c r="IGR17" s="88"/>
      <c r="IGS17" s="88"/>
      <c r="IGT17" s="90"/>
      <c r="IGU17" s="93"/>
      <c r="IGV17" s="88"/>
      <c r="IGW17" s="88"/>
      <c r="IGX17" s="91"/>
      <c r="IGY17" s="93"/>
      <c r="IGZ17" s="93"/>
      <c r="IHA17" s="88"/>
      <c r="IHB17" s="88"/>
      <c r="IHC17" s="90"/>
      <c r="IHD17" s="148"/>
      <c r="IHE17" s="88"/>
      <c r="IHF17" s="88"/>
      <c r="IHG17" s="90"/>
      <c r="IHH17" s="93"/>
      <c r="IHI17" s="88"/>
      <c r="IHJ17" s="88"/>
      <c r="IHK17" s="91"/>
      <c r="IHL17" s="93"/>
      <c r="IHM17" s="93"/>
      <c r="IHN17" s="88"/>
      <c r="IHO17" s="88"/>
      <c r="IHP17" s="90"/>
      <c r="IHQ17" s="148"/>
      <c r="IHR17" s="88"/>
      <c r="IHS17" s="88"/>
      <c r="IHT17" s="90"/>
      <c r="IHU17" s="93"/>
      <c r="IHV17" s="88"/>
      <c r="IHW17" s="88"/>
      <c r="IHX17" s="91"/>
      <c r="IHY17" s="93"/>
      <c r="IHZ17" s="93"/>
      <c r="IIA17" s="88"/>
      <c r="IIB17" s="88"/>
      <c r="IIC17" s="90"/>
      <c r="IID17" s="148"/>
      <c r="IIE17" s="88"/>
      <c r="IIF17" s="88"/>
      <c r="IIG17" s="90"/>
      <c r="IIH17" s="93"/>
      <c r="III17" s="88"/>
      <c r="IIJ17" s="88"/>
      <c r="IIK17" s="91"/>
      <c r="IIL17" s="93"/>
      <c r="IIM17" s="93"/>
      <c r="IIN17" s="88"/>
      <c r="IIO17" s="88"/>
      <c r="IIP17" s="90"/>
      <c r="IIQ17" s="148"/>
      <c r="IIR17" s="88"/>
      <c r="IIS17" s="88"/>
      <c r="IIT17" s="90"/>
      <c r="IIU17" s="93"/>
      <c r="IIV17" s="88"/>
      <c r="IIW17" s="88"/>
      <c r="IIX17" s="91"/>
      <c r="IIY17" s="93"/>
      <c r="IIZ17" s="93"/>
      <c r="IJA17" s="88"/>
      <c r="IJB17" s="88"/>
      <c r="IJC17" s="90"/>
      <c r="IJD17" s="148"/>
      <c r="IJE17" s="88"/>
      <c r="IJF17" s="88"/>
      <c r="IJG17" s="90"/>
      <c r="IJH17" s="93"/>
      <c r="IJI17" s="88"/>
      <c r="IJJ17" s="88"/>
      <c r="IJK17" s="91"/>
      <c r="IJL17" s="93"/>
      <c r="IJM17" s="93"/>
      <c r="IJN17" s="88"/>
      <c r="IJO17" s="88"/>
      <c r="IJP17" s="90"/>
      <c r="IJQ17" s="148"/>
      <c r="IJR17" s="88"/>
      <c r="IJS17" s="88"/>
      <c r="IJT17" s="90"/>
      <c r="IJU17" s="93"/>
      <c r="IJV17" s="88"/>
      <c r="IJW17" s="88"/>
      <c r="IJX17" s="91"/>
      <c r="IJY17" s="93"/>
      <c r="IJZ17" s="93"/>
      <c r="IKA17" s="88"/>
      <c r="IKB17" s="88"/>
      <c r="IKC17" s="90"/>
      <c r="IKD17" s="148"/>
      <c r="IKE17" s="88"/>
      <c r="IKF17" s="88"/>
      <c r="IKG17" s="90"/>
      <c r="IKH17" s="93"/>
      <c r="IKI17" s="88"/>
      <c r="IKJ17" s="88"/>
      <c r="IKK17" s="91"/>
      <c r="IKL17" s="93"/>
      <c r="IKM17" s="93"/>
      <c r="IKN17" s="88"/>
      <c r="IKO17" s="88"/>
      <c r="IKP17" s="90"/>
      <c r="IKQ17" s="148"/>
      <c r="IKR17" s="88"/>
      <c r="IKS17" s="88"/>
      <c r="IKT17" s="90"/>
      <c r="IKU17" s="93"/>
      <c r="IKV17" s="88"/>
      <c r="IKW17" s="88"/>
      <c r="IKX17" s="91"/>
      <c r="IKY17" s="93"/>
      <c r="IKZ17" s="93"/>
      <c r="ILA17" s="88"/>
      <c r="ILB17" s="88"/>
      <c r="ILC17" s="90"/>
      <c r="ILD17" s="148"/>
      <c r="ILE17" s="88"/>
      <c r="ILF17" s="88"/>
      <c r="ILG17" s="90"/>
      <c r="ILH17" s="93"/>
      <c r="ILI17" s="88"/>
      <c r="ILJ17" s="88"/>
      <c r="ILK17" s="91"/>
      <c r="ILL17" s="93"/>
      <c r="ILM17" s="93"/>
      <c r="ILN17" s="88"/>
      <c r="ILO17" s="88"/>
      <c r="ILP17" s="90"/>
      <c r="ILQ17" s="148"/>
      <c r="ILR17" s="88"/>
      <c r="ILS17" s="88"/>
      <c r="ILT17" s="90"/>
      <c r="ILU17" s="93"/>
      <c r="ILV17" s="88"/>
      <c r="ILW17" s="88"/>
      <c r="ILX17" s="91"/>
      <c r="ILY17" s="93"/>
      <c r="ILZ17" s="93"/>
      <c r="IMA17" s="88"/>
      <c r="IMB17" s="88"/>
      <c r="IMC17" s="90"/>
      <c r="IMD17" s="148"/>
      <c r="IME17" s="88"/>
      <c r="IMF17" s="88"/>
      <c r="IMG17" s="90"/>
      <c r="IMH17" s="93"/>
      <c r="IMI17" s="88"/>
      <c r="IMJ17" s="88"/>
      <c r="IMK17" s="91"/>
      <c r="IML17" s="93"/>
      <c r="IMM17" s="93"/>
      <c r="IMN17" s="88"/>
      <c r="IMO17" s="88"/>
      <c r="IMP17" s="90"/>
      <c r="IMQ17" s="148"/>
      <c r="IMR17" s="88"/>
      <c r="IMS17" s="88"/>
      <c r="IMT17" s="90"/>
      <c r="IMU17" s="93"/>
      <c r="IMV17" s="88"/>
      <c r="IMW17" s="88"/>
      <c r="IMX17" s="91"/>
      <c r="IMY17" s="93"/>
      <c r="IMZ17" s="93"/>
      <c r="INA17" s="88"/>
      <c r="INB17" s="88"/>
      <c r="INC17" s="90"/>
      <c r="IND17" s="148"/>
      <c r="INE17" s="88"/>
      <c r="INF17" s="88"/>
      <c r="ING17" s="90"/>
      <c r="INH17" s="93"/>
      <c r="INI17" s="88"/>
      <c r="INJ17" s="88"/>
      <c r="INK17" s="91"/>
      <c r="INL17" s="93"/>
      <c r="INM17" s="93"/>
      <c r="INN17" s="88"/>
      <c r="INO17" s="88"/>
      <c r="INP17" s="90"/>
      <c r="INQ17" s="148"/>
      <c r="INR17" s="88"/>
      <c r="INS17" s="88"/>
      <c r="INT17" s="90"/>
      <c r="INU17" s="93"/>
      <c r="INV17" s="88"/>
      <c r="INW17" s="88"/>
      <c r="INX17" s="91"/>
      <c r="INY17" s="93"/>
      <c r="INZ17" s="93"/>
      <c r="IOA17" s="88"/>
      <c r="IOB17" s="88"/>
      <c r="IOC17" s="90"/>
      <c r="IOD17" s="148"/>
      <c r="IOE17" s="88"/>
      <c r="IOF17" s="88"/>
      <c r="IOG17" s="90"/>
      <c r="IOH17" s="93"/>
      <c r="IOI17" s="88"/>
      <c r="IOJ17" s="88"/>
      <c r="IOK17" s="91"/>
      <c r="IOL17" s="93"/>
      <c r="IOM17" s="93"/>
      <c r="ION17" s="88"/>
      <c r="IOO17" s="88"/>
      <c r="IOP17" s="90"/>
      <c r="IOQ17" s="148"/>
      <c r="IOR17" s="88"/>
      <c r="IOS17" s="88"/>
      <c r="IOT17" s="90"/>
      <c r="IOU17" s="93"/>
      <c r="IOV17" s="88"/>
      <c r="IOW17" s="88"/>
      <c r="IOX17" s="91"/>
      <c r="IOY17" s="93"/>
      <c r="IOZ17" s="93"/>
      <c r="IPA17" s="88"/>
      <c r="IPB17" s="88"/>
      <c r="IPC17" s="90"/>
      <c r="IPD17" s="148"/>
      <c r="IPE17" s="88"/>
      <c r="IPF17" s="88"/>
      <c r="IPG17" s="90"/>
      <c r="IPH17" s="93"/>
      <c r="IPI17" s="88"/>
      <c r="IPJ17" s="88"/>
      <c r="IPK17" s="91"/>
      <c r="IPL17" s="93"/>
      <c r="IPM17" s="93"/>
      <c r="IPN17" s="88"/>
      <c r="IPO17" s="88"/>
      <c r="IPP17" s="90"/>
      <c r="IPQ17" s="148"/>
      <c r="IPR17" s="88"/>
      <c r="IPS17" s="88"/>
      <c r="IPT17" s="90"/>
      <c r="IPU17" s="93"/>
      <c r="IPV17" s="88"/>
      <c r="IPW17" s="88"/>
      <c r="IPX17" s="91"/>
      <c r="IPY17" s="93"/>
      <c r="IPZ17" s="93"/>
      <c r="IQA17" s="88"/>
      <c r="IQB17" s="88"/>
      <c r="IQC17" s="90"/>
      <c r="IQD17" s="148"/>
      <c r="IQE17" s="88"/>
      <c r="IQF17" s="88"/>
      <c r="IQG17" s="90"/>
      <c r="IQH17" s="93"/>
      <c r="IQI17" s="88"/>
      <c r="IQJ17" s="88"/>
      <c r="IQK17" s="91"/>
      <c r="IQL17" s="93"/>
      <c r="IQM17" s="93"/>
      <c r="IQN17" s="88"/>
      <c r="IQO17" s="88"/>
      <c r="IQP17" s="90"/>
      <c r="IQQ17" s="148"/>
      <c r="IQR17" s="88"/>
      <c r="IQS17" s="88"/>
      <c r="IQT17" s="90"/>
      <c r="IQU17" s="93"/>
      <c r="IQV17" s="88"/>
      <c r="IQW17" s="88"/>
      <c r="IQX17" s="91"/>
      <c r="IQY17" s="93"/>
      <c r="IQZ17" s="93"/>
      <c r="IRA17" s="88"/>
      <c r="IRB17" s="88"/>
      <c r="IRC17" s="90"/>
      <c r="IRD17" s="148"/>
      <c r="IRE17" s="88"/>
      <c r="IRF17" s="88"/>
      <c r="IRG17" s="90"/>
      <c r="IRH17" s="93"/>
      <c r="IRI17" s="88"/>
      <c r="IRJ17" s="88"/>
      <c r="IRK17" s="91"/>
      <c r="IRL17" s="93"/>
      <c r="IRM17" s="93"/>
      <c r="IRN17" s="88"/>
      <c r="IRO17" s="88"/>
      <c r="IRP17" s="90"/>
      <c r="IRQ17" s="148"/>
      <c r="IRR17" s="88"/>
      <c r="IRS17" s="88"/>
      <c r="IRT17" s="90"/>
      <c r="IRU17" s="93"/>
      <c r="IRV17" s="88"/>
      <c r="IRW17" s="88"/>
      <c r="IRX17" s="91"/>
      <c r="IRY17" s="93"/>
      <c r="IRZ17" s="93"/>
      <c r="ISA17" s="88"/>
      <c r="ISB17" s="88"/>
      <c r="ISC17" s="90"/>
      <c r="ISD17" s="148"/>
      <c r="ISE17" s="88"/>
      <c r="ISF17" s="88"/>
      <c r="ISG17" s="90"/>
      <c r="ISH17" s="93"/>
      <c r="ISI17" s="88"/>
      <c r="ISJ17" s="88"/>
      <c r="ISK17" s="91"/>
      <c r="ISL17" s="93"/>
      <c r="ISM17" s="93"/>
      <c r="ISN17" s="88"/>
      <c r="ISO17" s="88"/>
      <c r="ISP17" s="90"/>
      <c r="ISQ17" s="148"/>
      <c r="ISR17" s="88"/>
      <c r="ISS17" s="88"/>
      <c r="IST17" s="90"/>
      <c r="ISU17" s="93"/>
      <c r="ISV17" s="88"/>
      <c r="ISW17" s="88"/>
      <c r="ISX17" s="91"/>
      <c r="ISY17" s="93"/>
      <c r="ISZ17" s="93"/>
      <c r="ITA17" s="88"/>
      <c r="ITB17" s="88"/>
      <c r="ITC17" s="90"/>
      <c r="ITD17" s="148"/>
      <c r="ITE17" s="88"/>
      <c r="ITF17" s="88"/>
      <c r="ITG17" s="90"/>
      <c r="ITH17" s="93"/>
      <c r="ITI17" s="88"/>
      <c r="ITJ17" s="88"/>
      <c r="ITK17" s="91"/>
      <c r="ITL17" s="93"/>
      <c r="ITM17" s="93"/>
      <c r="ITN17" s="88"/>
      <c r="ITO17" s="88"/>
      <c r="ITP17" s="90"/>
      <c r="ITQ17" s="148"/>
      <c r="ITR17" s="88"/>
      <c r="ITS17" s="88"/>
      <c r="ITT17" s="90"/>
      <c r="ITU17" s="93"/>
      <c r="ITV17" s="88"/>
      <c r="ITW17" s="88"/>
      <c r="ITX17" s="91"/>
      <c r="ITY17" s="93"/>
      <c r="ITZ17" s="93"/>
      <c r="IUA17" s="88"/>
      <c r="IUB17" s="88"/>
      <c r="IUC17" s="90"/>
      <c r="IUD17" s="148"/>
      <c r="IUE17" s="88"/>
      <c r="IUF17" s="88"/>
      <c r="IUG17" s="90"/>
      <c r="IUH17" s="93"/>
      <c r="IUI17" s="88"/>
      <c r="IUJ17" s="88"/>
      <c r="IUK17" s="91"/>
      <c r="IUL17" s="93"/>
      <c r="IUM17" s="93"/>
      <c r="IUN17" s="88"/>
      <c r="IUO17" s="88"/>
      <c r="IUP17" s="90"/>
      <c r="IUQ17" s="148"/>
      <c r="IUR17" s="88"/>
      <c r="IUS17" s="88"/>
      <c r="IUT17" s="90"/>
      <c r="IUU17" s="93"/>
      <c r="IUV17" s="88"/>
      <c r="IUW17" s="88"/>
      <c r="IUX17" s="91"/>
      <c r="IUY17" s="93"/>
      <c r="IUZ17" s="93"/>
      <c r="IVA17" s="88"/>
      <c r="IVB17" s="88"/>
      <c r="IVC17" s="90"/>
      <c r="IVD17" s="148"/>
      <c r="IVE17" s="88"/>
      <c r="IVF17" s="88"/>
      <c r="IVG17" s="90"/>
      <c r="IVH17" s="93"/>
      <c r="IVI17" s="88"/>
      <c r="IVJ17" s="88"/>
      <c r="IVK17" s="91"/>
      <c r="IVL17" s="93"/>
      <c r="IVM17" s="93"/>
      <c r="IVN17" s="88"/>
      <c r="IVO17" s="88"/>
      <c r="IVP17" s="90"/>
      <c r="IVQ17" s="148"/>
      <c r="IVR17" s="88"/>
      <c r="IVS17" s="88"/>
      <c r="IVT17" s="90"/>
      <c r="IVU17" s="93"/>
      <c r="IVV17" s="88"/>
      <c r="IVW17" s="88"/>
      <c r="IVX17" s="91"/>
      <c r="IVY17" s="93"/>
      <c r="IVZ17" s="93"/>
      <c r="IWA17" s="88"/>
      <c r="IWB17" s="88"/>
      <c r="IWC17" s="90"/>
      <c r="IWD17" s="148"/>
      <c r="IWE17" s="88"/>
      <c r="IWF17" s="88"/>
      <c r="IWG17" s="90"/>
      <c r="IWH17" s="93"/>
      <c r="IWI17" s="88"/>
      <c r="IWJ17" s="88"/>
      <c r="IWK17" s="91"/>
      <c r="IWL17" s="93"/>
      <c r="IWM17" s="93"/>
      <c r="IWN17" s="88"/>
      <c r="IWO17" s="88"/>
      <c r="IWP17" s="90"/>
      <c r="IWQ17" s="148"/>
      <c r="IWR17" s="88"/>
      <c r="IWS17" s="88"/>
      <c r="IWT17" s="90"/>
      <c r="IWU17" s="93"/>
      <c r="IWV17" s="88"/>
      <c r="IWW17" s="88"/>
      <c r="IWX17" s="91"/>
      <c r="IWY17" s="93"/>
      <c r="IWZ17" s="93"/>
      <c r="IXA17" s="88"/>
      <c r="IXB17" s="88"/>
      <c r="IXC17" s="90"/>
      <c r="IXD17" s="148"/>
      <c r="IXE17" s="88"/>
      <c r="IXF17" s="88"/>
      <c r="IXG17" s="90"/>
      <c r="IXH17" s="93"/>
      <c r="IXI17" s="88"/>
      <c r="IXJ17" s="88"/>
      <c r="IXK17" s="91"/>
      <c r="IXL17" s="93"/>
      <c r="IXM17" s="93"/>
      <c r="IXN17" s="88"/>
      <c r="IXO17" s="88"/>
      <c r="IXP17" s="90"/>
      <c r="IXQ17" s="148"/>
      <c r="IXR17" s="88"/>
      <c r="IXS17" s="88"/>
      <c r="IXT17" s="90"/>
      <c r="IXU17" s="93"/>
      <c r="IXV17" s="88"/>
      <c r="IXW17" s="88"/>
      <c r="IXX17" s="91"/>
      <c r="IXY17" s="93"/>
      <c r="IXZ17" s="93"/>
      <c r="IYA17" s="88"/>
      <c r="IYB17" s="88"/>
      <c r="IYC17" s="90"/>
      <c r="IYD17" s="148"/>
      <c r="IYE17" s="88"/>
      <c r="IYF17" s="88"/>
      <c r="IYG17" s="90"/>
      <c r="IYH17" s="93"/>
      <c r="IYI17" s="88"/>
      <c r="IYJ17" s="88"/>
      <c r="IYK17" s="91"/>
      <c r="IYL17" s="93"/>
      <c r="IYM17" s="93"/>
      <c r="IYN17" s="88"/>
      <c r="IYO17" s="88"/>
      <c r="IYP17" s="90"/>
      <c r="IYQ17" s="148"/>
      <c r="IYR17" s="88"/>
      <c r="IYS17" s="88"/>
      <c r="IYT17" s="90"/>
      <c r="IYU17" s="93"/>
      <c r="IYV17" s="88"/>
      <c r="IYW17" s="88"/>
      <c r="IYX17" s="91"/>
      <c r="IYY17" s="93"/>
      <c r="IYZ17" s="93"/>
      <c r="IZA17" s="88"/>
      <c r="IZB17" s="88"/>
      <c r="IZC17" s="90"/>
      <c r="IZD17" s="148"/>
      <c r="IZE17" s="88"/>
      <c r="IZF17" s="88"/>
      <c r="IZG17" s="90"/>
      <c r="IZH17" s="93"/>
      <c r="IZI17" s="88"/>
      <c r="IZJ17" s="88"/>
      <c r="IZK17" s="91"/>
      <c r="IZL17" s="93"/>
      <c r="IZM17" s="93"/>
      <c r="IZN17" s="88"/>
      <c r="IZO17" s="88"/>
      <c r="IZP17" s="90"/>
      <c r="IZQ17" s="148"/>
      <c r="IZR17" s="88"/>
      <c r="IZS17" s="88"/>
      <c r="IZT17" s="90"/>
      <c r="IZU17" s="93"/>
      <c r="IZV17" s="88"/>
      <c r="IZW17" s="88"/>
      <c r="IZX17" s="91"/>
      <c r="IZY17" s="93"/>
      <c r="IZZ17" s="93"/>
      <c r="JAA17" s="88"/>
      <c r="JAB17" s="88"/>
      <c r="JAC17" s="90"/>
      <c r="JAD17" s="148"/>
      <c r="JAE17" s="88"/>
      <c r="JAF17" s="88"/>
      <c r="JAG17" s="90"/>
      <c r="JAH17" s="93"/>
      <c r="JAI17" s="88"/>
      <c r="JAJ17" s="88"/>
      <c r="JAK17" s="91"/>
      <c r="JAL17" s="93"/>
      <c r="JAM17" s="93"/>
      <c r="JAN17" s="88"/>
      <c r="JAO17" s="88"/>
      <c r="JAP17" s="90"/>
      <c r="JAQ17" s="148"/>
      <c r="JAR17" s="88"/>
      <c r="JAS17" s="88"/>
      <c r="JAT17" s="90"/>
      <c r="JAU17" s="93"/>
      <c r="JAV17" s="88"/>
      <c r="JAW17" s="88"/>
      <c r="JAX17" s="91"/>
      <c r="JAY17" s="93"/>
      <c r="JAZ17" s="93"/>
      <c r="JBA17" s="88"/>
      <c r="JBB17" s="88"/>
      <c r="JBC17" s="90"/>
      <c r="JBD17" s="148"/>
      <c r="JBE17" s="88"/>
      <c r="JBF17" s="88"/>
      <c r="JBG17" s="90"/>
      <c r="JBH17" s="93"/>
      <c r="JBI17" s="88"/>
      <c r="JBJ17" s="88"/>
      <c r="JBK17" s="91"/>
      <c r="JBL17" s="93"/>
      <c r="JBM17" s="93"/>
      <c r="JBN17" s="88"/>
      <c r="JBO17" s="88"/>
      <c r="JBP17" s="90"/>
      <c r="JBQ17" s="148"/>
      <c r="JBR17" s="88"/>
      <c r="JBS17" s="88"/>
      <c r="JBT17" s="90"/>
      <c r="JBU17" s="93"/>
      <c r="JBV17" s="88"/>
      <c r="JBW17" s="88"/>
      <c r="JBX17" s="91"/>
      <c r="JBY17" s="93"/>
      <c r="JBZ17" s="93"/>
      <c r="JCA17" s="88"/>
      <c r="JCB17" s="88"/>
      <c r="JCC17" s="90"/>
      <c r="JCD17" s="148"/>
      <c r="JCE17" s="88"/>
      <c r="JCF17" s="88"/>
      <c r="JCG17" s="90"/>
      <c r="JCH17" s="93"/>
      <c r="JCI17" s="88"/>
      <c r="JCJ17" s="88"/>
      <c r="JCK17" s="91"/>
      <c r="JCL17" s="93"/>
      <c r="JCM17" s="93"/>
      <c r="JCN17" s="88"/>
      <c r="JCO17" s="88"/>
      <c r="JCP17" s="90"/>
      <c r="JCQ17" s="148"/>
      <c r="JCR17" s="88"/>
      <c r="JCS17" s="88"/>
      <c r="JCT17" s="90"/>
      <c r="JCU17" s="93"/>
      <c r="JCV17" s="88"/>
      <c r="JCW17" s="88"/>
      <c r="JCX17" s="91"/>
      <c r="JCY17" s="93"/>
      <c r="JCZ17" s="93"/>
      <c r="JDA17" s="88"/>
      <c r="JDB17" s="88"/>
      <c r="JDC17" s="90"/>
      <c r="JDD17" s="148"/>
      <c r="JDE17" s="88"/>
      <c r="JDF17" s="88"/>
      <c r="JDG17" s="90"/>
      <c r="JDH17" s="93"/>
      <c r="JDI17" s="88"/>
      <c r="JDJ17" s="88"/>
      <c r="JDK17" s="91"/>
      <c r="JDL17" s="93"/>
      <c r="JDM17" s="93"/>
      <c r="JDN17" s="88"/>
      <c r="JDO17" s="88"/>
      <c r="JDP17" s="90"/>
      <c r="JDQ17" s="148"/>
      <c r="JDR17" s="88"/>
      <c r="JDS17" s="88"/>
      <c r="JDT17" s="90"/>
      <c r="JDU17" s="93"/>
      <c r="JDV17" s="88"/>
      <c r="JDW17" s="88"/>
      <c r="JDX17" s="91"/>
      <c r="JDY17" s="93"/>
      <c r="JDZ17" s="93"/>
      <c r="JEA17" s="88"/>
      <c r="JEB17" s="88"/>
      <c r="JEC17" s="90"/>
      <c r="JED17" s="148"/>
      <c r="JEE17" s="88"/>
      <c r="JEF17" s="88"/>
      <c r="JEG17" s="90"/>
      <c r="JEH17" s="93"/>
      <c r="JEI17" s="88"/>
      <c r="JEJ17" s="88"/>
      <c r="JEK17" s="91"/>
      <c r="JEL17" s="93"/>
      <c r="JEM17" s="93"/>
      <c r="JEN17" s="88"/>
      <c r="JEO17" s="88"/>
      <c r="JEP17" s="90"/>
      <c r="JEQ17" s="148"/>
      <c r="JER17" s="88"/>
      <c r="JES17" s="88"/>
      <c r="JET17" s="90"/>
      <c r="JEU17" s="93"/>
      <c r="JEV17" s="88"/>
      <c r="JEW17" s="88"/>
      <c r="JEX17" s="91"/>
      <c r="JEY17" s="93"/>
      <c r="JEZ17" s="93"/>
      <c r="JFA17" s="88"/>
      <c r="JFB17" s="88"/>
      <c r="JFC17" s="90"/>
      <c r="JFD17" s="148"/>
      <c r="JFE17" s="88"/>
      <c r="JFF17" s="88"/>
      <c r="JFG17" s="90"/>
      <c r="JFH17" s="93"/>
      <c r="JFI17" s="88"/>
      <c r="JFJ17" s="88"/>
      <c r="JFK17" s="91"/>
      <c r="JFL17" s="93"/>
      <c r="JFM17" s="93"/>
      <c r="JFN17" s="88"/>
      <c r="JFO17" s="88"/>
      <c r="JFP17" s="90"/>
      <c r="JFQ17" s="148"/>
      <c r="JFR17" s="88"/>
      <c r="JFS17" s="88"/>
      <c r="JFT17" s="90"/>
      <c r="JFU17" s="93"/>
      <c r="JFV17" s="88"/>
      <c r="JFW17" s="88"/>
      <c r="JFX17" s="91"/>
      <c r="JFY17" s="93"/>
      <c r="JFZ17" s="93"/>
      <c r="JGA17" s="88"/>
      <c r="JGB17" s="88"/>
      <c r="JGC17" s="90"/>
      <c r="JGD17" s="148"/>
      <c r="JGE17" s="88"/>
      <c r="JGF17" s="88"/>
      <c r="JGG17" s="90"/>
      <c r="JGH17" s="93"/>
      <c r="JGI17" s="88"/>
      <c r="JGJ17" s="88"/>
      <c r="JGK17" s="91"/>
      <c r="JGL17" s="93"/>
      <c r="JGM17" s="93"/>
      <c r="JGN17" s="88"/>
      <c r="JGO17" s="88"/>
      <c r="JGP17" s="90"/>
      <c r="JGQ17" s="148"/>
      <c r="JGR17" s="88"/>
      <c r="JGS17" s="88"/>
      <c r="JGT17" s="90"/>
      <c r="JGU17" s="93"/>
      <c r="JGV17" s="88"/>
      <c r="JGW17" s="88"/>
      <c r="JGX17" s="91"/>
      <c r="JGY17" s="93"/>
      <c r="JGZ17" s="93"/>
      <c r="JHA17" s="88"/>
      <c r="JHB17" s="88"/>
      <c r="JHC17" s="90"/>
      <c r="JHD17" s="148"/>
      <c r="JHE17" s="88"/>
      <c r="JHF17" s="88"/>
      <c r="JHG17" s="90"/>
      <c r="JHH17" s="93"/>
      <c r="JHI17" s="88"/>
      <c r="JHJ17" s="88"/>
      <c r="JHK17" s="91"/>
      <c r="JHL17" s="93"/>
      <c r="JHM17" s="93"/>
      <c r="JHN17" s="88"/>
      <c r="JHO17" s="88"/>
      <c r="JHP17" s="90"/>
      <c r="JHQ17" s="148"/>
      <c r="JHR17" s="88"/>
      <c r="JHS17" s="88"/>
      <c r="JHT17" s="90"/>
      <c r="JHU17" s="93"/>
      <c r="JHV17" s="88"/>
      <c r="JHW17" s="88"/>
      <c r="JHX17" s="91"/>
      <c r="JHY17" s="93"/>
      <c r="JHZ17" s="93"/>
      <c r="JIA17" s="88"/>
      <c r="JIB17" s="88"/>
      <c r="JIC17" s="90"/>
      <c r="JID17" s="148"/>
      <c r="JIE17" s="88"/>
      <c r="JIF17" s="88"/>
      <c r="JIG17" s="90"/>
      <c r="JIH17" s="93"/>
      <c r="JII17" s="88"/>
      <c r="JIJ17" s="88"/>
      <c r="JIK17" s="91"/>
      <c r="JIL17" s="93"/>
      <c r="JIM17" s="93"/>
      <c r="JIN17" s="88"/>
      <c r="JIO17" s="88"/>
      <c r="JIP17" s="90"/>
      <c r="JIQ17" s="148"/>
      <c r="JIR17" s="88"/>
      <c r="JIS17" s="88"/>
      <c r="JIT17" s="90"/>
      <c r="JIU17" s="93"/>
      <c r="JIV17" s="88"/>
      <c r="JIW17" s="88"/>
      <c r="JIX17" s="91"/>
      <c r="JIY17" s="93"/>
      <c r="JIZ17" s="93"/>
      <c r="JJA17" s="88"/>
      <c r="JJB17" s="88"/>
      <c r="JJC17" s="90"/>
      <c r="JJD17" s="148"/>
      <c r="JJE17" s="88"/>
      <c r="JJF17" s="88"/>
      <c r="JJG17" s="90"/>
      <c r="JJH17" s="93"/>
      <c r="JJI17" s="88"/>
      <c r="JJJ17" s="88"/>
      <c r="JJK17" s="91"/>
      <c r="JJL17" s="93"/>
      <c r="JJM17" s="93"/>
      <c r="JJN17" s="88"/>
      <c r="JJO17" s="88"/>
      <c r="JJP17" s="90"/>
      <c r="JJQ17" s="148"/>
      <c r="JJR17" s="88"/>
      <c r="JJS17" s="88"/>
      <c r="JJT17" s="90"/>
      <c r="JJU17" s="93"/>
      <c r="JJV17" s="88"/>
      <c r="JJW17" s="88"/>
      <c r="JJX17" s="91"/>
      <c r="JJY17" s="93"/>
      <c r="JJZ17" s="93"/>
      <c r="JKA17" s="88"/>
      <c r="JKB17" s="88"/>
      <c r="JKC17" s="90"/>
      <c r="JKD17" s="148"/>
      <c r="JKE17" s="88"/>
      <c r="JKF17" s="88"/>
      <c r="JKG17" s="90"/>
      <c r="JKH17" s="93"/>
      <c r="JKI17" s="88"/>
      <c r="JKJ17" s="88"/>
      <c r="JKK17" s="91"/>
      <c r="JKL17" s="93"/>
      <c r="JKM17" s="93"/>
      <c r="JKN17" s="88"/>
      <c r="JKO17" s="88"/>
      <c r="JKP17" s="90"/>
      <c r="JKQ17" s="148"/>
      <c r="JKR17" s="88"/>
      <c r="JKS17" s="88"/>
      <c r="JKT17" s="90"/>
      <c r="JKU17" s="93"/>
      <c r="JKV17" s="88"/>
      <c r="JKW17" s="88"/>
      <c r="JKX17" s="91"/>
      <c r="JKY17" s="93"/>
      <c r="JKZ17" s="93"/>
      <c r="JLA17" s="88"/>
      <c r="JLB17" s="88"/>
      <c r="JLC17" s="90"/>
      <c r="JLD17" s="148"/>
      <c r="JLE17" s="88"/>
      <c r="JLF17" s="88"/>
      <c r="JLG17" s="90"/>
      <c r="JLH17" s="93"/>
      <c r="JLI17" s="88"/>
      <c r="JLJ17" s="88"/>
      <c r="JLK17" s="91"/>
      <c r="JLL17" s="93"/>
      <c r="JLM17" s="93"/>
      <c r="JLN17" s="88"/>
      <c r="JLO17" s="88"/>
      <c r="JLP17" s="90"/>
      <c r="JLQ17" s="148"/>
      <c r="JLR17" s="88"/>
      <c r="JLS17" s="88"/>
      <c r="JLT17" s="90"/>
      <c r="JLU17" s="93"/>
      <c r="JLV17" s="88"/>
      <c r="JLW17" s="88"/>
      <c r="JLX17" s="91"/>
      <c r="JLY17" s="93"/>
      <c r="JLZ17" s="93"/>
      <c r="JMA17" s="88"/>
      <c r="JMB17" s="88"/>
      <c r="JMC17" s="90"/>
      <c r="JMD17" s="148"/>
      <c r="JME17" s="88"/>
      <c r="JMF17" s="88"/>
      <c r="JMG17" s="90"/>
      <c r="JMH17" s="93"/>
      <c r="JMI17" s="88"/>
      <c r="JMJ17" s="88"/>
      <c r="JMK17" s="91"/>
      <c r="JML17" s="93"/>
      <c r="JMM17" s="93"/>
      <c r="JMN17" s="88"/>
      <c r="JMO17" s="88"/>
      <c r="JMP17" s="90"/>
      <c r="JMQ17" s="148"/>
      <c r="JMR17" s="88"/>
      <c r="JMS17" s="88"/>
      <c r="JMT17" s="90"/>
      <c r="JMU17" s="93"/>
      <c r="JMV17" s="88"/>
      <c r="JMW17" s="88"/>
      <c r="JMX17" s="91"/>
      <c r="JMY17" s="93"/>
      <c r="JMZ17" s="93"/>
      <c r="JNA17" s="88"/>
      <c r="JNB17" s="88"/>
      <c r="JNC17" s="90"/>
      <c r="JND17" s="148"/>
      <c r="JNE17" s="88"/>
      <c r="JNF17" s="88"/>
      <c r="JNG17" s="90"/>
      <c r="JNH17" s="93"/>
      <c r="JNI17" s="88"/>
      <c r="JNJ17" s="88"/>
      <c r="JNK17" s="91"/>
      <c r="JNL17" s="93"/>
      <c r="JNM17" s="93"/>
      <c r="JNN17" s="88"/>
      <c r="JNO17" s="88"/>
      <c r="JNP17" s="90"/>
      <c r="JNQ17" s="148"/>
      <c r="JNR17" s="88"/>
      <c r="JNS17" s="88"/>
      <c r="JNT17" s="90"/>
      <c r="JNU17" s="93"/>
      <c r="JNV17" s="88"/>
      <c r="JNW17" s="88"/>
      <c r="JNX17" s="91"/>
      <c r="JNY17" s="93"/>
      <c r="JNZ17" s="93"/>
      <c r="JOA17" s="88"/>
      <c r="JOB17" s="88"/>
      <c r="JOC17" s="90"/>
      <c r="JOD17" s="148"/>
      <c r="JOE17" s="88"/>
      <c r="JOF17" s="88"/>
      <c r="JOG17" s="90"/>
      <c r="JOH17" s="93"/>
      <c r="JOI17" s="88"/>
      <c r="JOJ17" s="88"/>
      <c r="JOK17" s="91"/>
      <c r="JOL17" s="93"/>
      <c r="JOM17" s="93"/>
      <c r="JON17" s="88"/>
      <c r="JOO17" s="88"/>
      <c r="JOP17" s="90"/>
      <c r="JOQ17" s="148"/>
      <c r="JOR17" s="88"/>
      <c r="JOS17" s="88"/>
      <c r="JOT17" s="90"/>
      <c r="JOU17" s="93"/>
      <c r="JOV17" s="88"/>
      <c r="JOW17" s="88"/>
      <c r="JOX17" s="91"/>
      <c r="JOY17" s="93"/>
      <c r="JOZ17" s="93"/>
      <c r="JPA17" s="88"/>
      <c r="JPB17" s="88"/>
      <c r="JPC17" s="90"/>
      <c r="JPD17" s="148"/>
      <c r="JPE17" s="88"/>
      <c r="JPF17" s="88"/>
      <c r="JPG17" s="90"/>
      <c r="JPH17" s="93"/>
      <c r="JPI17" s="88"/>
      <c r="JPJ17" s="88"/>
      <c r="JPK17" s="91"/>
      <c r="JPL17" s="93"/>
      <c r="JPM17" s="93"/>
      <c r="JPN17" s="88"/>
      <c r="JPO17" s="88"/>
      <c r="JPP17" s="90"/>
      <c r="JPQ17" s="148"/>
      <c r="JPR17" s="88"/>
      <c r="JPS17" s="88"/>
      <c r="JPT17" s="90"/>
      <c r="JPU17" s="93"/>
      <c r="JPV17" s="88"/>
      <c r="JPW17" s="88"/>
      <c r="JPX17" s="91"/>
      <c r="JPY17" s="93"/>
      <c r="JPZ17" s="93"/>
      <c r="JQA17" s="88"/>
      <c r="JQB17" s="88"/>
      <c r="JQC17" s="90"/>
      <c r="JQD17" s="148"/>
      <c r="JQE17" s="88"/>
      <c r="JQF17" s="88"/>
      <c r="JQG17" s="90"/>
      <c r="JQH17" s="93"/>
      <c r="JQI17" s="88"/>
      <c r="JQJ17" s="88"/>
      <c r="JQK17" s="91"/>
      <c r="JQL17" s="93"/>
      <c r="JQM17" s="93"/>
      <c r="JQN17" s="88"/>
      <c r="JQO17" s="88"/>
      <c r="JQP17" s="90"/>
      <c r="JQQ17" s="148"/>
      <c r="JQR17" s="88"/>
      <c r="JQS17" s="88"/>
      <c r="JQT17" s="90"/>
      <c r="JQU17" s="93"/>
      <c r="JQV17" s="88"/>
      <c r="JQW17" s="88"/>
      <c r="JQX17" s="91"/>
      <c r="JQY17" s="93"/>
      <c r="JQZ17" s="93"/>
      <c r="JRA17" s="88"/>
      <c r="JRB17" s="88"/>
      <c r="JRC17" s="90"/>
      <c r="JRD17" s="148"/>
      <c r="JRE17" s="88"/>
      <c r="JRF17" s="88"/>
      <c r="JRG17" s="90"/>
      <c r="JRH17" s="93"/>
      <c r="JRI17" s="88"/>
      <c r="JRJ17" s="88"/>
      <c r="JRK17" s="91"/>
      <c r="JRL17" s="93"/>
      <c r="JRM17" s="93"/>
      <c r="JRN17" s="88"/>
      <c r="JRO17" s="88"/>
      <c r="JRP17" s="90"/>
      <c r="JRQ17" s="148"/>
      <c r="JRR17" s="88"/>
      <c r="JRS17" s="88"/>
      <c r="JRT17" s="90"/>
      <c r="JRU17" s="93"/>
      <c r="JRV17" s="88"/>
      <c r="JRW17" s="88"/>
      <c r="JRX17" s="91"/>
      <c r="JRY17" s="93"/>
      <c r="JRZ17" s="93"/>
      <c r="JSA17" s="88"/>
      <c r="JSB17" s="88"/>
      <c r="JSC17" s="90"/>
      <c r="JSD17" s="148"/>
      <c r="JSE17" s="88"/>
      <c r="JSF17" s="88"/>
      <c r="JSG17" s="90"/>
      <c r="JSH17" s="93"/>
      <c r="JSI17" s="88"/>
      <c r="JSJ17" s="88"/>
      <c r="JSK17" s="91"/>
      <c r="JSL17" s="93"/>
      <c r="JSM17" s="93"/>
      <c r="JSN17" s="88"/>
      <c r="JSO17" s="88"/>
      <c r="JSP17" s="90"/>
      <c r="JSQ17" s="148"/>
      <c r="JSR17" s="88"/>
      <c r="JSS17" s="88"/>
      <c r="JST17" s="90"/>
      <c r="JSU17" s="93"/>
      <c r="JSV17" s="88"/>
      <c r="JSW17" s="88"/>
      <c r="JSX17" s="91"/>
      <c r="JSY17" s="93"/>
      <c r="JSZ17" s="93"/>
      <c r="JTA17" s="88"/>
      <c r="JTB17" s="88"/>
      <c r="JTC17" s="90"/>
      <c r="JTD17" s="148"/>
      <c r="JTE17" s="88"/>
      <c r="JTF17" s="88"/>
      <c r="JTG17" s="90"/>
      <c r="JTH17" s="93"/>
      <c r="JTI17" s="88"/>
      <c r="JTJ17" s="88"/>
      <c r="JTK17" s="91"/>
      <c r="JTL17" s="93"/>
      <c r="JTM17" s="93"/>
      <c r="JTN17" s="88"/>
      <c r="JTO17" s="88"/>
      <c r="JTP17" s="90"/>
      <c r="JTQ17" s="148"/>
      <c r="JTR17" s="88"/>
      <c r="JTS17" s="88"/>
      <c r="JTT17" s="90"/>
      <c r="JTU17" s="93"/>
      <c r="JTV17" s="88"/>
      <c r="JTW17" s="88"/>
      <c r="JTX17" s="91"/>
      <c r="JTY17" s="93"/>
      <c r="JTZ17" s="93"/>
      <c r="JUA17" s="88"/>
      <c r="JUB17" s="88"/>
      <c r="JUC17" s="90"/>
      <c r="JUD17" s="148"/>
      <c r="JUE17" s="88"/>
      <c r="JUF17" s="88"/>
      <c r="JUG17" s="90"/>
      <c r="JUH17" s="93"/>
      <c r="JUI17" s="88"/>
      <c r="JUJ17" s="88"/>
      <c r="JUK17" s="91"/>
      <c r="JUL17" s="93"/>
      <c r="JUM17" s="93"/>
      <c r="JUN17" s="88"/>
      <c r="JUO17" s="88"/>
      <c r="JUP17" s="90"/>
      <c r="JUQ17" s="148"/>
      <c r="JUR17" s="88"/>
      <c r="JUS17" s="88"/>
      <c r="JUT17" s="90"/>
      <c r="JUU17" s="93"/>
      <c r="JUV17" s="88"/>
      <c r="JUW17" s="88"/>
      <c r="JUX17" s="91"/>
      <c r="JUY17" s="93"/>
      <c r="JUZ17" s="93"/>
      <c r="JVA17" s="88"/>
      <c r="JVB17" s="88"/>
      <c r="JVC17" s="90"/>
      <c r="JVD17" s="148"/>
      <c r="JVE17" s="88"/>
      <c r="JVF17" s="88"/>
      <c r="JVG17" s="90"/>
      <c r="JVH17" s="93"/>
      <c r="JVI17" s="88"/>
      <c r="JVJ17" s="88"/>
      <c r="JVK17" s="91"/>
      <c r="JVL17" s="93"/>
      <c r="JVM17" s="93"/>
      <c r="JVN17" s="88"/>
      <c r="JVO17" s="88"/>
      <c r="JVP17" s="90"/>
      <c r="JVQ17" s="148"/>
      <c r="JVR17" s="88"/>
      <c r="JVS17" s="88"/>
      <c r="JVT17" s="90"/>
      <c r="JVU17" s="93"/>
      <c r="JVV17" s="88"/>
      <c r="JVW17" s="88"/>
      <c r="JVX17" s="91"/>
      <c r="JVY17" s="93"/>
      <c r="JVZ17" s="93"/>
      <c r="JWA17" s="88"/>
      <c r="JWB17" s="88"/>
      <c r="JWC17" s="90"/>
      <c r="JWD17" s="148"/>
      <c r="JWE17" s="88"/>
      <c r="JWF17" s="88"/>
      <c r="JWG17" s="90"/>
      <c r="JWH17" s="93"/>
      <c r="JWI17" s="88"/>
      <c r="JWJ17" s="88"/>
      <c r="JWK17" s="91"/>
      <c r="JWL17" s="93"/>
      <c r="JWM17" s="93"/>
      <c r="JWN17" s="88"/>
      <c r="JWO17" s="88"/>
      <c r="JWP17" s="90"/>
      <c r="JWQ17" s="148"/>
      <c r="JWR17" s="88"/>
      <c r="JWS17" s="88"/>
      <c r="JWT17" s="90"/>
      <c r="JWU17" s="93"/>
      <c r="JWV17" s="88"/>
      <c r="JWW17" s="88"/>
      <c r="JWX17" s="91"/>
      <c r="JWY17" s="93"/>
      <c r="JWZ17" s="93"/>
      <c r="JXA17" s="88"/>
      <c r="JXB17" s="88"/>
      <c r="JXC17" s="90"/>
      <c r="JXD17" s="148"/>
      <c r="JXE17" s="88"/>
      <c r="JXF17" s="88"/>
      <c r="JXG17" s="90"/>
      <c r="JXH17" s="93"/>
      <c r="JXI17" s="88"/>
      <c r="JXJ17" s="88"/>
      <c r="JXK17" s="91"/>
      <c r="JXL17" s="93"/>
      <c r="JXM17" s="93"/>
      <c r="JXN17" s="88"/>
      <c r="JXO17" s="88"/>
      <c r="JXP17" s="90"/>
      <c r="JXQ17" s="148"/>
      <c r="JXR17" s="88"/>
      <c r="JXS17" s="88"/>
      <c r="JXT17" s="90"/>
      <c r="JXU17" s="93"/>
      <c r="JXV17" s="88"/>
      <c r="JXW17" s="88"/>
      <c r="JXX17" s="91"/>
      <c r="JXY17" s="93"/>
      <c r="JXZ17" s="93"/>
      <c r="JYA17" s="88"/>
      <c r="JYB17" s="88"/>
      <c r="JYC17" s="90"/>
      <c r="JYD17" s="148"/>
      <c r="JYE17" s="88"/>
      <c r="JYF17" s="88"/>
      <c r="JYG17" s="90"/>
      <c r="JYH17" s="93"/>
      <c r="JYI17" s="88"/>
      <c r="JYJ17" s="88"/>
      <c r="JYK17" s="91"/>
      <c r="JYL17" s="93"/>
      <c r="JYM17" s="93"/>
      <c r="JYN17" s="88"/>
      <c r="JYO17" s="88"/>
      <c r="JYP17" s="90"/>
      <c r="JYQ17" s="148"/>
      <c r="JYR17" s="88"/>
      <c r="JYS17" s="88"/>
      <c r="JYT17" s="90"/>
      <c r="JYU17" s="93"/>
      <c r="JYV17" s="88"/>
      <c r="JYW17" s="88"/>
      <c r="JYX17" s="91"/>
      <c r="JYY17" s="93"/>
      <c r="JYZ17" s="93"/>
      <c r="JZA17" s="88"/>
      <c r="JZB17" s="88"/>
      <c r="JZC17" s="90"/>
      <c r="JZD17" s="148"/>
      <c r="JZE17" s="88"/>
      <c r="JZF17" s="88"/>
      <c r="JZG17" s="90"/>
      <c r="JZH17" s="93"/>
      <c r="JZI17" s="88"/>
      <c r="JZJ17" s="88"/>
      <c r="JZK17" s="91"/>
      <c r="JZL17" s="93"/>
      <c r="JZM17" s="93"/>
      <c r="JZN17" s="88"/>
      <c r="JZO17" s="88"/>
      <c r="JZP17" s="90"/>
      <c r="JZQ17" s="148"/>
      <c r="JZR17" s="88"/>
      <c r="JZS17" s="88"/>
      <c r="JZT17" s="90"/>
      <c r="JZU17" s="93"/>
      <c r="JZV17" s="88"/>
      <c r="JZW17" s="88"/>
      <c r="JZX17" s="91"/>
      <c r="JZY17" s="93"/>
      <c r="JZZ17" s="93"/>
      <c r="KAA17" s="88"/>
      <c r="KAB17" s="88"/>
      <c r="KAC17" s="90"/>
      <c r="KAD17" s="148"/>
      <c r="KAE17" s="88"/>
      <c r="KAF17" s="88"/>
      <c r="KAG17" s="90"/>
      <c r="KAH17" s="93"/>
      <c r="KAI17" s="88"/>
      <c r="KAJ17" s="88"/>
      <c r="KAK17" s="91"/>
      <c r="KAL17" s="93"/>
      <c r="KAM17" s="93"/>
      <c r="KAN17" s="88"/>
      <c r="KAO17" s="88"/>
      <c r="KAP17" s="90"/>
      <c r="KAQ17" s="148"/>
      <c r="KAR17" s="88"/>
      <c r="KAS17" s="88"/>
      <c r="KAT17" s="90"/>
      <c r="KAU17" s="93"/>
      <c r="KAV17" s="88"/>
      <c r="KAW17" s="88"/>
      <c r="KAX17" s="91"/>
      <c r="KAY17" s="93"/>
      <c r="KAZ17" s="93"/>
      <c r="KBA17" s="88"/>
      <c r="KBB17" s="88"/>
      <c r="KBC17" s="90"/>
      <c r="KBD17" s="148"/>
      <c r="KBE17" s="88"/>
      <c r="KBF17" s="88"/>
      <c r="KBG17" s="90"/>
      <c r="KBH17" s="93"/>
      <c r="KBI17" s="88"/>
      <c r="KBJ17" s="88"/>
      <c r="KBK17" s="91"/>
      <c r="KBL17" s="93"/>
      <c r="KBM17" s="93"/>
      <c r="KBN17" s="88"/>
      <c r="KBO17" s="88"/>
      <c r="KBP17" s="90"/>
      <c r="KBQ17" s="148"/>
      <c r="KBR17" s="88"/>
      <c r="KBS17" s="88"/>
      <c r="KBT17" s="90"/>
      <c r="KBU17" s="93"/>
      <c r="KBV17" s="88"/>
      <c r="KBW17" s="88"/>
      <c r="KBX17" s="91"/>
      <c r="KBY17" s="93"/>
      <c r="KBZ17" s="93"/>
      <c r="KCA17" s="88"/>
      <c r="KCB17" s="88"/>
      <c r="KCC17" s="90"/>
      <c r="KCD17" s="148"/>
      <c r="KCE17" s="88"/>
      <c r="KCF17" s="88"/>
      <c r="KCG17" s="90"/>
      <c r="KCH17" s="93"/>
      <c r="KCI17" s="88"/>
      <c r="KCJ17" s="88"/>
      <c r="KCK17" s="91"/>
      <c r="KCL17" s="93"/>
      <c r="KCM17" s="93"/>
      <c r="KCN17" s="88"/>
      <c r="KCO17" s="88"/>
      <c r="KCP17" s="90"/>
      <c r="KCQ17" s="148"/>
      <c r="KCR17" s="88"/>
      <c r="KCS17" s="88"/>
      <c r="KCT17" s="90"/>
      <c r="KCU17" s="93"/>
      <c r="KCV17" s="88"/>
      <c r="KCW17" s="88"/>
      <c r="KCX17" s="91"/>
      <c r="KCY17" s="93"/>
      <c r="KCZ17" s="93"/>
      <c r="KDA17" s="88"/>
      <c r="KDB17" s="88"/>
      <c r="KDC17" s="90"/>
      <c r="KDD17" s="148"/>
      <c r="KDE17" s="88"/>
      <c r="KDF17" s="88"/>
      <c r="KDG17" s="90"/>
      <c r="KDH17" s="93"/>
      <c r="KDI17" s="88"/>
      <c r="KDJ17" s="88"/>
      <c r="KDK17" s="91"/>
      <c r="KDL17" s="93"/>
      <c r="KDM17" s="93"/>
      <c r="KDN17" s="88"/>
      <c r="KDO17" s="88"/>
      <c r="KDP17" s="90"/>
      <c r="KDQ17" s="148"/>
      <c r="KDR17" s="88"/>
      <c r="KDS17" s="88"/>
      <c r="KDT17" s="90"/>
      <c r="KDU17" s="93"/>
      <c r="KDV17" s="88"/>
      <c r="KDW17" s="88"/>
      <c r="KDX17" s="91"/>
      <c r="KDY17" s="93"/>
      <c r="KDZ17" s="93"/>
      <c r="KEA17" s="88"/>
      <c r="KEB17" s="88"/>
      <c r="KEC17" s="90"/>
      <c r="KED17" s="148"/>
      <c r="KEE17" s="88"/>
      <c r="KEF17" s="88"/>
      <c r="KEG17" s="90"/>
      <c r="KEH17" s="93"/>
      <c r="KEI17" s="88"/>
      <c r="KEJ17" s="88"/>
      <c r="KEK17" s="91"/>
      <c r="KEL17" s="93"/>
      <c r="KEM17" s="93"/>
      <c r="KEN17" s="88"/>
      <c r="KEO17" s="88"/>
      <c r="KEP17" s="90"/>
      <c r="KEQ17" s="148"/>
      <c r="KER17" s="88"/>
      <c r="KES17" s="88"/>
      <c r="KET17" s="90"/>
      <c r="KEU17" s="93"/>
      <c r="KEV17" s="88"/>
      <c r="KEW17" s="88"/>
      <c r="KEX17" s="91"/>
      <c r="KEY17" s="93"/>
      <c r="KEZ17" s="93"/>
      <c r="KFA17" s="88"/>
      <c r="KFB17" s="88"/>
      <c r="KFC17" s="90"/>
      <c r="KFD17" s="148"/>
      <c r="KFE17" s="88"/>
      <c r="KFF17" s="88"/>
      <c r="KFG17" s="90"/>
      <c r="KFH17" s="93"/>
      <c r="KFI17" s="88"/>
      <c r="KFJ17" s="88"/>
      <c r="KFK17" s="91"/>
      <c r="KFL17" s="93"/>
      <c r="KFM17" s="93"/>
      <c r="KFN17" s="88"/>
      <c r="KFO17" s="88"/>
      <c r="KFP17" s="90"/>
      <c r="KFQ17" s="148"/>
      <c r="KFR17" s="88"/>
      <c r="KFS17" s="88"/>
      <c r="KFT17" s="90"/>
      <c r="KFU17" s="93"/>
      <c r="KFV17" s="88"/>
      <c r="KFW17" s="88"/>
      <c r="KFX17" s="91"/>
      <c r="KFY17" s="93"/>
      <c r="KFZ17" s="93"/>
      <c r="KGA17" s="88"/>
      <c r="KGB17" s="88"/>
      <c r="KGC17" s="90"/>
      <c r="KGD17" s="148"/>
      <c r="KGE17" s="88"/>
      <c r="KGF17" s="88"/>
      <c r="KGG17" s="90"/>
      <c r="KGH17" s="93"/>
      <c r="KGI17" s="88"/>
      <c r="KGJ17" s="88"/>
      <c r="KGK17" s="91"/>
      <c r="KGL17" s="93"/>
      <c r="KGM17" s="93"/>
      <c r="KGN17" s="88"/>
      <c r="KGO17" s="88"/>
      <c r="KGP17" s="90"/>
      <c r="KGQ17" s="148"/>
      <c r="KGR17" s="88"/>
      <c r="KGS17" s="88"/>
      <c r="KGT17" s="90"/>
      <c r="KGU17" s="93"/>
      <c r="KGV17" s="88"/>
      <c r="KGW17" s="88"/>
      <c r="KGX17" s="91"/>
      <c r="KGY17" s="93"/>
      <c r="KGZ17" s="93"/>
      <c r="KHA17" s="88"/>
      <c r="KHB17" s="88"/>
      <c r="KHC17" s="90"/>
      <c r="KHD17" s="148"/>
      <c r="KHE17" s="88"/>
      <c r="KHF17" s="88"/>
      <c r="KHG17" s="90"/>
      <c r="KHH17" s="93"/>
      <c r="KHI17" s="88"/>
      <c r="KHJ17" s="88"/>
      <c r="KHK17" s="91"/>
      <c r="KHL17" s="93"/>
      <c r="KHM17" s="93"/>
      <c r="KHN17" s="88"/>
      <c r="KHO17" s="88"/>
      <c r="KHP17" s="90"/>
      <c r="KHQ17" s="148"/>
      <c r="KHR17" s="88"/>
      <c r="KHS17" s="88"/>
      <c r="KHT17" s="90"/>
      <c r="KHU17" s="93"/>
      <c r="KHV17" s="88"/>
      <c r="KHW17" s="88"/>
      <c r="KHX17" s="91"/>
      <c r="KHY17" s="93"/>
      <c r="KHZ17" s="93"/>
      <c r="KIA17" s="88"/>
      <c r="KIB17" s="88"/>
      <c r="KIC17" s="90"/>
      <c r="KID17" s="148"/>
      <c r="KIE17" s="88"/>
      <c r="KIF17" s="88"/>
      <c r="KIG17" s="90"/>
      <c r="KIH17" s="93"/>
      <c r="KII17" s="88"/>
      <c r="KIJ17" s="88"/>
      <c r="KIK17" s="91"/>
      <c r="KIL17" s="93"/>
      <c r="KIM17" s="93"/>
      <c r="KIN17" s="88"/>
      <c r="KIO17" s="88"/>
      <c r="KIP17" s="90"/>
      <c r="KIQ17" s="148"/>
      <c r="KIR17" s="88"/>
      <c r="KIS17" s="88"/>
      <c r="KIT17" s="90"/>
      <c r="KIU17" s="93"/>
      <c r="KIV17" s="88"/>
      <c r="KIW17" s="88"/>
      <c r="KIX17" s="91"/>
      <c r="KIY17" s="93"/>
      <c r="KIZ17" s="93"/>
      <c r="KJA17" s="88"/>
      <c r="KJB17" s="88"/>
      <c r="KJC17" s="90"/>
      <c r="KJD17" s="148"/>
      <c r="KJE17" s="88"/>
      <c r="KJF17" s="88"/>
      <c r="KJG17" s="90"/>
      <c r="KJH17" s="93"/>
      <c r="KJI17" s="88"/>
      <c r="KJJ17" s="88"/>
      <c r="KJK17" s="91"/>
      <c r="KJL17" s="93"/>
      <c r="KJM17" s="93"/>
      <c r="KJN17" s="88"/>
      <c r="KJO17" s="88"/>
      <c r="KJP17" s="90"/>
      <c r="KJQ17" s="148"/>
      <c r="KJR17" s="88"/>
      <c r="KJS17" s="88"/>
      <c r="KJT17" s="90"/>
      <c r="KJU17" s="93"/>
      <c r="KJV17" s="88"/>
      <c r="KJW17" s="88"/>
      <c r="KJX17" s="91"/>
      <c r="KJY17" s="93"/>
      <c r="KJZ17" s="93"/>
      <c r="KKA17" s="88"/>
      <c r="KKB17" s="88"/>
      <c r="KKC17" s="90"/>
      <c r="KKD17" s="148"/>
      <c r="KKE17" s="88"/>
      <c r="KKF17" s="88"/>
      <c r="KKG17" s="90"/>
      <c r="KKH17" s="93"/>
      <c r="KKI17" s="88"/>
      <c r="KKJ17" s="88"/>
      <c r="KKK17" s="91"/>
      <c r="KKL17" s="93"/>
      <c r="KKM17" s="93"/>
      <c r="KKN17" s="88"/>
      <c r="KKO17" s="88"/>
      <c r="KKP17" s="90"/>
      <c r="KKQ17" s="148"/>
      <c r="KKR17" s="88"/>
      <c r="KKS17" s="88"/>
      <c r="KKT17" s="90"/>
      <c r="KKU17" s="93"/>
      <c r="KKV17" s="88"/>
      <c r="KKW17" s="88"/>
      <c r="KKX17" s="91"/>
      <c r="KKY17" s="93"/>
      <c r="KKZ17" s="93"/>
      <c r="KLA17" s="88"/>
      <c r="KLB17" s="88"/>
      <c r="KLC17" s="90"/>
      <c r="KLD17" s="148"/>
      <c r="KLE17" s="88"/>
      <c r="KLF17" s="88"/>
      <c r="KLG17" s="90"/>
      <c r="KLH17" s="93"/>
      <c r="KLI17" s="88"/>
      <c r="KLJ17" s="88"/>
      <c r="KLK17" s="91"/>
      <c r="KLL17" s="93"/>
      <c r="KLM17" s="93"/>
      <c r="KLN17" s="88"/>
      <c r="KLO17" s="88"/>
      <c r="KLP17" s="90"/>
      <c r="KLQ17" s="148"/>
      <c r="KLR17" s="88"/>
      <c r="KLS17" s="88"/>
      <c r="KLT17" s="90"/>
      <c r="KLU17" s="93"/>
      <c r="KLV17" s="88"/>
      <c r="KLW17" s="88"/>
      <c r="KLX17" s="91"/>
      <c r="KLY17" s="93"/>
      <c r="KLZ17" s="93"/>
      <c r="KMA17" s="88"/>
      <c r="KMB17" s="88"/>
      <c r="KMC17" s="90"/>
      <c r="KMD17" s="148"/>
      <c r="KME17" s="88"/>
      <c r="KMF17" s="88"/>
      <c r="KMG17" s="90"/>
      <c r="KMH17" s="93"/>
      <c r="KMI17" s="88"/>
      <c r="KMJ17" s="88"/>
      <c r="KMK17" s="91"/>
      <c r="KML17" s="93"/>
      <c r="KMM17" s="93"/>
      <c r="KMN17" s="88"/>
      <c r="KMO17" s="88"/>
      <c r="KMP17" s="90"/>
      <c r="KMQ17" s="148"/>
      <c r="KMR17" s="88"/>
      <c r="KMS17" s="88"/>
      <c r="KMT17" s="90"/>
      <c r="KMU17" s="93"/>
      <c r="KMV17" s="88"/>
      <c r="KMW17" s="88"/>
      <c r="KMX17" s="91"/>
      <c r="KMY17" s="93"/>
      <c r="KMZ17" s="93"/>
      <c r="KNA17" s="88"/>
      <c r="KNB17" s="88"/>
      <c r="KNC17" s="90"/>
      <c r="KND17" s="148"/>
      <c r="KNE17" s="88"/>
      <c r="KNF17" s="88"/>
      <c r="KNG17" s="90"/>
      <c r="KNH17" s="93"/>
      <c r="KNI17" s="88"/>
      <c r="KNJ17" s="88"/>
      <c r="KNK17" s="91"/>
      <c r="KNL17" s="93"/>
      <c r="KNM17" s="93"/>
      <c r="KNN17" s="88"/>
      <c r="KNO17" s="88"/>
      <c r="KNP17" s="90"/>
      <c r="KNQ17" s="148"/>
      <c r="KNR17" s="88"/>
      <c r="KNS17" s="88"/>
      <c r="KNT17" s="90"/>
      <c r="KNU17" s="93"/>
      <c r="KNV17" s="88"/>
      <c r="KNW17" s="88"/>
      <c r="KNX17" s="91"/>
      <c r="KNY17" s="93"/>
      <c r="KNZ17" s="93"/>
      <c r="KOA17" s="88"/>
      <c r="KOB17" s="88"/>
      <c r="KOC17" s="90"/>
      <c r="KOD17" s="148"/>
      <c r="KOE17" s="88"/>
      <c r="KOF17" s="88"/>
      <c r="KOG17" s="90"/>
      <c r="KOH17" s="93"/>
      <c r="KOI17" s="88"/>
      <c r="KOJ17" s="88"/>
      <c r="KOK17" s="91"/>
      <c r="KOL17" s="93"/>
      <c r="KOM17" s="93"/>
      <c r="KON17" s="88"/>
      <c r="KOO17" s="88"/>
      <c r="KOP17" s="90"/>
      <c r="KOQ17" s="148"/>
      <c r="KOR17" s="88"/>
      <c r="KOS17" s="88"/>
      <c r="KOT17" s="90"/>
      <c r="KOU17" s="93"/>
      <c r="KOV17" s="88"/>
      <c r="KOW17" s="88"/>
      <c r="KOX17" s="91"/>
      <c r="KOY17" s="93"/>
      <c r="KOZ17" s="93"/>
      <c r="KPA17" s="88"/>
      <c r="KPB17" s="88"/>
      <c r="KPC17" s="90"/>
      <c r="KPD17" s="148"/>
      <c r="KPE17" s="88"/>
      <c r="KPF17" s="88"/>
      <c r="KPG17" s="90"/>
      <c r="KPH17" s="93"/>
      <c r="KPI17" s="88"/>
      <c r="KPJ17" s="88"/>
      <c r="KPK17" s="91"/>
      <c r="KPL17" s="93"/>
      <c r="KPM17" s="93"/>
      <c r="KPN17" s="88"/>
      <c r="KPO17" s="88"/>
      <c r="KPP17" s="90"/>
      <c r="KPQ17" s="148"/>
      <c r="KPR17" s="88"/>
      <c r="KPS17" s="88"/>
      <c r="KPT17" s="90"/>
      <c r="KPU17" s="93"/>
      <c r="KPV17" s="88"/>
      <c r="KPW17" s="88"/>
      <c r="KPX17" s="91"/>
      <c r="KPY17" s="93"/>
      <c r="KPZ17" s="93"/>
      <c r="KQA17" s="88"/>
      <c r="KQB17" s="88"/>
      <c r="KQC17" s="90"/>
      <c r="KQD17" s="148"/>
      <c r="KQE17" s="88"/>
      <c r="KQF17" s="88"/>
      <c r="KQG17" s="90"/>
      <c r="KQH17" s="93"/>
      <c r="KQI17" s="88"/>
      <c r="KQJ17" s="88"/>
      <c r="KQK17" s="91"/>
      <c r="KQL17" s="93"/>
      <c r="KQM17" s="93"/>
      <c r="KQN17" s="88"/>
      <c r="KQO17" s="88"/>
      <c r="KQP17" s="90"/>
      <c r="KQQ17" s="148"/>
      <c r="KQR17" s="88"/>
      <c r="KQS17" s="88"/>
      <c r="KQT17" s="90"/>
      <c r="KQU17" s="93"/>
      <c r="KQV17" s="88"/>
      <c r="KQW17" s="88"/>
      <c r="KQX17" s="91"/>
      <c r="KQY17" s="93"/>
      <c r="KQZ17" s="93"/>
      <c r="KRA17" s="88"/>
      <c r="KRB17" s="88"/>
      <c r="KRC17" s="90"/>
      <c r="KRD17" s="148"/>
      <c r="KRE17" s="88"/>
      <c r="KRF17" s="88"/>
      <c r="KRG17" s="90"/>
      <c r="KRH17" s="93"/>
      <c r="KRI17" s="88"/>
      <c r="KRJ17" s="88"/>
      <c r="KRK17" s="91"/>
      <c r="KRL17" s="93"/>
      <c r="KRM17" s="93"/>
      <c r="KRN17" s="88"/>
      <c r="KRO17" s="88"/>
      <c r="KRP17" s="90"/>
      <c r="KRQ17" s="148"/>
      <c r="KRR17" s="88"/>
      <c r="KRS17" s="88"/>
      <c r="KRT17" s="90"/>
      <c r="KRU17" s="93"/>
      <c r="KRV17" s="88"/>
      <c r="KRW17" s="88"/>
      <c r="KRX17" s="91"/>
      <c r="KRY17" s="93"/>
      <c r="KRZ17" s="93"/>
      <c r="KSA17" s="88"/>
      <c r="KSB17" s="88"/>
      <c r="KSC17" s="90"/>
      <c r="KSD17" s="148"/>
      <c r="KSE17" s="88"/>
      <c r="KSF17" s="88"/>
      <c r="KSG17" s="90"/>
      <c r="KSH17" s="93"/>
      <c r="KSI17" s="88"/>
      <c r="KSJ17" s="88"/>
      <c r="KSK17" s="91"/>
      <c r="KSL17" s="93"/>
      <c r="KSM17" s="93"/>
      <c r="KSN17" s="88"/>
      <c r="KSO17" s="88"/>
      <c r="KSP17" s="90"/>
      <c r="KSQ17" s="148"/>
      <c r="KSR17" s="88"/>
      <c r="KSS17" s="88"/>
      <c r="KST17" s="90"/>
      <c r="KSU17" s="93"/>
      <c r="KSV17" s="88"/>
      <c r="KSW17" s="88"/>
      <c r="KSX17" s="91"/>
      <c r="KSY17" s="93"/>
      <c r="KSZ17" s="93"/>
      <c r="KTA17" s="88"/>
      <c r="KTB17" s="88"/>
      <c r="KTC17" s="90"/>
      <c r="KTD17" s="148"/>
      <c r="KTE17" s="88"/>
      <c r="KTF17" s="88"/>
      <c r="KTG17" s="90"/>
      <c r="KTH17" s="93"/>
      <c r="KTI17" s="88"/>
      <c r="KTJ17" s="88"/>
      <c r="KTK17" s="91"/>
      <c r="KTL17" s="93"/>
      <c r="KTM17" s="93"/>
      <c r="KTN17" s="88"/>
      <c r="KTO17" s="88"/>
      <c r="KTP17" s="90"/>
      <c r="KTQ17" s="148"/>
      <c r="KTR17" s="88"/>
      <c r="KTS17" s="88"/>
      <c r="KTT17" s="90"/>
      <c r="KTU17" s="93"/>
      <c r="KTV17" s="88"/>
      <c r="KTW17" s="88"/>
      <c r="KTX17" s="91"/>
      <c r="KTY17" s="93"/>
      <c r="KTZ17" s="93"/>
      <c r="KUA17" s="88"/>
      <c r="KUB17" s="88"/>
      <c r="KUC17" s="90"/>
      <c r="KUD17" s="148"/>
      <c r="KUE17" s="88"/>
      <c r="KUF17" s="88"/>
      <c r="KUG17" s="90"/>
      <c r="KUH17" s="93"/>
      <c r="KUI17" s="88"/>
      <c r="KUJ17" s="88"/>
      <c r="KUK17" s="91"/>
      <c r="KUL17" s="93"/>
      <c r="KUM17" s="93"/>
      <c r="KUN17" s="88"/>
      <c r="KUO17" s="88"/>
      <c r="KUP17" s="90"/>
      <c r="KUQ17" s="148"/>
      <c r="KUR17" s="88"/>
      <c r="KUS17" s="88"/>
      <c r="KUT17" s="90"/>
      <c r="KUU17" s="93"/>
      <c r="KUV17" s="88"/>
      <c r="KUW17" s="88"/>
      <c r="KUX17" s="91"/>
      <c r="KUY17" s="93"/>
      <c r="KUZ17" s="93"/>
      <c r="KVA17" s="88"/>
      <c r="KVB17" s="88"/>
      <c r="KVC17" s="90"/>
      <c r="KVD17" s="148"/>
      <c r="KVE17" s="88"/>
      <c r="KVF17" s="88"/>
      <c r="KVG17" s="90"/>
      <c r="KVH17" s="93"/>
      <c r="KVI17" s="88"/>
      <c r="KVJ17" s="88"/>
      <c r="KVK17" s="91"/>
      <c r="KVL17" s="93"/>
      <c r="KVM17" s="93"/>
      <c r="KVN17" s="88"/>
      <c r="KVO17" s="88"/>
      <c r="KVP17" s="90"/>
      <c r="KVQ17" s="148"/>
      <c r="KVR17" s="88"/>
      <c r="KVS17" s="88"/>
      <c r="KVT17" s="90"/>
      <c r="KVU17" s="93"/>
      <c r="KVV17" s="88"/>
      <c r="KVW17" s="88"/>
      <c r="KVX17" s="91"/>
      <c r="KVY17" s="93"/>
      <c r="KVZ17" s="93"/>
      <c r="KWA17" s="88"/>
      <c r="KWB17" s="88"/>
      <c r="KWC17" s="90"/>
      <c r="KWD17" s="148"/>
      <c r="KWE17" s="88"/>
      <c r="KWF17" s="88"/>
      <c r="KWG17" s="90"/>
      <c r="KWH17" s="93"/>
      <c r="KWI17" s="88"/>
      <c r="KWJ17" s="88"/>
      <c r="KWK17" s="91"/>
      <c r="KWL17" s="93"/>
      <c r="KWM17" s="93"/>
      <c r="KWN17" s="88"/>
      <c r="KWO17" s="88"/>
      <c r="KWP17" s="90"/>
      <c r="KWQ17" s="148"/>
      <c r="KWR17" s="88"/>
      <c r="KWS17" s="88"/>
      <c r="KWT17" s="90"/>
      <c r="KWU17" s="93"/>
      <c r="KWV17" s="88"/>
      <c r="KWW17" s="88"/>
      <c r="KWX17" s="91"/>
      <c r="KWY17" s="93"/>
      <c r="KWZ17" s="93"/>
      <c r="KXA17" s="88"/>
      <c r="KXB17" s="88"/>
      <c r="KXC17" s="90"/>
      <c r="KXD17" s="148"/>
      <c r="KXE17" s="88"/>
      <c r="KXF17" s="88"/>
      <c r="KXG17" s="90"/>
      <c r="KXH17" s="93"/>
      <c r="KXI17" s="88"/>
      <c r="KXJ17" s="88"/>
      <c r="KXK17" s="91"/>
      <c r="KXL17" s="93"/>
      <c r="KXM17" s="93"/>
      <c r="KXN17" s="88"/>
      <c r="KXO17" s="88"/>
      <c r="KXP17" s="90"/>
      <c r="KXQ17" s="148"/>
      <c r="KXR17" s="88"/>
      <c r="KXS17" s="88"/>
      <c r="KXT17" s="90"/>
      <c r="KXU17" s="93"/>
      <c r="KXV17" s="88"/>
      <c r="KXW17" s="88"/>
      <c r="KXX17" s="91"/>
      <c r="KXY17" s="93"/>
      <c r="KXZ17" s="93"/>
      <c r="KYA17" s="88"/>
      <c r="KYB17" s="88"/>
      <c r="KYC17" s="90"/>
      <c r="KYD17" s="148"/>
      <c r="KYE17" s="88"/>
      <c r="KYF17" s="88"/>
      <c r="KYG17" s="90"/>
      <c r="KYH17" s="93"/>
      <c r="KYI17" s="88"/>
      <c r="KYJ17" s="88"/>
      <c r="KYK17" s="91"/>
      <c r="KYL17" s="93"/>
      <c r="KYM17" s="93"/>
      <c r="KYN17" s="88"/>
      <c r="KYO17" s="88"/>
      <c r="KYP17" s="90"/>
      <c r="KYQ17" s="148"/>
      <c r="KYR17" s="88"/>
      <c r="KYS17" s="88"/>
      <c r="KYT17" s="90"/>
      <c r="KYU17" s="93"/>
      <c r="KYV17" s="88"/>
      <c r="KYW17" s="88"/>
      <c r="KYX17" s="91"/>
      <c r="KYY17" s="93"/>
      <c r="KYZ17" s="93"/>
      <c r="KZA17" s="88"/>
      <c r="KZB17" s="88"/>
      <c r="KZC17" s="90"/>
      <c r="KZD17" s="148"/>
      <c r="KZE17" s="88"/>
      <c r="KZF17" s="88"/>
      <c r="KZG17" s="90"/>
      <c r="KZH17" s="93"/>
      <c r="KZI17" s="88"/>
      <c r="KZJ17" s="88"/>
      <c r="KZK17" s="91"/>
      <c r="KZL17" s="93"/>
      <c r="KZM17" s="93"/>
      <c r="KZN17" s="88"/>
      <c r="KZO17" s="88"/>
      <c r="KZP17" s="90"/>
      <c r="KZQ17" s="148"/>
      <c r="KZR17" s="88"/>
      <c r="KZS17" s="88"/>
      <c r="KZT17" s="90"/>
      <c r="KZU17" s="93"/>
      <c r="KZV17" s="88"/>
      <c r="KZW17" s="88"/>
      <c r="KZX17" s="91"/>
      <c r="KZY17" s="93"/>
      <c r="KZZ17" s="93"/>
      <c r="LAA17" s="88"/>
      <c r="LAB17" s="88"/>
      <c r="LAC17" s="90"/>
      <c r="LAD17" s="148"/>
      <c r="LAE17" s="88"/>
      <c r="LAF17" s="88"/>
      <c r="LAG17" s="90"/>
      <c r="LAH17" s="93"/>
      <c r="LAI17" s="88"/>
      <c r="LAJ17" s="88"/>
      <c r="LAK17" s="91"/>
      <c r="LAL17" s="93"/>
      <c r="LAM17" s="93"/>
      <c r="LAN17" s="88"/>
      <c r="LAO17" s="88"/>
      <c r="LAP17" s="90"/>
      <c r="LAQ17" s="148"/>
      <c r="LAR17" s="88"/>
      <c r="LAS17" s="88"/>
      <c r="LAT17" s="90"/>
      <c r="LAU17" s="93"/>
      <c r="LAV17" s="88"/>
      <c r="LAW17" s="88"/>
      <c r="LAX17" s="91"/>
      <c r="LAY17" s="93"/>
      <c r="LAZ17" s="93"/>
      <c r="LBA17" s="88"/>
      <c r="LBB17" s="88"/>
      <c r="LBC17" s="90"/>
      <c r="LBD17" s="148"/>
      <c r="LBE17" s="88"/>
      <c r="LBF17" s="88"/>
      <c r="LBG17" s="90"/>
      <c r="LBH17" s="93"/>
      <c r="LBI17" s="88"/>
      <c r="LBJ17" s="88"/>
      <c r="LBK17" s="91"/>
      <c r="LBL17" s="93"/>
      <c r="LBM17" s="93"/>
      <c r="LBN17" s="88"/>
      <c r="LBO17" s="88"/>
      <c r="LBP17" s="90"/>
      <c r="LBQ17" s="148"/>
      <c r="LBR17" s="88"/>
      <c r="LBS17" s="88"/>
      <c r="LBT17" s="90"/>
      <c r="LBU17" s="93"/>
      <c r="LBV17" s="88"/>
      <c r="LBW17" s="88"/>
      <c r="LBX17" s="91"/>
      <c r="LBY17" s="93"/>
      <c r="LBZ17" s="93"/>
      <c r="LCA17" s="88"/>
      <c r="LCB17" s="88"/>
      <c r="LCC17" s="90"/>
      <c r="LCD17" s="148"/>
      <c r="LCE17" s="88"/>
      <c r="LCF17" s="88"/>
      <c r="LCG17" s="90"/>
      <c r="LCH17" s="93"/>
      <c r="LCI17" s="88"/>
      <c r="LCJ17" s="88"/>
      <c r="LCK17" s="91"/>
      <c r="LCL17" s="93"/>
      <c r="LCM17" s="93"/>
      <c r="LCN17" s="88"/>
      <c r="LCO17" s="88"/>
      <c r="LCP17" s="90"/>
      <c r="LCQ17" s="148"/>
      <c r="LCR17" s="88"/>
      <c r="LCS17" s="88"/>
      <c r="LCT17" s="90"/>
      <c r="LCU17" s="93"/>
      <c r="LCV17" s="88"/>
      <c r="LCW17" s="88"/>
      <c r="LCX17" s="91"/>
      <c r="LCY17" s="93"/>
      <c r="LCZ17" s="93"/>
      <c r="LDA17" s="88"/>
      <c r="LDB17" s="88"/>
      <c r="LDC17" s="90"/>
      <c r="LDD17" s="148"/>
      <c r="LDE17" s="88"/>
      <c r="LDF17" s="88"/>
      <c r="LDG17" s="90"/>
      <c r="LDH17" s="93"/>
      <c r="LDI17" s="88"/>
      <c r="LDJ17" s="88"/>
      <c r="LDK17" s="91"/>
      <c r="LDL17" s="93"/>
      <c r="LDM17" s="93"/>
      <c r="LDN17" s="88"/>
      <c r="LDO17" s="88"/>
      <c r="LDP17" s="90"/>
      <c r="LDQ17" s="148"/>
      <c r="LDR17" s="88"/>
      <c r="LDS17" s="88"/>
      <c r="LDT17" s="90"/>
      <c r="LDU17" s="93"/>
      <c r="LDV17" s="88"/>
      <c r="LDW17" s="88"/>
      <c r="LDX17" s="91"/>
      <c r="LDY17" s="93"/>
      <c r="LDZ17" s="93"/>
      <c r="LEA17" s="88"/>
      <c r="LEB17" s="88"/>
      <c r="LEC17" s="90"/>
      <c r="LED17" s="148"/>
      <c r="LEE17" s="88"/>
      <c r="LEF17" s="88"/>
      <c r="LEG17" s="90"/>
      <c r="LEH17" s="93"/>
      <c r="LEI17" s="88"/>
      <c r="LEJ17" s="88"/>
      <c r="LEK17" s="91"/>
      <c r="LEL17" s="93"/>
      <c r="LEM17" s="93"/>
      <c r="LEN17" s="88"/>
      <c r="LEO17" s="88"/>
      <c r="LEP17" s="90"/>
      <c r="LEQ17" s="148"/>
      <c r="LER17" s="88"/>
      <c r="LES17" s="88"/>
      <c r="LET17" s="90"/>
      <c r="LEU17" s="93"/>
      <c r="LEV17" s="88"/>
      <c r="LEW17" s="88"/>
      <c r="LEX17" s="91"/>
      <c r="LEY17" s="93"/>
      <c r="LEZ17" s="93"/>
      <c r="LFA17" s="88"/>
      <c r="LFB17" s="88"/>
      <c r="LFC17" s="90"/>
      <c r="LFD17" s="148"/>
      <c r="LFE17" s="88"/>
      <c r="LFF17" s="88"/>
      <c r="LFG17" s="90"/>
      <c r="LFH17" s="93"/>
      <c r="LFI17" s="88"/>
      <c r="LFJ17" s="88"/>
      <c r="LFK17" s="91"/>
      <c r="LFL17" s="93"/>
      <c r="LFM17" s="93"/>
      <c r="LFN17" s="88"/>
      <c r="LFO17" s="88"/>
      <c r="LFP17" s="90"/>
      <c r="LFQ17" s="148"/>
      <c r="LFR17" s="88"/>
      <c r="LFS17" s="88"/>
      <c r="LFT17" s="90"/>
      <c r="LFU17" s="93"/>
      <c r="LFV17" s="88"/>
      <c r="LFW17" s="88"/>
      <c r="LFX17" s="91"/>
      <c r="LFY17" s="93"/>
      <c r="LFZ17" s="93"/>
      <c r="LGA17" s="88"/>
      <c r="LGB17" s="88"/>
      <c r="LGC17" s="90"/>
      <c r="LGD17" s="148"/>
      <c r="LGE17" s="88"/>
      <c r="LGF17" s="88"/>
      <c r="LGG17" s="90"/>
      <c r="LGH17" s="93"/>
      <c r="LGI17" s="88"/>
      <c r="LGJ17" s="88"/>
      <c r="LGK17" s="91"/>
      <c r="LGL17" s="93"/>
      <c r="LGM17" s="93"/>
      <c r="LGN17" s="88"/>
      <c r="LGO17" s="88"/>
      <c r="LGP17" s="90"/>
      <c r="LGQ17" s="148"/>
      <c r="LGR17" s="88"/>
      <c r="LGS17" s="88"/>
      <c r="LGT17" s="90"/>
      <c r="LGU17" s="93"/>
      <c r="LGV17" s="88"/>
      <c r="LGW17" s="88"/>
      <c r="LGX17" s="91"/>
      <c r="LGY17" s="93"/>
      <c r="LGZ17" s="93"/>
      <c r="LHA17" s="88"/>
      <c r="LHB17" s="88"/>
      <c r="LHC17" s="90"/>
      <c r="LHD17" s="148"/>
      <c r="LHE17" s="88"/>
      <c r="LHF17" s="88"/>
      <c r="LHG17" s="90"/>
      <c r="LHH17" s="93"/>
      <c r="LHI17" s="88"/>
      <c r="LHJ17" s="88"/>
      <c r="LHK17" s="91"/>
      <c r="LHL17" s="93"/>
      <c r="LHM17" s="93"/>
      <c r="LHN17" s="88"/>
      <c r="LHO17" s="88"/>
      <c r="LHP17" s="90"/>
      <c r="LHQ17" s="148"/>
      <c r="LHR17" s="88"/>
      <c r="LHS17" s="88"/>
      <c r="LHT17" s="90"/>
      <c r="LHU17" s="93"/>
      <c r="LHV17" s="88"/>
      <c r="LHW17" s="88"/>
      <c r="LHX17" s="91"/>
      <c r="LHY17" s="93"/>
      <c r="LHZ17" s="93"/>
      <c r="LIA17" s="88"/>
      <c r="LIB17" s="88"/>
      <c r="LIC17" s="90"/>
      <c r="LID17" s="148"/>
      <c r="LIE17" s="88"/>
      <c r="LIF17" s="88"/>
      <c r="LIG17" s="90"/>
      <c r="LIH17" s="93"/>
      <c r="LII17" s="88"/>
      <c r="LIJ17" s="88"/>
      <c r="LIK17" s="91"/>
      <c r="LIL17" s="93"/>
      <c r="LIM17" s="93"/>
      <c r="LIN17" s="88"/>
      <c r="LIO17" s="88"/>
      <c r="LIP17" s="90"/>
      <c r="LIQ17" s="148"/>
      <c r="LIR17" s="88"/>
      <c r="LIS17" s="88"/>
      <c r="LIT17" s="90"/>
      <c r="LIU17" s="93"/>
      <c r="LIV17" s="88"/>
      <c r="LIW17" s="88"/>
      <c r="LIX17" s="91"/>
      <c r="LIY17" s="93"/>
      <c r="LIZ17" s="93"/>
      <c r="LJA17" s="88"/>
      <c r="LJB17" s="88"/>
      <c r="LJC17" s="90"/>
      <c r="LJD17" s="148"/>
      <c r="LJE17" s="88"/>
      <c r="LJF17" s="88"/>
      <c r="LJG17" s="90"/>
      <c r="LJH17" s="93"/>
      <c r="LJI17" s="88"/>
      <c r="LJJ17" s="88"/>
      <c r="LJK17" s="91"/>
      <c r="LJL17" s="93"/>
      <c r="LJM17" s="93"/>
      <c r="LJN17" s="88"/>
      <c r="LJO17" s="88"/>
      <c r="LJP17" s="90"/>
      <c r="LJQ17" s="148"/>
      <c r="LJR17" s="88"/>
      <c r="LJS17" s="88"/>
      <c r="LJT17" s="90"/>
      <c r="LJU17" s="93"/>
      <c r="LJV17" s="88"/>
      <c r="LJW17" s="88"/>
      <c r="LJX17" s="91"/>
      <c r="LJY17" s="93"/>
      <c r="LJZ17" s="93"/>
      <c r="LKA17" s="88"/>
      <c r="LKB17" s="88"/>
      <c r="LKC17" s="90"/>
      <c r="LKD17" s="148"/>
      <c r="LKE17" s="88"/>
      <c r="LKF17" s="88"/>
      <c r="LKG17" s="90"/>
      <c r="LKH17" s="93"/>
      <c r="LKI17" s="88"/>
      <c r="LKJ17" s="88"/>
      <c r="LKK17" s="91"/>
      <c r="LKL17" s="93"/>
      <c r="LKM17" s="93"/>
      <c r="LKN17" s="88"/>
      <c r="LKO17" s="88"/>
      <c r="LKP17" s="90"/>
      <c r="LKQ17" s="148"/>
      <c r="LKR17" s="88"/>
      <c r="LKS17" s="88"/>
      <c r="LKT17" s="90"/>
      <c r="LKU17" s="93"/>
      <c r="LKV17" s="88"/>
      <c r="LKW17" s="88"/>
      <c r="LKX17" s="91"/>
      <c r="LKY17" s="93"/>
      <c r="LKZ17" s="93"/>
      <c r="LLA17" s="88"/>
      <c r="LLB17" s="88"/>
      <c r="LLC17" s="90"/>
      <c r="LLD17" s="148"/>
      <c r="LLE17" s="88"/>
      <c r="LLF17" s="88"/>
      <c r="LLG17" s="90"/>
      <c r="LLH17" s="93"/>
      <c r="LLI17" s="88"/>
      <c r="LLJ17" s="88"/>
      <c r="LLK17" s="91"/>
      <c r="LLL17" s="93"/>
      <c r="LLM17" s="93"/>
      <c r="LLN17" s="88"/>
      <c r="LLO17" s="88"/>
      <c r="LLP17" s="90"/>
      <c r="LLQ17" s="148"/>
      <c r="LLR17" s="88"/>
      <c r="LLS17" s="88"/>
      <c r="LLT17" s="90"/>
      <c r="LLU17" s="93"/>
      <c r="LLV17" s="88"/>
      <c r="LLW17" s="88"/>
      <c r="LLX17" s="91"/>
      <c r="LLY17" s="93"/>
      <c r="LLZ17" s="93"/>
      <c r="LMA17" s="88"/>
      <c r="LMB17" s="88"/>
      <c r="LMC17" s="90"/>
      <c r="LMD17" s="148"/>
      <c r="LME17" s="88"/>
      <c r="LMF17" s="88"/>
      <c r="LMG17" s="90"/>
      <c r="LMH17" s="93"/>
      <c r="LMI17" s="88"/>
      <c r="LMJ17" s="88"/>
      <c r="LMK17" s="91"/>
      <c r="LML17" s="93"/>
      <c r="LMM17" s="93"/>
      <c r="LMN17" s="88"/>
      <c r="LMO17" s="88"/>
      <c r="LMP17" s="90"/>
      <c r="LMQ17" s="148"/>
      <c r="LMR17" s="88"/>
      <c r="LMS17" s="88"/>
      <c r="LMT17" s="90"/>
      <c r="LMU17" s="93"/>
      <c r="LMV17" s="88"/>
      <c r="LMW17" s="88"/>
      <c r="LMX17" s="91"/>
      <c r="LMY17" s="93"/>
      <c r="LMZ17" s="93"/>
      <c r="LNA17" s="88"/>
      <c r="LNB17" s="88"/>
      <c r="LNC17" s="90"/>
      <c r="LND17" s="148"/>
      <c r="LNE17" s="88"/>
      <c r="LNF17" s="88"/>
      <c r="LNG17" s="90"/>
      <c r="LNH17" s="93"/>
      <c r="LNI17" s="88"/>
      <c r="LNJ17" s="88"/>
      <c r="LNK17" s="91"/>
      <c r="LNL17" s="93"/>
      <c r="LNM17" s="93"/>
      <c r="LNN17" s="88"/>
      <c r="LNO17" s="88"/>
      <c r="LNP17" s="90"/>
      <c r="LNQ17" s="148"/>
      <c r="LNR17" s="88"/>
      <c r="LNS17" s="88"/>
      <c r="LNT17" s="90"/>
      <c r="LNU17" s="93"/>
      <c r="LNV17" s="88"/>
      <c r="LNW17" s="88"/>
      <c r="LNX17" s="91"/>
      <c r="LNY17" s="93"/>
      <c r="LNZ17" s="93"/>
      <c r="LOA17" s="88"/>
      <c r="LOB17" s="88"/>
      <c r="LOC17" s="90"/>
      <c r="LOD17" s="148"/>
      <c r="LOE17" s="88"/>
      <c r="LOF17" s="88"/>
      <c r="LOG17" s="90"/>
      <c r="LOH17" s="93"/>
      <c r="LOI17" s="88"/>
      <c r="LOJ17" s="88"/>
      <c r="LOK17" s="91"/>
      <c r="LOL17" s="93"/>
      <c r="LOM17" s="93"/>
      <c r="LON17" s="88"/>
      <c r="LOO17" s="88"/>
      <c r="LOP17" s="90"/>
      <c r="LOQ17" s="148"/>
      <c r="LOR17" s="88"/>
      <c r="LOS17" s="88"/>
      <c r="LOT17" s="90"/>
      <c r="LOU17" s="93"/>
      <c r="LOV17" s="88"/>
      <c r="LOW17" s="88"/>
      <c r="LOX17" s="91"/>
      <c r="LOY17" s="93"/>
      <c r="LOZ17" s="93"/>
      <c r="LPA17" s="88"/>
      <c r="LPB17" s="88"/>
      <c r="LPC17" s="90"/>
      <c r="LPD17" s="148"/>
      <c r="LPE17" s="88"/>
      <c r="LPF17" s="88"/>
      <c r="LPG17" s="90"/>
      <c r="LPH17" s="93"/>
      <c r="LPI17" s="88"/>
      <c r="LPJ17" s="88"/>
      <c r="LPK17" s="91"/>
      <c r="LPL17" s="93"/>
      <c r="LPM17" s="93"/>
      <c r="LPN17" s="88"/>
      <c r="LPO17" s="88"/>
      <c r="LPP17" s="90"/>
      <c r="LPQ17" s="148"/>
      <c r="LPR17" s="88"/>
      <c r="LPS17" s="88"/>
      <c r="LPT17" s="90"/>
      <c r="LPU17" s="93"/>
      <c r="LPV17" s="88"/>
      <c r="LPW17" s="88"/>
      <c r="LPX17" s="91"/>
      <c r="LPY17" s="93"/>
      <c r="LPZ17" s="93"/>
      <c r="LQA17" s="88"/>
      <c r="LQB17" s="88"/>
      <c r="LQC17" s="90"/>
      <c r="LQD17" s="148"/>
      <c r="LQE17" s="88"/>
      <c r="LQF17" s="88"/>
      <c r="LQG17" s="90"/>
      <c r="LQH17" s="93"/>
      <c r="LQI17" s="88"/>
      <c r="LQJ17" s="88"/>
      <c r="LQK17" s="91"/>
      <c r="LQL17" s="93"/>
      <c r="LQM17" s="93"/>
      <c r="LQN17" s="88"/>
      <c r="LQO17" s="88"/>
      <c r="LQP17" s="90"/>
      <c r="LQQ17" s="148"/>
      <c r="LQR17" s="88"/>
      <c r="LQS17" s="88"/>
      <c r="LQT17" s="90"/>
      <c r="LQU17" s="93"/>
      <c r="LQV17" s="88"/>
      <c r="LQW17" s="88"/>
      <c r="LQX17" s="91"/>
      <c r="LQY17" s="93"/>
      <c r="LQZ17" s="93"/>
      <c r="LRA17" s="88"/>
      <c r="LRB17" s="88"/>
      <c r="LRC17" s="90"/>
      <c r="LRD17" s="148"/>
      <c r="LRE17" s="88"/>
      <c r="LRF17" s="88"/>
      <c r="LRG17" s="90"/>
      <c r="LRH17" s="93"/>
      <c r="LRI17" s="88"/>
      <c r="LRJ17" s="88"/>
      <c r="LRK17" s="91"/>
      <c r="LRL17" s="93"/>
      <c r="LRM17" s="93"/>
      <c r="LRN17" s="88"/>
      <c r="LRO17" s="88"/>
      <c r="LRP17" s="90"/>
      <c r="LRQ17" s="148"/>
      <c r="LRR17" s="88"/>
      <c r="LRS17" s="88"/>
      <c r="LRT17" s="90"/>
      <c r="LRU17" s="93"/>
      <c r="LRV17" s="88"/>
      <c r="LRW17" s="88"/>
      <c r="LRX17" s="91"/>
      <c r="LRY17" s="93"/>
      <c r="LRZ17" s="93"/>
      <c r="LSA17" s="88"/>
      <c r="LSB17" s="88"/>
      <c r="LSC17" s="90"/>
      <c r="LSD17" s="148"/>
      <c r="LSE17" s="88"/>
      <c r="LSF17" s="88"/>
      <c r="LSG17" s="90"/>
      <c r="LSH17" s="93"/>
      <c r="LSI17" s="88"/>
      <c r="LSJ17" s="88"/>
      <c r="LSK17" s="91"/>
      <c r="LSL17" s="93"/>
      <c r="LSM17" s="93"/>
      <c r="LSN17" s="88"/>
      <c r="LSO17" s="88"/>
      <c r="LSP17" s="90"/>
      <c r="LSQ17" s="148"/>
      <c r="LSR17" s="88"/>
      <c r="LSS17" s="88"/>
      <c r="LST17" s="90"/>
      <c r="LSU17" s="93"/>
      <c r="LSV17" s="88"/>
      <c r="LSW17" s="88"/>
      <c r="LSX17" s="91"/>
      <c r="LSY17" s="93"/>
      <c r="LSZ17" s="93"/>
      <c r="LTA17" s="88"/>
      <c r="LTB17" s="88"/>
      <c r="LTC17" s="90"/>
      <c r="LTD17" s="148"/>
      <c r="LTE17" s="88"/>
      <c r="LTF17" s="88"/>
      <c r="LTG17" s="90"/>
      <c r="LTH17" s="93"/>
      <c r="LTI17" s="88"/>
      <c r="LTJ17" s="88"/>
      <c r="LTK17" s="91"/>
      <c r="LTL17" s="93"/>
      <c r="LTM17" s="93"/>
      <c r="LTN17" s="88"/>
      <c r="LTO17" s="88"/>
      <c r="LTP17" s="90"/>
      <c r="LTQ17" s="148"/>
      <c r="LTR17" s="88"/>
      <c r="LTS17" s="88"/>
      <c r="LTT17" s="90"/>
      <c r="LTU17" s="93"/>
      <c r="LTV17" s="88"/>
      <c r="LTW17" s="88"/>
      <c r="LTX17" s="91"/>
      <c r="LTY17" s="93"/>
      <c r="LTZ17" s="93"/>
      <c r="LUA17" s="88"/>
      <c r="LUB17" s="88"/>
      <c r="LUC17" s="90"/>
      <c r="LUD17" s="148"/>
      <c r="LUE17" s="88"/>
      <c r="LUF17" s="88"/>
      <c r="LUG17" s="90"/>
      <c r="LUH17" s="93"/>
      <c r="LUI17" s="88"/>
      <c r="LUJ17" s="88"/>
      <c r="LUK17" s="91"/>
      <c r="LUL17" s="93"/>
      <c r="LUM17" s="93"/>
      <c r="LUN17" s="88"/>
      <c r="LUO17" s="88"/>
      <c r="LUP17" s="90"/>
      <c r="LUQ17" s="148"/>
      <c r="LUR17" s="88"/>
      <c r="LUS17" s="88"/>
      <c r="LUT17" s="90"/>
      <c r="LUU17" s="93"/>
      <c r="LUV17" s="88"/>
      <c r="LUW17" s="88"/>
      <c r="LUX17" s="91"/>
      <c r="LUY17" s="93"/>
      <c r="LUZ17" s="93"/>
      <c r="LVA17" s="88"/>
      <c r="LVB17" s="88"/>
      <c r="LVC17" s="90"/>
      <c r="LVD17" s="148"/>
      <c r="LVE17" s="88"/>
      <c r="LVF17" s="88"/>
      <c r="LVG17" s="90"/>
      <c r="LVH17" s="93"/>
      <c r="LVI17" s="88"/>
      <c r="LVJ17" s="88"/>
      <c r="LVK17" s="91"/>
      <c r="LVL17" s="93"/>
      <c r="LVM17" s="93"/>
      <c r="LVN17" s="88"/>
      <c r="LVO17" s="88"/>
      <c r="LVP17" s="90"/>
      <c r="LVQ17" s="148"/>
      <c r="LVR17" s="88"/>
      <c r="LVS17" s="88"/>
      <c r="LVT17" s="90"/>
      <c r="LVU17" s="93"/>
      <c r="LVV17" s="88"/>
      <c r="LVW17" s="88"/>
      <c r="LVX17" s="91"/>
      <c r="LVY17" s="93"/>
      <c r="LVZ17" s="93"/>
      <c r="LWA17" s="88"/>
      <c r="LWB17" s="88"/>
      <c r="LWC17" s="90"/>
      <c r="LWD17" s="148"/>
      <c r="LWE17" s="88"/>
      <c r="LWF17" s="88"/>
      <c r="LWG17" s="90"/>
      <c r="LWH17" s="93"/>
      <c r="LWI17" s="88"/>
      <c r="LWJ17" s="88"/>
      <c r="LWK17" s="91"/>
      <c r="LWL17" s="93"/>
      <c r="LWM17" s="93"/>
      <c r="LWN17" s="88"/>
      <c r="LWO17" s="88"/>
      <c r="LWP17" s="90"/>
      <c r="LWQ17" s="148"/>
      <c r="LWR17" s="88"/>
      <c r="LWS17" s="88"/>
      <c r="LWT17" s="90"/>
      <c r="LWU17" s="93"/>
      <c r="LWV17" s="88"/>
      <c r="LWW17" s="88"/>
      <c r="LWX17" s="91"/>
      <c r="LWY17" s="93"/>
      <c r="LWZ17" s="93"/>
      <c r="LXA17" s="88"/>
      <c r="LXB17" s="88"/>
      <c r="LXC17" s="90"/>
      <c r="LXD17" s="148"/>
      <c r="LXE17" s="88"/>
      <c r="LXF17" s="88"/>
      <c r="LXG17" s="90"/>
      <c r="LXH17" s="93"/>
      <c r="LXI17" s="88"/>
      <c r="LXJ17" s="88"/>
      <c r="LXK17" s="91"/>
      <c r="LXL17" s="93"/>
      <c r="LXM17" s="93"/>
      <c r="LXN17" s="88"/>
      <c r="LXO17" s="88"/>
      <c r="LXP17" s="90"/>
      <c r="LXQ17" s="148"/>
      <c r="LXR17" s="88"/>
      <c r="LXS17" s="88"/>
      <c r="LXT17" s="90"/>
      <c r="LXU17" s="93"/>
      <c r="LXV17" s="88"/>
      <c r="LXW17" s="88"/>
      <c r="LXX17" s="91"/>
      <c r="LXY17" s="93"/>
      <c r="LXZ17" s="93"/>
      <c r="LYA17" s="88"/>
      <c r="LYB17" s="88"/>
      <c r="LYC17" s="90"/>
      <c r="LYD17" s="148"/>
      <c r="LYE17" s="88"/>
      <c r="LYF17" s="88"/>
      <c r="LYG17" s="90"/>
      <c r="LYH17" s="93"/>
      <c r="LYI17" s="88"/>
      <c r="LYJ17" s="88"/>
      <c r="LYK17" s="91"/>
      <c r="LYL17" s="93"/>
      <c r="LYM17" s="93"/>
      <c r="LYN17" s="88"/>
      <c r="LYO17" s="88"/>
      <c r="LYP17" s="90"/>
      <c r="LYQ17" s="148"/>
      <c r="LYR17" s="88"/>
      <c r="LYS17" s="88"/>
      <c r="LYT17" s="90"/>
      <c r="LYU17" s="93"/>
      <c r="LYV17" s="88"/>
      <c r="LYW17" s="88"/>
      <c r="LYX17" s="91"/>
      <c r="LYY17" s="93"/>
      <c r="LYZ17" s="93"/>
      <c r="LZA17" s="88"/>
      <c r="LZB17" s="88"/>
      <c r="LZC17" s="90"/>
      <c r="LZD17" s="148"/>
      <c r="LZE17" s="88"/>
      <c r="LZF17" s="88"/>
      <c r="LZG17" s="90"/>
      <c r="LZH17" s="93"/>
      <c r="LZI17" s="88"/>
      <c r="LZJ17" s="88"/>
      <c r="LZK17" s="91"/>
      <c r="LZL17" s="93"/>
      <c r="LZM17" s="93"/>
      <c r="LZN17" s="88"/>
      <c r="LZO17" s="88"/>
      <c r="LZP17" s="90"/>
      <c r="LZQ17" s="148"/>
      <c r="LZR17" s="88"/>
      <c r="LZS17" s="88"/>
      <c r="LZT17" s="90"/>
      <c r="LZU17" s="93"/>
      <c r="LZV17" s="88"/>
      <c r="LZW17" s="88"/>
      <c r="LZX17" s="91"/>
      <c r="LZY17" s="93"/>
      <c r="LZZ17" s="93"/>
      <c r="MAA17" s="88"/>
      <c r="MAB17" s="88"/>
      <c r="MAC17" s="90"/>
      <c r="MAD17" s="148"/>
      <c r="MAE17" s="88"/>
      <c r="MAF17" s="88"/>
      <c r="MAG17" s="90"/>
      <c r="MAH17" s="93"/>
      <c r="MAI17" s="88"/>
      <c r="MAJ17" s="88"/>
      <c r="MAK17" s="91"/>
      <c r="MAL17" s="93"/>
      <c r="MAM17" s="93"/>
      <c r="MAN17" s="88"/>
      <c r="MAO17" s="88"/>
      <c r="MAP17" s="90"/>
      <c r="MAQ17" s="148"/>
      <c r="MAR17" s="88"/>
      <c r="MAS17" s="88"/>
      <c r="MAT17" s="90"/>
      <c r="MAU17" s="93"/>
      <c r="MAV17" s="88"/>
      <c r="MAW17" s="88"/>
      <c r="MAX17" s="91"/>
      <c r="MAY17" s="93"/>
      <c r="MAZ17" s="93"/>
      <c r="MBA17" s="88"/>
      <c r="MBB17" s="88"/>
      <c r="MBC17" s="90"/>
      <c r="MBD17" s="148"/>
      <c r="MBE17" s="88"/>
      <c r="MBF17" s="88"/>
      <c r="MBG17" s="90"/>
      <c r="MBH17" s="93"/>
      <c r="MBI17" s="88"/>
      <c r="MBJ17" s="88"/>
      <c r="MBK17" s="91"/>
      <c r="MBL17" s="93"/>
      <c r="MBM17" s="93"/>
      <c r="MBN17" s="88"/>
      <c r="MBO17" s="88"/>
      <c r="MBP17" s="90"/>
      <c r="MBQ17" s="148"/>
      <c r="MBR17" s="88"/>
      <c r="MBS17" s="88"/>
      <c r="MBT17" s="90"/>
      <c r="MBU17" s="93"/>
      <c r="MBV17" s="88"/>
      <c r="MBW17" s="88"/>
      <c r="MBX17" s="91"/>
      <c r="MBY17" s="93"/>
      <c r="MBZ17" s="93"/>
      <c r="MCA17" s="88"/>
      <c r="MCB17" s="88"/>
      <c r="MCC17" s="90"/>
      <c r="MCD17" s="148"/>
      <c r="MCE17" s="88"/>
      <c r="MCF17" s="88"/>
      <c r="MCG17" s="90"/>
      <c r="MCH17" s="93"/>
      <c r="MCI17" s="88"/>
      <c r="MCJ17" s="88"/>
      <c r="MCK17" s="91"/>
      <c r="MCL17" s="93"/>
      <c r="MCM17" s="93"/>
      <c r="MCN17" s="88"/>
      <c r="MCO17" s="88"/>
      <c r="MCP17" s="90"/>
      <c r="MCQ17" s="148"/>
      <c r="MCR17" s="88"/>
      <c r="MCS17" s="88"/>
      <c r="MCT17" s="90"/>
      <c r="MCU17" s="93"/>
      <c r="MCV17" s="88"/>
      <c r="MCW17" s="88"/>
      <c r="MCX17" s="91"/>
      <c r="MCY17" s="93"/>
      <c r="MCZ17" s="93"/>
      <c r="MDA17" s="88"/>
      <c r="MDB17" s="88"/>
      <c r="MDC17" s="90"/>
      <c r="MDD17" s="148"/>
      <c r="MDE17" s="88"/>
      <c r="MDF17" s="88"/>
      <c r="MDG17" s="90"/>
      <c r="MDH17" s="93"/>
      <c r="MDI17" s="88"/>
      <c r="MDJ17" s="88"/>
      <c r="MDK17" s="91"/>
      <c r="MDL17" s="93"/>
      <c r="MDM17" s="93"/>
      <c r="MDN17" s="88"/>
      <c r="MDO17" s="88"/>
      <c r="MDP17" s="90"/>
      <c r="MDQ17" s="148"/>
      <c r="MDR17" s="88"/>
      <c r="MDS17" s="88"/>
      <c r="MDT17" s="90"/>
      <c r="MDU17" s="93"/>
      <c r="MDV17" s="88"/>
      <c r="MDW17" s="88"/>
      <c r="MDX17" s="91"/>
      <c r="MDY17" s="93"/>
      <c r="MDZ17" s="93"/>
      <c r="MEA17" s="88"/>
      <c r="MEB17" s="88"/>
      <c r="MEC17" s="90"/>
      <c r="MED17" s="148"/>
      <c r="MEE17" s="88"/>
      <c r="MEF17" s="88"/>
      <c r="MEG17" s="90"/>
      <c r="MEH17" s="93"/>
      <c r="MEI17" s="88"/>
      <c r="MEJ17" s="88"/>
      <c r="MEK17" s="91"/>
      <c r="MEL17" s="93"/>
      <c r="MEM17" s="93"/>
      <c r="MEN17" s="88"/>
      <c r="MEO17" s="88"/>
      <c r="MEP17" s="90"/>
      <c r="MEQ17" s="148"/>
      <c r="MER17" s="88"/>
      <c r="MES17" s="88"/>
      <c r="MET17" s="90"/>
      <c r="MEU17" s="93"/>
      <c r="MEV17" s="88"/>
      <c r="MEW17" s="88"/>
      <c r="MEX17" s="91"/>
      <c r="MEY17" s="93"/>
      <c r="MEZ17" s="93"/>
      <c r="MFA17" s="88"/>
      <c r="MFB17" s="88"/>
      <c r="MFC17" s="90"/>
      <c r="MFD17" s="148"/>
      <c r="MFE17" s="88"/>
      <c r="MFF17" s="88"/>
      <c r="MFG17" s="90"/>
      <c r="MFH17" s="93"/>
      <c r="MFI17" s="88"/>
      <c r="MFJ17" s="88"/>
      <c r="MFK17" s="91"/>
      <c r="MFL17" s="93"/>
      <c r="MFM17" s="93"/>
      <c r="MFN17" s="88"/>
      <c r="MFO17" s="88"/>
      <c r="MFP17" s="90"/>
      <c r="MFQ17" s="148"/>
      <c r="MFR17" s="88"/>
      <c r="MFS17" s="88"/>
      <c r="MFT17" s="90"/>
      <c r="MFU17" s="93"/>
      <c r="MFV17" s="88"/>
      <c r="MFW17" s="88"/>
      <c r="MFX17" s="91"/>
      <c r="MFY17" s="93"/>
      <c r="MFZ17" s="93"/>
      <c r="MGA17" s="88"/>
      <c r="MGB17" s="88"/>
      <c r="MGC17" s="90"/>
      <c r="MGD17" s="148"/>
      <c r="MGE17" s="88"/>
      <c r="MGF17" s="88"/>
      <c r="MGG17" s="90"/>
      <c r="MGH17" s="93"/>
      <c r="MGI17" s="88"/>
      <c r="MGJ17" s="88"/>
      <c r="MGK17" s="91"/>
      <c r="MGL17" s="93"/>
      <c r="MGM17" s="93"/>
      <c r="MGN17" s="88"/>
      <c r="MGO17" s="88"/>
      <c r="MGP17" s="90"/>
      <c r="MGQ17" s="148"/>
      <c r="MGR17" s="88"/>
      <c r="MGS17" s="88"/>
      <c r="MGT17" s="90"/>
      <c r="MGU17" s="93"/>
      <c r="MGV17" s="88"/>
      <c r="MGW17" s="88"/>
      <c r="MGX17" s="91"/>
      <c r="MGY17" s="93"/>
      <c r="MGZ17" s="93"/>
      <c r="MHA17" s="88"/>
      <c r="MHB17" s="88"/>
      <c r="MHC17" s="90"/>
      <c r="MHD17" s="148"/>
      <c r="MHE17" s="88"/>
      <c r="MHF17" s="88"/>
      <c r="MHG17" s="90"/>
      <c r="MHH17" s="93"/>
      <c r="MHI17" s="88"/>
      <c r="MHJ17" s="88"/>
      <c r="MHK17" s="91"/>
      <c r="MHL17" s="93"/>
      <c r="MHM17" s="93"/>
      <c r="MHN17" s="88"/>
      <c r="MHO17" s="88"/>
      <c r="MHP17" s="90"/>
      <c r="MHQ17" s="148"/>
      <c r="MHR17" s="88"/>
      <c r="MHS17" s="88"/>
      <c r="MHT17" s="90"/>
      <c r="MHU17" s="93"/>
      <c r="MHV17" s="88"/>
      <c r="MHW17" s="88"/>
      <c r="MHX17" s="91"/>
      <c r="MHY17" s="93"/>
      <c r="MHZ17" s="93"/>
      <c r="MIA17" s="88"/>
      <c r="MIB17" s="88"/>
      <c r="MIC17" s="90"/>
      <c r="MID17" s="148"/>
      <c r="MIE17" s="88"/>
      <c r="MIF17" s="88"/>
      <c r="MIG17" s="90"/>
      <c r="MIH17" s="93"/>
      <c r="MII17" s="88"/>
      <c r="MIJ17" s="88"/>
      <c r="MIK17" s="91"/>
      <c r="MIL17" s="93"/>
      <c r="MIM17" s="93"/>
      <c r="MIN17" s="88"/>
      <c r="MIO17" s="88"/>
      <c r="MIP17" s="90"/>
      <c r="MIQ17" s="148"/>
      <c r="MIR17" s="88"/>
      <c r="MIS17" s="88"/>
      <c r="MIT17" s="90"/>
      <c r="MIU17" s="93"/>
      <c r="MIV17" s="88"/>
      <c r="MIW17" s="88"/>
      <c r="MIX17" s="91"/>
      <c r="MIY17" s="93"/>
      <c r="MIZ17" s="93"/>
      <c r="MJA17" s="88"/>
      <c r="MJB17" s="88"/>
      <c r="MJC17" s="90"/>
      <c r="MJD17" s="148"/>
      <c r="MJE17" s="88"/>
      <c r="MJF17" s="88"/>
      <c r="MJG17" s="90"/>
      <c r="MJH17" s="93"/>
      <c r="MJI17" s="88"/>
      <c r="MJJ17" s="88"/>
      <c r="MJK17" s="91"/>
      <c r="MJL17" s="93"/>
      <c r="MJM17" s="93"/>
      <c r="MJN17" s="88"/>
      <c r="MJO17" s="88"/>
      <c r="MJP17" s="90"/>
      <c r="MJQ17" s="148"/>
      <c r="MJR17" s="88"/>
      <c r="MJS17" s="88"/>
      <c r="MJT17" s="90"/>
      <c r="MJU17" s="93"/>
      <c r="MJV17" s="88"/>
      <c r="MJW17" s="88"/>
      <c r="MJX17" s="91"/>
      <c r="MJY17" s="93"/>
      <c r="MJZ17" s="93"/>
      <c r="MKA17" s="88"/>
      <c r="MKB17" s="88"/>
      <c r="MKC17" s="90"/>
      <c r="MKD17" s="148"/>
      <c r="MKE17" s="88"/>
      <c r="MKF17" s="88"/>
      <c r="MKG17" s="90"/>
      <c r="MKH17" s="93"/>
      <c r="MKI17" s="88"/>
      <c r="MKJ17" s="88"/>
      <c r="MKK17" s="91"/>
      <c r="MKL17" s="93"/>
      <c r="MKM17" s="93"/>
      <c r="MKN17" s="88"/>
      <c r="MKO17" s="88"/>
      <c r="MKP17" s="90"/>
      <c r="MKQ17" s="148"/>
      <c r="MKR17" s="88"/>
      <c r="MKS17" s="88"/>
      <c r="MKT17" s="90"/>
      <c r="MKU17" s="93"/>
      <c r="MKV17" s="88"/>
      <c r="MKW17" s="88"/>
      <c r="MKX17" s="91"/>
      <c r="MKY17" s="93"/>
      <c r="MKZ17" s="93"/>
      <c r="MLA17" s="88"/>
      <c r="MLB17" s="88"/>
      <c r="MLC17" s="90"/>
      <c r="MLD17" s="148"/>
      <c r="MLE17" s="88"/>
      <c r="MLF17" s="88"/>
      <c r="MLG17" s="90"/>
      <c r="MLH17" s="93"/>
      <c r="MLI17" s="88"/>
      <c r="MLJ17" s="88"/>
      <c r="MLK17" s="91"/>
      <c r="MLL17" s="93"/>
      <c r="MLM17" s="93"/>
      <c r="MLN17" s="88"/>
      <c r="MLO17" s="88"/>
      <c r="MLP17" s="90"/>
      <c r="MLQ17" s="148"/>
      <c r="MLR17" s="88"/>
      <c r="MLS17" s="88"/>
      <c r="MLT17" s="90"/>
      <c r="MLU17" s="93"/>
      <c r="MLV17" s="88"/>
      <c r="MLW17" s="88"/>
      <c r="MLX17" s="91"/>
      <c r="MLY17" s="93"/>
      <c r="MLZ17" s="93"/>
      <c r="MMA17" s="88"/>
      <c r="MMB17" s="88"/>
      <c r="MMC17" s="90"/>
      <c r="MMD17" s="148"/>
      <c r="MME17" s="88"/>
      <c r="MMF17" s="88"/>
      <c r="MMG17" s="90"/>
      <c r="MMH17" s="93"/>
      <c r="MMI17" s="88"/>
      <c r="MMJ17" s="88"/>
      <c r="MMK17" s="91"/>
      <c r="MML17" s="93"/>
      <c r="MMM17" s="93"/>
      <c r="MMN17" s="88"/>
      <c r="MMO17" s="88"/>
      <c r="MMP17" s="90"/>
      <c r="MMQ17" s="148"/>
      <c r="MMR17" s="88"/>
      <c r="MMS17" s="88"/>
      <c r="MMT17" s="90"/>
      <c r="MMU17" s="93"/>
      <c r="MMV17" s="88"/>
      <c r="MMW17" s="88"/>
      <c r="MMX17" s="91"/>
      <c r="MMY17" s="93"/>
      <c r="MMZ17" s="93"/>
      <c r="MNA17" s="88"/>
      <c r="MNB17" s="88"/>
      <c r="MNC17" s="90"/>
      <c r="MND17" s="148"/>
      <c r="MNE17" s="88"/>
      <c r="MNF17" s="88"/>
      <c r="MNG17" s="90"/>
      <c r="MNH17" s="93"/>
      <c r="MNI17" s="88"/>
      <c r="MNJ17" s="88"/>
      <c r="MNK17" s="91"/>
      <c r="MNL17" s="93"/>
      <c r="MNM17" s="93"/>
      <c r="MNN17" s="88"/>
      <c r="MNO17" s="88"/>
      <c r="MNP17" s="90"/>
      <c r="MNQ17" s="148"/>
      <c r="MNR17" s="88"/>
      <c r="MNS17" s="88"/>
      <c r="MNT17" s="90"/>
      <c r="MNU17" s="93"/>
      <c r="MNV17" s="88"/>
      <c r="MNW17" s="88"/>
      <c r="MNX17" s="91"/>
      <c r="MNY17" s="93"/>
      <c r="MNZ17" s="93"/>
      <c r="MOA17" s="88"/>
      <c r="MOB17" s="88"/>
      <c r="MOC17" s="90"/>
      <c r="MOD17" s="148"/>
      <c r="MOE17" s="88"/>
      <c r="MOF17" s="88"/>
      <c r="MOG17" s="90"/>
      <c r="MOH17" s="93"/>
      <c r="MOI17" s="88"/>
      <c r="MOJ17" s="88"/>
      <c r="MOK17" s="91"/>
      <c r="MOL17" s="93"/>
      <c r="MOM17" s="93"/>
      <c r="MON17" s="88"/>
      <c r="MOO17" s="88"/>
      <c r="MOP17" s="90"/>
      <c r="MOQ17" s="148"/>
      <c r="MOR17" s="88"/>
      <c r="MOS17" s="88"/>
      <c r="MOT17" s="90"/>
      <c r="MOU17" s="93"/>
      <c r="MOV17" s="88"/>
      <c r="MOW17" s="88"/>
      <c r="MOX17" s="91"/>
      <c r="MOY17" s="93"/>
      <c r="MOZ17" s="93"/>
      <c r="MPA17" s="88"/>
      <c r="MPB17" s="88"/>
      <c r="MPC17" s="90"/>
      <c r="MPD17" s="148"/>
      <c r="MPE17" s="88"/>
      <c r="MPF17" s="88"/>
      <c r="MPG17" s="90"/>
      <c r="MPH17" s="93"/>
      <c r="MPI17" s="88"/>
      <c r="MPJ17" s="88"/>
      <c r="MPK17" s="91"/>
      <c r="MPL17" s="93"/>
      <c r="MPM17" s="93"/>
      <c r="MPN17" s="88"/>
      <c r="MPO17" s="88"/>
      <c r="MPP17" s="90"/>
      <c r="MPQ17" s="148"/>
      <c r="MPR17" s="88"/>
      <c r="MPS17" s="88"/>
      <c r="MPT17" s="90"/>
      <c r="MPU17" s="93"/>
      <c r="MPV17" s="88"/>
      <c r="MPW17" s="88"/>
      <c r="MPX17" s="91"/>
      <c r="MPY17" s="93"/>
      <c r="MPZ17" s="93"/>
      <c r="MQA17" s="88"/>
      <c r="MQB17" s="88"/>
      <c r="MQC17" s="90"/>
      <c r="MQD17" s="148"/>
      <c r="MQE17" s="88"/>
      <c r="MQF17" s="88"/>
      <c r="MQG17" s="90"/>
      <c r="MQH17" s="93"/>
      <c r="MQI17" s="88"/>
      <c r="MQJ17" s="88"/>
      <c r="MQK17" s="91"/>
      <c r="MQL17" s="93"/>
      <c r="MQM17" s="93"/>
      <c r="MQN17" s="88"/>
      <c r="MQO17" s="88"/>
      <c r="MQP17" s="90"/>
      <c r="MQQ17" s="148"/>
      <c r="MQR17" s="88"/>
      <c r="MQS17" s="88"/>
      <c r="MQT17" s="90"/>
      <c r="MQU17" s="93"/>
      <c r="MQV17" s="88"/>
      <c r="MQW17" s="88"/>
      <c r="MQX17" s="91"/>
      <c r="MQY17" s="93"/>
      <c r="MQZ17" s="93"/>
      <c r="MRA17" s="88"/>
      <c r="MRB17" s="88"/>
      <c r="MRC17" s="90"/>
      <c r="MRD17" s="148"/>
      <c r="MRE17" s="88"/>
      <c r="MRF17" s="88"/>
      <c r="MRG17" s="90"/>
      <c r="MRH17" s="93"/>
      <c r="MRI17" s="88"/>
      <c r="MRJ17" s="88"/>
      <c r="MRK17" s="91"/>
      <c r="MRL17" s="93"/>
      <c r="MRM17" s="93"/>
      <c r="MRN17" s="88"/>
      <c r="MRO17" s="88"/>
      <c r="MRP17" s="90"/>
      <c r="MRQ17" s="148"/>
      <c r="MRR17" s="88"/>
      <c r="MRS17" s="88"/>
      <c r="MRT17" s="90"/>
      <c r="MRU17" s="93"/>
      <c r="MRV17" s="88"/>
      <c r="MRW17" s="88"/>
      <c r="MRX17" s="91"/>
      <c r="MRY17" s="93"/>
      <c r="MRZ17" s="93"/>
      <c r="MSA17" s="88"/>
      <c r="MSB17" s="88"/>
      <c r="MSC17" s="90"/>
      <c r="MSD17" s="148"/>
      <c r="MSE17" s="88"/>
      <c r="MSF17" s="88"/>
      <c r="MSG17" s="90"/>
      <c r="MSH17" s="93"/>
      <c r="MSI17" s="88"/>
      <c r="MSJ17" s="88"/>
      <c r="MSK17" s="91"/>
      <c r="MSL17" s="93"/>
      <c r="MSM17" s="93"/>
      <c r="MSN17" s="88"/>
      <c r="MSO17" s="88"/>
      <c r="MSP17" s="90"/>
      <c r="MSQ17" s="148"/>
      <c r="MSR17" s="88"/>
      <c r="MSS17" s="88"/>
      <c r="MST17" s="90"/>
      <c r="MSU17" s="93"/>
      <c r="MSV17" s="88"/>
      <c r="MSW17" s="88"/>
      <c r="MSX17" s="91"/>
      <c r="MSY17" s="93"/>
      <c r="MSZ17" s="93"/>
      <c r="MTA17" s="88"/>
      <c r="MTB17" s="88"/>
      <c r="MTC17" s="90"/>
      <c r="MTD17" s="148"/>
      <c r="MTE17" s="88"/>
      <c r="MTF17" s="88"/>
      <c r="MTG17" s="90"/>
      <c r="MTH17" s="93"/>
      <c r="MTI17" s="88"/>
      <c r="MTJ17" s="88"/>
      <c r="MTK17" s="91"/>
      <c r="MTL17" s="93"/>
      <c r="MTM17" s="93"/>
      <c r="MTN17" s="88"/>
      <c r="MTO17" s="88"/>
      <c r="MTP17" s="90"/>
      <c r="MTQ17" s="148"/>
      <c r="MTR17" s="88"/>
      <c r="MTS17" s="88"/>
      <c r="MTT17" s="90"/>
      <c r="MTU17" s="93"/>
      <c r="MTV17" s="88"/>
      <c r="MTW17" s="88"/>
      <c r="MTX17" s="91"/>
      <c r="MTY17" s="93"/>
      <c r="MTZ17" s="93"/>
      <c r="MUA17" s="88"/>
      <c r="MUB17" s="88"/>
      <c r="MUC17" s="90"/>
      <c r="MUD17" s="148"/>
      <c r="MUE17" s="88"/>
      <c r="MUF17" s="88"/>
      <c r="MUG17" s="90"/>
      <c r="MUH17" s="93"/>
      <c r="MUI17" s="88"/>
      <c r="MUJ17" s="88"/>
      <c r="MUK17" s="91"/>
      <c r="MUL17" s="93"/>
      <c r="MUM17" s="93"/>
      <c r="MUN17" s="88"/>
      <c r="MUO17" s="88"/>
      <c r="MUP17" s="90"/>
      <c r="MUQ17" s="148"/>
      <c r="MUR17" s="88"/>
      <c r="MUS17" s="88"/>
      <c r="MUT17" s="90"/>
      <c r="MUU17" s="93"/>
      <c r="MUV17" s="88"/>
      <c r="MUW17" s="88"/>
      <c r="MUX17" s="91"/>
      <c r="MUY17" s="93"/>
      <c r="MUZ17" s="93"/>
      <c r="MVA17" s="88"/>
      <c r="MVB17" s="88"/>
      <c r="MVC17" s="90"/>
      <c r="MVD17" s="148"/>
      <c r="MVE17" s="88"/>
      <c r="MVF17" s="88"/>
      <c r="MVG17" s="90"/>
      <c r="MVH17" s="93"/>
      <c r="MVI17" s="88"/>
      <c r="MVJ17" s="88"/>
      <c r="MVK17" s="91"/>
      <c r="MVL17" s="93"/>
      <c r="MVM17" s="93"/>
      <c r="MVN17" s="88"/>
      <c r="MVO17" s="88"/>
      <c r="MVP17" s="90"/>
      <c r="MVQ17" s="148"/>
      <c r="MVR17" s="88"/>
      <c r="MVS17" s="88"/>
      <c r="MVT17" s="90"/>
      <c r="MVU17" s="93"/>
      <c r="MVV17" s="88"/>
      <c r="MVW17" s="88"/>
      <c r="MVX17" s="91"/>
      <c r="MVY17" s="93"/>
      <c r="MVZ17" s="93"/>
      <c r="MWA17" s="88"/>
      <c r="MWB17" s="88"/>
      <c r="MWC17" s="90"/>
      <c r="MWD17" s="148"/>
      <c r="MWE17" s="88"/>
      <c r="MWF17" s="88"/>
      <c r="MWG17" s="90"/>
      <c r="MWH17" s="93"/>
      <c r="MWI17" s="88"/>
      <c r="MWJ17" s="88"/>
      <c r="MWK17" s="91"/>
      <c r="MWL17" s="93"/>
      <c r="MWM17" s="93"/>
      <c r="MWN17" s="88"/>
      <c r="MWO17" s="88"/>
      <c r="MWP17" s="90"/>
      <c r="MWQ17" s="148"/>
      <c r="MWR17" s="88"/>
      <c r="MWS17" s="88"/>
      <c r="MWT17" s="90"/>
      <c r="MWU17" s="93"/>
      <c r="MWV17" s="88"/>
      <c r="MWW17" s="88"/>
      <c r="MWX17" s="91"/>
      <c r="MWY17" s="93"/>
      <c r="MWZ17" s="93"/>
      <c r="MXA17" s="88"/>
      <c r="MXB17" s="88"/>
      <c r="MXC17" s="90"/>
      <c r="MXD17" s="148"/>
      <c r="MXE17" s="88"/>
      <c r="MXF17" s="88"/>
      <c r="MXG17" s="90"/>
      <c r="MXH17" s="93"/>
      <c r="MXI17" s="88"/>
      <c r="MXJ17" s="88"/>
      <c r="MXK17" s="91"/>
      <c r="MXL17" s="93"/>
      <c r="MXM17" s="93"/>
      <c r="MXN17" s="88"/>
      <c r="MXO17" s="88"/>
      <c r="MXP17" s="90"/>
      <c r="MXQ17" s="148"/>
      <c r="MXR17" s="88"/>
      <c r="MXS17" s="88"/>
      <c r="MXT17" s="90"/>
      <c r="MXU17" s="93"/>
      <c r="MXV17" s="88"/>
      <c r="MXW17" s="88"/>
      <c r="MXX17" s="91"/>
      <c r="MXY17" s="93"/>
      <c r="MXZ17" s="93"/>
      <c r="MYA17" s="88"/>
      <c r="MYB17" s="88"/>
      <c r="MYC17" s="90"/>
      <c r="MYD17" s="148"/>
      <c r="MYE17" s="88"/>
      <c r="MYF17" s="88"/>
      <c r="MYG17" s="90"/>
      <c r="MYH17" s="93"/>
      <c r="MYI17" s="88"/>
      <c r="MYJ17" s="88"/>
      <c r="MYK17" s="91"/>
      <c r="MYL17" s="93"/>
      <c r="MYM17" s="93"/>
      <c r="MYN17" s="88"/>
      <c r="MYO17" s="88"/>
      <c r="MYP17" s="90"/>
      <c r="MYQ17" s="148"/>
      <c r="MYR17" s="88"/>
      <c r="MYS17" s="88"/>
      <c r="MYT17" s="90"/>
      <c r="MYU17" s="93"/>
      <c r="MYV17" s="88"/>
      <c r="MYW17" s="88"/>
      <c r="MYX17" s="91"/>
      <c r="MYY17" s="93"/>
      <c r="MYZ17" s="93"/>
      <c r="MZA17" s="88"/>
      <c r="MZB17" s="88"/>
      <c r="MZC17" s="90"/>
      <c r="MZD17" s="148"/>
      <c r="MZE17" s="88"/>
      <c r="MZF17" s="88"/>
      <c r="MZG17" s="90"/>
      <c r="MZH17" s="93"/>
      <c r="MZI17" s="88"/>
      <c r="MZJ17" s="88"/>
      <c r="MZK17" s="91"/>
      <c r="MZL17" s="93"/>
      <c r="MZM17" s="93"/>
      <c r="MZN17" s="88"/>
      <c r="MZO17" s="88"/>
      <c r="MZP17" s="90"/>
      <c r="MZQ17" s="148"/>
      <c r="MZR17" s="88"/>
      <c r="MZS17" s="88"/>
      <c r="MZT17" s="90"/>
      <c r="MZU17" s="93"/>
      <c r="MZV17" s="88"/>
      <c r="MZW17" s="88"/>
      <c r="MZX17" s="91"/>
      <c r="MZY17" s="93"/>
      <c r="MZZ17" s="93"/>
      <c r="NAA17" s="88"/>
      <c r="NAB17" s="88"/>
      <c r="NAC17" s="90"/>
      <c r="NAD17" s="148"/>
      <c r="NAE17" s="88"/>
      <c r="NAF17" s="88"/>
      <c r="NAG17" s="90"/>
      <c r="NAH17" s="93"/>
      <c r="NAI17" s="88"/>
      <c r="NAJ17" s="88"/>
      <c r="NAK17" s="91"/>
      <c r="NAL17" s="93"/>
      <c r="NAM17" s="93"/>
      <c r="NAN17" s="88"/>
      <c r="NAO17" s="88"/>
      <c r="NAP17" s="90"/>
      <c r="NAQ17" s="148"/>
      <c r="NAR17" s="88"/>
      <c r="NAS17" s="88"/>
      <c r="NAT17" s="90"/>
      <c r="NAU17" s="93"/>
      <c r="NAV17" s="88"/>
      <c r="NAW17" s="88"/>
      <c r="NAX17" s="91"/>
      <c r="NAY17" s="93"/>
      <c r="NAZ17" s="93"/>
      <c r="NBA17" s="88"/>
      <c r="NBB17" s="88"/>
      <c r="NBC17" s="90"/>
      <c r="NBD17" s="148"/>
      <c r="NBE17" s="88"/>
      <c r="NBF17" s="88"/>
      <c r="NBG17" s="90"/>
      <c r="NBH17" s="93"/>
      <c r="NBI17" s="88"/>
      <c r="NBJ17" s="88"/>
      <c r="NBK17" s="91"/>
      <c r="NBL17" s="93"/>
      <c r="NBM17" s="93"/>
      <c r="NBN17" s="88"/>
      <c r="NBO17" s="88"/>
      <c r="NBP17" s="90"/>
      <c r="NBQ17" s="148"/>
      <c r="NBR17" s="88"/>
      <c r="NBS17" s="88"/>
      <c r="NBT17" s="90"/>
      <c r="NBU17" s="93"/>
      <c r="NBV17" s="88"/>
      <c r="NBW17" s="88"/>
      <c r="NBX17" s="91"/>
      <c r="NBY17" s="93"/>
      <c r="NBZ17" s="93"/>
      <c r="NCA17" s="88"/>
      <c r="NCB17" s="88"/>
      <c r="NCC17" s="90"/>
      <c r="NCD17" s="148"/>
      <c r="NCE17" s="88"/>
      <c r="NCF17" s="88"/>
      <c r="NCG17" s="90"/>
      <c r="NCH17" s="93"/>
      <c r="NCI17" s="88"/>
      <c r="NCJ17" s="88"/>
      <c r="NCK17" s="91"/>
      <c r="NCL17" s="93"/>
      <c r="NCM17" s="93"/>
      <c r="NCN17" s="88"/>
      <c r="NCO17" s="88"/>
      <c r="NCP17" s="90"/>
      <c r="NCQ17" s="148"/>
      <c r="NCR17" s="88"/>
      <c r="NCS17" s="88"/>
      <c r="NCT17" s="90"/>
      <c r="NCU17" s="93"/>
      <c r="NCV17" s="88"/>
      <c r="NCW17" s="88"/>
      <c r="NCX17" s="91"/>
      <c r="NCY17" s="93"/>
      <c r="NCZ17" s="93"/>
      <c r="NDA17" s="88"/>
      <c r="NDB17" s="88"/>
      <c r="NDC17" s="90"/>
      <c r="NDD17" s="148"/>
      <c r="NDE17" s="88"/>
      <c r="NDF17" s="88"/>
      <c r="NDG17" s="90"/>
      <c r="NDH17" s="93"/>
      <c r="NDI17" s="88"/>
      <c r="NDJ17" s="88"/>
      <c r="NDK17" s="91"/>
      <c r="NDL17" s="93"/>
      <c r="NDM17" s="93"/>
      <c r="NDN17" s="88"/>
      <c r="NDO17" s="88"/>
      <c r="NDP17" s="90"/>
      <c r="NDQ17" s="148"/>
      <c r="NDR17" s="88"/>
      <c r="NDS17" s="88"/>
      <c r="NDT17" s="90"/>
      <c r="NDU17" s="93"/>
      <c r="NDV17" s="88"/>
      <c r="NDW17" s="88"/>
      <c r="NDX17" s="91"/>
      <c r="NDY17" s="93"/>
      <c r="NDZ17" s="93"/>
      <c r="NEA17" s="88"/>
      <c r="NEB17" s="88"/>
      <c r="NEC17" s="90"/>
      <c r="NED17" s="148"/>
      <c r="NEE17" s="88"/>
      <c r="NEF17" s="88"/>
      <c r="NEG17" s="90"/>
      <c r="NEH17" s="93"/>
      <c r="NEI17" s="88"/>
      <c r="NEJ17" s="88"/>
      <c r="NEK17" s="91"/>
      <c r="NEL17" s="93"/>
      <c r="NEM17" s="93"/>
      <c r="NEN17" s="88"/>
      <c r="NEO17" s="88"/>
      <c r="NEP17" s="90"/>
      <c r="NEQ17" s="148"/>
      <c r="NER17" s="88"/>
      <c r="NES17" s="88"/>
      <c r="NET17" s="90"/>
      <c r="NEU17" s="93"/>
      <c r="NEV17" s="88"/>
      <c r="NEW17" s="88"/>
      <c r="NEX17" s="91"/>
      <c r="NEY17" s="93"/>
      <c r="NEZ17" s="93"/>
      <c r="NFA17" s="88"/>
      <c r="NFB17" s="88"/>
      <c r="NFC17" s="90"/>
      <c r="NFD17" s="148"/>
      <c r="NFE17" s="88"/>
      <c r="NFF17" s="88"/>
      <c r="NFG17" s="90"/>
      <c r="NFH17" s="93"/>
      <c r="NFI17" s="88"/>
      <c r="NFJ17" s="88"/>
      <c r="NFK17" s="91"/>
      <c r="NFL17" s="93"/>
      <c r="NFM17" s="93"/>
      <c r="NFN17" s="88"/>
      <c r="NFO17" s="88"/>
      <c r="NFP17" s="90"/>
      <c r="NFQ17" s="148"/>
      <c r="NFR17" s="88"/>
      <c r="NFS17" s="88"/>
      <c r="NFT17" s="90"/>
      <c r="NFU17" s="93"/>
      <c r="NFV17" s="88"/>
      <c r="NFW17" s="88"/>
      <c r="NFX17" s="91"/>
      <c r="NFY17" s="93"/>
      <c r="NFZ17" s="93"/>
      <c r="NGA17" s="88"/>
      <c r="NGB17" s="88"/>
      <c r="NGC17" s="90"/>
      <c r="NGD17" s="148"/>
      <c r="NGE17" s="88"/>
      <c r="NGF17" s="88"/>
      <c r="NGG17" s="90"/>
      <c r="NGH17" s="93"/>
      <c r="NGI17" s="88"/>
      <c r="NGJ17" s="88"/>
      <c r="NGK17" s="91"/>
      <c r="NGL17" s="93"/>
      <c r="NGM17" s="93"/>
      <c r="NGN17" s="88"/>
      <c r="NGO17" s="88"/>
      <c r="NGP17" s="90"/>
      <c r="NGQ17" s="148"/>
      <c r="NGR17" s="88"/>
      <c r="NGS17" s="88"/>
      <c r="NGT17" s="90"/>
      <c r="NGU17" s="93"/>
      <c r="NGV17" s="88"/>
      <c r="NGW17" s="88"/>
      <c r="NGX17" s="91"/>
      <c r="NGY17" s="93"/>
      <c r="NGZ17" s="93"/>
      <c r="NHA17" s="88"/>
      <c r="NHB17" s="88"/>
      <c r="NHC17" s="90"/>
      <c r="NHD17" s="148"/>
      <c r="NHE17" s="88"/>
      <c r="NHF17" s="88"/>
      <c r="NHG17" s="90"/>
      <c r="NHH17" s="93"/>
      <c r="NHI17" s="88"/>
      <c r="NHJ17" s="88"/>
      <c r="NHK17" s="91"/>
      <c r="NHL17" s="93"/>
      <c r="NHM17" s="93"/>
      <c r="NHN17" s="88"/>
      <c r="NHO17" s="88"/>
      <c r="NHP17" s="90"/>
      <c r="NHQ17" s="148"/>
      <c r="NHR17" s="88"/>
      <c r="NHS17" s="88"/>
      <c r="NHT17" s="90"/>
      <c r="NHU17" s="93"/>
      <c r="NHV17" s="88"/>
      <c r="NHW17" s="88"/>
      <c r="NHX17" s="91"/>
      <c r="NHY17" s="93"/>
      <c r="NHZ17" s="93"/>
      <c r="NIA17" s="88"/>
      <c r="NIB17" s="88"/>
      <c r="NIC17" s="90"/>
      <c r="NID17" s="148"/>
      <c r="NIE17" s="88"/>
      <c r="NIF17" s="88"/>
      <c r="NIG17" s="90"/>
      <c r="NIH17" s="93"/>
      <c r="NII17" s="88"/>
      <c r="NIJ17" s="88"/>
      <c r="NIK17" s="91"/>
      <c r="NIL17" s="93"/>
      <c r="NIM17" s="93"/>
      <c r="NIN17" s="88"/>
      <c r="NIO17" s="88"/>
      <c r="NIP17" s="90"/>
      <c r="NIQ17" s="148"/>
      <c r="NIR17" s="88"/>
      <c r="NIS17" s="88"/>
      <c r="NIT17" s="90"/>
      <c r="NIU17" s="93"/>
      <c r="NIV17" s="88"/>
      <c r="NIW17" s="88"/>
      <c r="NIX17" s="91"/>
      <c r="NIY17" s="93"/>
      <c r="NIZ17" s="93"/>
      <c r="NJA17" s="88"/>
      <c r="NJB17" s="88"/>
      <c r="NJC17" s="90"/>
      <c r="NJD17" s="148"/>
      <c r="NJE17" s="88"/>
      <c r="NJF17" s="88"/>
      <c r="NJG17" s="90"/>
      <c r="NJH17" s="93"/>
      <c r="NJI17" s="88"/>
      <c r="NJJ17" s="88"/>
      <c r="NJK17" s="91"/>
      <c r="NJL17" s="93"/>
      <c r="NJM17" s="93"/>
      <c r="NJN17" s="88"/>
      <c r="NJO17" s="88"/>
      <c r="NJP17" s="90"/>
      <c r="NJQ17" s="148"/>
      <c r="NJR17" s="88"/>
      <c r="NJS17" s="88"/>
      <c r="NJT17" s="90"/>
      <c r="NJU17" s="93"/>
      <c r="NJV17" s="88"/>
      <c r="NJW17" s="88"/>
      <c r="NJX17" s="91"/>
      <c r="NJY17" s="93"/>
      <c r="NJZ17" s="93"/>
      <c r="NKA17" s="88"/>
      <c r="NKB17" s="88"/>
      <c r="NKC17" s="90"/>
      <c r="NKD17" s="148"/>
      <c r="NKE17" s="88"/>
      <c r="NKF17" s="88"/>
      <c r="NKG17" s="90"/>
      <c r="NKH17" s="93"/>
      <c r="NKI17" s="88"/>
      <c r="NKJ17" s="88"/>
      <c r="NKK17" s="91"/>
      <c r="NKL17" s="93"/>
      <c r="NKM17" s="93"/>
      <c r="NKN17" s="88"/>
      <c r="NKO17" s="88"/>
      <c r="NKP17" s="90"/>
      <c r="NKQ17" s="148"/>
      <c r="NKR17" s="88"/>
      <c r="NKS17" s="88"/>
      <c r="NKT17" s="90"/>
      <c r="NKU17" s="93"/>
      <c r="NKV17" s="88"/>
      <c r="NKW17" s="88"/>
      <c r="NKX17" s="91"/>
      <c r="NKY17" s="93"/>
      <c r="NKZ17" s="93"/>
      <c r="NLA17" s="88"/>
      <c r="NLB17" s="88"/>
      <c r="NLC17" s="90"/>
      <c r="NLD17" s="148"/>
      <c r="NLE17" s="88"/>
      <c r="NLF17" s="88"/>
      <c r="NLG17" s="90"/>
      <c r="NLH17" s="93"/>
      <c r="NLI17" s="88"/>
      <c r="NLJ17" s="88"/>
      <c r="NLK17" s="91"/>
      <c r="NLL17" s="93"/>
      <c r="NLM17" s="93"/>
      <c r="NLN17" s="88"/>
      <c r="NLO17" s="88"/>
      <c r="NLP17" s="90"/>
      <c r="NLQ17" s="148"/>
      <c r="NLR17" s="88"/>
      <c r="NLS17" s="88"/>
      <c r="NLT17" s="90"/>
      <c r="NLU17" s="93"/>
      <c r="NLV17" s="88"/>
      <c r="NLW17" s="88"/>
      <c r="NLX17" s="91"/>
      <c r="NLY17" s="93"/>
      <c r="NLZ17" s="93"/>
      <c r="NMA17" s="88"/>
      <c r="NMB17" s="88"/>
      <c r="NMC17" s="90"/>
      <c r="NMD17" s="148"/>
      <c r="NME17" s="88"/>
      <c r="NMF17" s="88"/>
      <c r="NMG17" s="90"/>
      <c r="NMH17" s="93"/>
      <c r="NMI17" s="88"/>
      <c r="NMJ17" s="88"/>
      <c r="NMK17" s="91"/>
      <c r="NML17" s="93"/>
      <c r="NMM17" s="93"/>
      <c r="NMN17" s="88"/>
      <c r="NMO17" s="88"/>
      <c r="NMP17" s="90"/>
      <c r="NMQ17" s="148"/>
      <c r="NMR17" s="88"/>
      <c r="NMS17" s="88"/>
      <c r="NMT17" s="90"/>
      <c r="NMU17" s="93"/>
      <c r="NMV17" s="88"/>
      <c r="NMW17" s="88"/>
      <c r="NMX17" s="91"/>
      <c r="NMY17" s="93"/>
      <c r="NMZ17" s="93"/>
      <c r="NNA17" s="88"/>
      <c r="NNB17" s="88"/>
      <c r="NNC17" s="90"/>
      <c r="NND17" s="148"/>
      <c r="NNE17" s="88"/>
      <c r="NNF17" s="88"/>
      <c r="NNG17" s="90"/>
      <c r="NNH17" s="93"/>
      <c r="NNI17" s="88"/>
      <c r="NNJ17" s="88"/>
      <c r="NNK17" s="91"/>
      <c r="NNL17" s="93"/>
      <c r="NNM17" s="93"/>
      <c r="NNN17" s="88"/>
      <c r="NNO17" s="88"/>
      <c r="NNP17" s="90"/>
      <c r="NNQ17" s="148"/>
      <c r="NNR17" s="88"/>
      <c r="NNS17" s="88"/>
      <c r="NNT17" s="90"/>
      <c r="NNU17" s="93"/>
      <c r="NNV17" s="88"/>
      <c r="NNW17" s="88"/>
      <c r="NNX17" s="91"/>
      <c r="NNY17" s="93"/>
      <c r="NNZ17" s="93"/>
      <c r="NOA17" s="88"/>
      <c r="NOB17" s="88"/>
      <c r="NOC17" s="90"/>
      <c r="NOD17" s="148"/>
      <c r="NOE17" s="88"/>
      <c r="NOF17" s="88"/>
      <c r="NOG17" s="90"/>
      <c r="NOH17" s="93"/>
      <c r="NOI17" s="88"/>
      <c r="NOJ17" s="88"/>
      <c r="NOK17" s="91"/>
      <c r="NOL17" s="93"/>
      <c r="NOM17" s="93"/>
      <c r="NON17" s="88"/>
      <c r="NOO17" s="88"/>
      <c r="NOP17" s="90"/>
      <c r="NOQ17" s="148"/>
      <c r="NOR17" s="88"/>
      <c r="NOS17" s="88"/>
      <c r="NOT17" s="90"/>
      <c r="NOU17" s="93"/>
      <c r="NOV17" s="88"/>
      <c r="NOW17" s="88"/>
      <c r="NOX17" s="91"/>
      <c r="NOY17" s="93"/>
      <c r="NOZ17" s="93"/>
      <c r="NPA17" s="88"/>
      <c r="NPB17" s="88"/>
      <c r="NPC17" s="90"/>
      <c r="NPD17" s="148"/>
      <c r="NPE17" s="88"/>
      <c r="NPF17" s="88"/>
      <c r="NPG17" s="90"/>
      <c r="NPH17" s="93"/>
      <c r="NPI17" s="88"/>
      <c r="NPJ17" s="88"/>
      <c r="NPK17" s="91"/>
      <c r="NPL17" s="93"/>
      <c r="NPM17" s="93"/>
      <c r="NPN17" s="88"/>
      <c r="NPO17" s="88"/>
      <c r="NPP17" s="90"/>
      <c r="NPQ17" s="148"/>
      <c r="NPR17" s="88"/>
      <c r="NPS17" s="88"/>
      <c r="NPT17" s="90"/>
      <c r="NPU17" s="93"/>
      <c r="NPV17" s="88"/>
      <c r="NPW17" s="88"/>
      <c r="NPX17" s="91"/>
      <c r="NPY17" s="93"/>
      <c r="NPZ17" s="93"/>
      <c r="NQA17" s="88"/>
      <c r="NQB17" s="88"/>
      <c r="NQC17" s="90"/>
      <c r="NQD17" s="148"/>
      <c r="NQE17" s="88"/>
      <c r="NQF17" s="88"/>
      <c r="NQG17" s="90"/>
      <c r="NQH17" s="93"/>
      <c r="NQI17" s="88"/>
      <c r="NQJ17" s="88"/>
      <c r="NQK17" s="91"/>
      <c r="NQL17" s="93"/>
      <c r="NQM17" s="93"/>
      <c r="NQN17" s="88"/>
      <c r="NQO17" s="88"/>
      <c r="NQP17" s="90"/>
      <c r="NQQ17" s="148"/>
      <c r="NQR17" s="88"/>
      <c r="NQS17" s="88"/>
      <c r="NQT17" s="90"/>
      <c r="NQU17" s="93"/>
      <c r="NQV17" s="88"/>
      <c r="NQW17" s="88"/>
      <c r="NQX17" s="91"/>
      <c r="NQY17" s="93"/>
      <c r="NQZ17" s="93"/>
      <c r="NRA17" s="88"/>
      <c r="NRB17" s="88"/>
      <c r="NRC17" s="90"/>
      <c r="NRD17" s="148"/>
      <c r="NRE17" s="88"/>
      <c r="NRF17" s="88"/>
      <c r="NRG17" s="90"/>
      <c r="NRH17" s="93"/>
      <c r="NRI17" s="88"/>
      <c r="NRJ17" s="88"/>
      <c r="NRK17" s="91"/>
      <c r="NRL17" s="93"/>
      <c r="NRM17" s="93"/>
      <c r="NRN17" s="88"/>
      <c r="NRO17" s="88"/>
      <c r="NRP17" s="90"/>
      <c r="NRQ17" s="148"/>
      <c r="NRR17" s="88"/>
      <c r="NRS17" s="88"/>
      <c r="NRT17" s="90"/>
      <c r="NRU17" s="93"/>
      <c r="NRV17" s="88"/>
      <c r="NRW17" s="88"/>
      <c r="NRX17" s="91"/>
      <c r="NRY17" s="93"/>
      <c r="NRZ17" s="93"/>
      <c r="NSA17" s="88"/>
      <c r="NSB17" s="88"/>
      <c r="NSC17" s="90"/>
      <c r="NSD17" s="148"/>
      <c r="NSE17" s="88"/>
      <c r="NSF17" s="88"/>
      <c r="NSG17" s="90"/>
      <c r="NSH17" s="93"/>
      <c r="NSI17" s="88"/>
      <c r="NSJ17" s="88"/>
      <c r="NSK17" s="91"/>
      <c r="NSL17" s="93"/>
      <c r="NSM17" s="93"/>
      <c r="NSN17" s="88"/>
      <c r="NSO17" s="88"/>
      <c r="NSP17" s="90"/>
      <c r="NSQ17" s="148"/>
      <c r="NSR17" s="88"/>
      <c r="NSS17" s="88"/>
      <c r="NST17" s="90"/>
      <c r="NSU17" s="93"/>
      <c r="NSV17" s="88"/>
      <c r="NSW17" s="88"/>
      <c r="NSX17" s="91"/>
      <c r="NSY17" s="93"/>
      <c r="NSZ17" s="93"/>
      <c r="NTA17" s="88"/>
      <c r="NTB17" s="88"/>
      <c r="NTC17" s="90"/>
      <c r="NTD17" s="148"/>
      <c r="NTE17" s="88"/>
      <c r="NTF17" s="88"/>
      <c r="NTG17" s="90"/>
      <c r="NTH17" s="93"/>
      <c r="NTI17" s="88"/>
      <c r="NTJ17" s="88"/>
      <c r="NTK17" s="91"/>
      <c r="NTL17" s="93"/>
      <c r="NTM17" s="93"/>
      <c r="NTN17" s="88"/>
      <c r="NTO17" s="88"/>
      <c r="NTP17" s="90"/>
      <c r="NTQ17" s="148"/>
      <c r="NTR17" s="88"/>
      <c r="NTS17" s="88"/>
      <c r="NTT17" s="90"/>
      <c r="NTU17" s="93"/>
      <c r="NTV17" s="88"/>
      <c r="NTW17" s="88"/>
      <c r="NTX17" s="91"/>
      <c r="NTY17" s="93"/>
      <c r="NTZ17" s="93"/>
      <c r="NUA17" s="88"/>
      <c r="NUB17" s="88"/>
      <c r="NUC17" s="90"/>
      <c r="NUD17" s="148"/>
      <c r="NUE17" s="88"/>
      <c r="NUF17" s="88"/>
      <c r="NUG17" s="90"/>
      <c r="NUH17" s="93"/>
      <c r="NUI17" s="88"/>
      <c r="NUJ17" s="88"/>
      <c r="NUK17" s="91"/>
      <c r="NUL17" s="93"/>
      <c r="NUM17" s="93"/>
      <c r="NUN17" s="88"/>
      <c r="NUO17" s="88"/>
      <c r="NUP17" s="90"/>
      <c r="NUQ17" s="148"/>
      <c r="NUR17" s="88"/>
      <c r="NUS17" s="88"/>
      <c r="NUT17" s="90"/>
      <c r="NUU17" s="93"/>
      <c r="NUV17" s="88"/>
      <c r="NUW17" s="88"/>
      <c r="NUX17" s="91"/>
      <c r="NUY17" s="93"/>
      <c r="NUZ17" s="93"/>
      <c r="NVA17" s="88"/>
      <c r="NVB17" s="88"/>
      <c r="NVC17" s="90"/>
      <c r="NVD17" s="148"/>
      <c r="NVE17" s="88"/>
      <c r="NVF17" s="88"/>
      <c r="NVG17" s="90"/>
      <c r="NVH17" s="93"/>
      <c r="NVI17" s="88"/>
      <c r="NVJ17" s="88"/>
      <c r="NVK17" s="91"/>
      <c r="NVL17" s="93"/>
      <c r="NVM17" s="93"/>
      <c r="NVN17" s="88"/>
      <c r="NVO17" s="88"/>
      <c r="NVP17" s="90"/>
      <c r="NVQ17" s="148"/>
      <c r="NVR17" s="88"/>
      <c r="NVS17" s="88"/>
      <c r="NVT17" s="90"/>
      <c r="NVU17" s="93"/>
      <c r="NVV17" s="88"/>
      <c r="NVW17" s="88"/>
      <c r="NVX17" s="91"/>
      <c r="NVY17" s="93"/>
      <c r="NVZ17" s="93"/>
      <c r="NWA17" s="88"/>
      <c r="NWB17" s="88"/>
      <c r="NWC17" s="90"/>
      <c r="NWD17" s="148"/>
      <c r="NWE17" s="88"/>
      <c r="NWF17" s="88"/>
      <c r="NWG17" s="90"/>
      <c r="NWH17" s="93"/>
      <c r="NWI17" s="88"/>
      <c r="NWJ17" s="88"/>
      <c r="NWK17" s="91"/>
      <c r="NWL17" s="93"/>
      <c r="NWM17" s="93"/>
      <c r="NWN17" s="88"/>
      <c r="NWO17" s="88"/>
      <c r="NWP17" s="90"/>
      <c r="NWQ17" s="148"/>
      <c r="NWR17" s="88"/>
      <c r="NWS17" s="88"/>
      <c r="NWT17" s="90"/>
      <c r="NWU17" s="93"/>
      <c r="NWV17" s="88"/>
      <c r="NWW17" s="88"/>
      <c r="NWX17" s="91"/>
      <c r="NWY17" s="93"/>
      <c r="NWZ17" s="93"/>
      <c r="NXA17" s="88"/>
      <c r="NXB17" s="88"/>
      <c r="NXC17" s="90"/>
      <c r="NXD17" s="148"/>
      <c r="NXE17" s="88"/>
      <c r="NXF17" s="88"/>
      <c r="NXG17" s="90"/>
      <c r="NXH17" s="93"/>
      <c r="NXI17" s="88"/>
      <c r="NXJ17" s="88"/>
      <c r="NXK17" s="91"/>
      <c r="NXL17" s="93"/>
      <c r="NXM17" s="93"/>
      <c r="NXN17" s="88"/>
      <c r="NXO17" s="88"/>
      <c r="NXP17" s="90"/>
      <c r="NXQ17" s="148"/>
      <c r="NXR17" s="88"/>
      <c r="NXS17" s="88"/>
      <c r="NXT17" s="90"/>
      <c r="NXU17" s="93"/>
      <c r="NXV17" s="88"/>
      <c r="NXW17" s="88"/>
      <c r="NXX17" s="91"/>
      <c r="NXY17" s="93"/>
      <c r="NXZ17" s="93"/>
      <c r="NYA17" s="88"/>
      <c r="NYB17" s="88"/>
      <c r="NYC17" s="90"/>
      <c r="NYD17" s="148"/>
      <c r="NYE17" s="88"/>
      <c r="NYF17" s="88"/>
      <c r="NYG17" s="90"/>
      <c r="NYH17" s="93"/>
      <c r="NYI17" s="88"/>
      <c r="NYJ17" s="88"/>
      <c r="NYK17" s="91"/>
      <c r="NYL17" s="93"/>
      <c r="NYM17" s="93"/>
      <c r="NYN17" s="88"/>
      <c r="NYO17" s="88"/>
      <c r="NYP17" s="90"/>
      <c r="NYQ17" s="148"/>
      <c r="NYR17" s="88"/>
      <c r="NYS17" s="88"/>
      <c r="NYT17" s="90"/>
      <c r="NYU17" s="93"/>
      <c r="NYV17" s="88"/>
      <c r="NYW17" s="88"/>
      <c r="NYX17" s="91"/>
      <c r="NYY17" s="93"/>
      <c r="NYZ17" s="93"/>
      <c r="NZA17" s="88"/>
      <c r="NZB17" s="88"/>
      <c r="NZC17" s="90"/>
      <c r="NZD17" s="148"/>
      <c r="NZE17" s="88"/>
      <c r="NZF17" s="88"/>
      <c r="NZG17" s="90"/>
      <c r="NZH17" s="93"/>
      <c r="NZI17" s="88"/>
      <c r="NZJ17" s="88"/>
      <c r="NZK17" s="91"/>
      <c r="NZL17" s="93"/>
      <c r="NZM17" s="93"/>
      <c r="NZN17" s="88"/>
      <c r="NZO17" s="88"/>
      <c r="NZP17" s="90"/>
      <c r="NZQ17" s="148"/>
      <c r="NZR17" s="88"/>
      <c r="NZS17" s="88"/>
      <c r="NZT17" s="90"/>
      <c r="NZU17" s="93"/>
      <c r="NZV17" s="88"/>
      <c r="NZW17" s="88"/>
      <c r="NZX17" s="91"/>
      <c r="NZY17" s="93"/>
      <c r="NZZ17" s="93"/>
      <c r="OAA17" s="88"/>
      <c r="OAB17" s="88"/>
      <c r="OAC17" s="90"/>
      <c r="OAD17" s="148"/>
      <c r="OAE17" s="88"/>
      <c r="OAF17" s="88"/>
      <c r="OAG17" s="90"/>
      <c r="OAH17" s="93"/>
      <c r="OAI17" s="88"/>
      <c r="OAJ17" s="88"/>
      <c r="OAK17" s="91"/>
      <c r="OAL17" s="93"/>
      <c r="OAM17" s="93"/>
      <c r="OAN17" s="88"/>
      <c r="OAO17" s="88"/>
      <c r="OAP17" s="90"/>
      <c r="OAQ17" s="148"/>
      <c r="OAR17" s="88"/>
      <c r="OAS17" s="88"/>
      <c r="OAT17" s="90"/>
      <c r="OAU17" s="93"/>
      <c r="OAV17" s="88"/>
      <c r="OAW17" s="88"/>
      <c r="OAX17" s="91"/>
      <c r="OAY17" s="93"/>
      <c r="OAZ17" s="93"/>
      <c r="OBA17" s="88"/>
      <c r="OBB17" s="88"/>
      <c r="OBC17" s="90"/>
      <c r="OBD17" s="148"/>
      <c r="OBE17" s="88"/>
      <c r="OBF17" s="88"/>
      <c r="OBG17" s="90"/>
      <c r="OBH17" s="93"/>
      <c r="OBI17" s="88"/>
      <c r="OBJ17" s="88"/>
      <c r="OBK17" s="91"/>
      <c r="OBL17" s="93"/>
      <c r="OBM17" s="93"/>
      <c r="OBN17" s="88"/>
      <c r="OBO17" s="88"/>
      <c r="OBP17" s="90"/>
      <c r="OBQ17" s="148"/>
      <c r="OBR17" s="88"/>
      <c r="OBS17" s="88"/>
      <c r="OBT17" s="90"/>
      <c r="OBU17" s="93"/>
      <c r="OBV17" s="88"/>
      <c r="OBW17" s="88"/>
      <c r="OBX17" s="91"/>
      <c r="OBY17" s="93"/>
      <c r="OBZ17" s="93"/>
      <c r="OCA17" s="88"/>
      <c r="OCB17" s="88"/>
      <c r="OCC17" s="90"/>
      <c r="OCD17" s="148"/>
      <c r="OCE17" s="88"/>
      <c r="OCF17" s="88"/>
      <c r="OCG17" s="90"/>
      <c r="OCH17" s="93"/>
      <c r="OCI17" s="88"/>
      <c r="OCJ17" s="88"/>
      <c r="OCK17" s="91"/>
      <c r="OCL17" s="93"/>
      <c r="OCM17" s="93"/>
      <c r="OCN17" s="88"/>
      <c r="OCO17" s="88"/>
      <c r="OCP17" s="90"/>
      <c r="OCQ17" s="148"/>
      <c r="OCR17" s="88"/>
      <c r="OCS17" s="88"/>
      <c r="OCT17" s="90"/>
      <c r="OCU17" s="93"/>
      <c r="OCV17" s="88"/>
      <c r="OCW17" s="88"/>
      <c r="OCX17" s="91"/>
      <c r="OCY17" s="93"/>
      <c r="OCZ17" s="93"/>
      <c r="ODA17" s="88"/>
      <c r="ODB17" s="88"/>
      <c r="ODC17" s="90"/>
      <c r="ODD17" s="148"/>
      <c r="ODE17" s="88"/>
      <c r="ODF17" s="88"/>
      <c r="ODG17" s="90"/>
      <c r="ODH17" s="93"/>
      <c r="ODI17" s="88"/>
      <c r="ODJ17" s="88"/>
      <c r="ODK17" s="91"/>
      <c r="ODL17" s="93"/>
      <c r="ODM17" s="93"/>
      <c r="ODN17" s="88"/>
      <c r="ODO17" s="88"/>
      <c r="ODP17" s="90"/>
      <c r="ODQ17" s="148"/>
      <c r="ODR17" s="88"/>
      <c r="ODS17" s="88"/>
      <c r="ODT17" s="90"/>
      <c r="ODU17" s="93"/>
      <c r="ODV17" s="88"/>
      <c r="ODW17" s="88"/>
      <c r="ODX17" s="91"/>
      <c r="ODY17" s="93"/>
      <c r="ODZ17" s="93"/>
      <c r="OEA17" s="88"/>
      <c r="OEB17" s="88"/>
      <c r="OEC17" s="90"/>
      <c r="OED17" s="148"/>
      <c r="OEE17" s="88"/>
      <c r="OEF17" s="88"/>
      <c r="OEG17" s="90"/>
      <c r="OEH17" s="93"/>
      <c r="OEI17" s="88"/>
      <c r="OEJ17" s="88"/>
      <c r="OEK17" s="91"/>
      <c r="OEL17" s="93"/>
      <c r="OEM17" s="93"/>
      <c r="OEN17" s="88"/>
      <c r="OEO17" s="88"/>
      <c r="OEP17" s="90"/>
      <c r="OEQ17" s="148"/>
      <c r="OER17" s="88"/>
      <c r="OES17" s="88"/>
      <c r="OET17" s="90"/>
      <c r="OEU17" s="93"/>
      <c r="OEV17" s="88"/>
      <c r="OEW17" s="88"/>
      <c r="OEX17" s="91"/>
      <c r="OEY17" s="93"/>
      <c r="OEZ17" s="93"/>
      <c r="OFA17" s="88"/>
      <c r="OFB17" s="88"/>
      <c r="OFC17" s="90"/>
      <c r="OFD17" s="148"/>
      <c r="OFE17" s="88"/>
      <c r="OFF17" s="88"/>
      <c r="OFG17" s="90"/>
      <c r="OFH17" s="93"/>
      <c r="OFI17" s="88"/>
      <c r="OFJ17" s="88"/>
      <c r="OFK17" s="91"/>
      <c r="OFL17" s="93"/>
      <c r="OFM17" s="93"/>
      <c r="OFN17" s="88"/>
      <c r="OFO17" s="88"/>
      <c r="OFP17" s="90"/>
      <c r="OFQ17" s="148"/>
      <c r="OFR17" s="88"/>
      <c r="OFS17" s="88"/>
      <c r="OFT17" s="90"/>
      <c r="OFU17" s="93"/>
      <c r="OFV17" s="88"/>
      <c r="OFW17" s="88"/>
      <c r="OFX17" s="91"/>
      <c r="OFY17" s="93"/>
      <c r="OFZ17" s="93"/>
      <c r="OGA17" s="88"/>
      <c r="OGB17" s="88"/>
      <c r="OGC17" s="90"/>
      <c r="OGD17" s="148"/>
      <c r="OGE17" s="88"/>
      <c r="OGF17" s="88"/>
      <c r="OGG17" s="90"/>
      <c r="OGH17" s="93"/>
      <c r="OGI17" s="88"/>
      <c r="OGJ17" s="88"/>
      <c r="OGK17" s="91"/>
      <c r="OGL17" s="93"/>
      <c r="OGM17" s="93"/>
      <c r="OGN17" s="88"/>
      <c r="OGO17" s="88"/>
      <c r="OGP17" s="90"/>
      <c r="OGQ17" s="148"/>
      <c r="OGR17" s="88"/>
      <c r="OGS17" s="88"/>
      <c r="OGT17" s="90"/>
      <c r="OGU17" s="93"/>
      <c r="OGV17" s="88"/>
      <c r="OGW17" s="88"/>
      <c r="OGX17" s="91"/>
      <c r="OGY17" s="93"/>
      <c r="OGZ17" s="93"/>
      <c r="OHA17" s="88"/>
      <c r="OHB17" s="88"/>
      <c r="OHC17" s="90"/>
      <c r="OHD17" s="148"/>
      <c r="OHE17" s="88"/>
      <c r="OHF17" s="88"/>
      <c r="OHG17" s="90"/>
      <c r="OHH17" s="93"/>
      <c r="OHI17" s="88"/>
      <c r="OHJ17" s="88"/>
      <c r="OHK17" s="91"/>
      <c r="OHL17" s="93"/>
      <c r="OHM17" s="93"/>
      <c r="OHN17" s="88"/>
      <c r="OHO17" s="88"/>
      <c r="OHP17" s="90"/>
      <c r="OHQ17" s="148"/>
      <c r="OHR17" s="88"/>
      <c r="OHS17" s="88"/>
      <c r="OHT17" s="90"/>
      <c r="OHU17" s="93"/>
      <c r="OHV17" s="88"/>
      <c r="OHW17" s="88"/>
      <c r="OHX17" s="91"/>
      <c r="OHY17" s="93"/>
      <c r="OHZ17" s="93"/>
      <c r="OIA17" s="88"/>
      <c r="OIB17" s="88"/>
      <c r="OIC17" s="90"/>
      <c r="OID17" s="148"/>
      <c r="OIE17" s="88"/>
      <c r="OIF17" s="88"/>
      <c r="OIG17" s="90"/>
      <c r="OIH17" s="93"/>
      <c r="OII17" s="88"/>
      <c r="OIJ17" s="88"/>
      <c r="OIK17" s="91"/>
      <c r="OIL17" s="93"/>
      <c r="OIM17" s="93"/>
      <c r="OIN17" s="88"/>
      <c r="OIO17" s="88"/>
      <c r="OIP17" s="90"/>
      <c r="OIQ17" s="148"/>
      <c r="OIR17" s="88"/>
      <c r="OIS17" s="88"/>
      <c r="OIT17" s="90"/>
      <c r="OIU17" s="93"/>
      <c r="OIV17" s="88"/>
      <c r="OIW17" s="88"/>
      <c r="OIX17" s="91"/>
      <c r="OIY17" s="93"/>
      <c r="OIZ17" s="93"/>
      <c r="OJA17" s="88"/>
      <c r="OJB17" s="88"/>
      <c r="OJC17" s="90"/>
      <c r="OJD17" s="148"/>
      <c r="OJE17" s="88"/>
      <c r="OJF17" s="88"/>
      <c r="OJG17" s="90"/>
      <c r="OJH17" s="93"/>
      <c r="OJI17" s="88"/>
      <c r="OJJ17" s="88"/>
      <c r="OJK17" s="91"/>
      <c r="OJL17" s="93"/>
      <c r="OJM17" s="93"/>
      <c r="OJN17" s="88"/>
      <c r="OJO17" s="88"/>
      <c r="OJP17" s="90"/>
      <c r="OJQ17" s="148"/>
      <c r="OJR17" s="88"/>
      <c r="OJS17" s="88"/>
      <c r="OJT17" s="90"/>
      <c r="OJU17" s="93"/>
      <c r="OJV17" s="88"/>
      <c r="OJW17" s="88"/>
      <c r="OJX17" s="91"/>
      <c r="OJY17" s="93"/>
      <c r="OJZ17" s="93"/>
      <c r="OKA17" s="88"/>
      <c r="OKB17" s="88"/>
      <c r="OKC17" s="90"/>
      <c r="OKD17" s="148"/>
      <c r="OKE17" s="88"/>
      <c r="OKF17" s="88"/>
      <c r="OKG17" s="90"/>
      <c r="OKH17" s="93"/>
      <c r="OKI17" s="88"/>
      <c r="OKJ17" s="88"/>
      <c r="OKK17" s="91"/>
      <c r="OKL17" s="93"/>
      <c r="OKM17" s="93"/>
      <c r="OKN17" s="88"/>
      <c r="OKO17" s="88"/>
      <c r="OKP17" s="90"/>
      <c r="OKQ17" s="148"/>
      <c r="OKR17" s="88"/>
      <c r="OKS17" s="88"/>
      <c r="OKT17" s="90"/>
      <c r="OKU17" s="93"/>
      <c r="OKV17" s="88"/>
      <c r="OKW17" s="88"/>
      <c r="OKX17" s="91"/>
      <c r="OKY17" s="93"/>
      <c r="OKZ17" s="93"/>
      <c r="OLA17" s="88"/>
      <c r="OLB17" s="88"/>
      <c r="OLC17" s="90"/>
      <c r="OLD17" s="148"/>
      <c r="OLE17" s="88"/>
      <c r="OLF17" s="88"/>
      <c r="OLG17" s="90"/>
      <c r="OLH17" s="93"/>
      <c r="OLI17" s="88"/>
      <c r="OLJ17" s="88"/>
      <c r="OLK17" s="91"/>
      <c r="OLL17" s="93"/>
      <c r="OLM17" s="93"/>
      <c r="OLN17" s="88"/>
      <c r="OLO17" s="88"/>
      <c r="OLP17" s="90"/>
      <c r="OLQ17" s="148"/>
      <c r="OLR17" s="88"/>
      <c r="OLS17" s="88"/>
      <c r="OLT17" s="90"/>
      <c r="OLU17" s="93"/>
      <c r="OLV17" s="88"/>
      <c r="OLW17" s="88"/>
      <c r="OLX17" s="91"/>
      <c r="OLY17" s="93"/>
      <c r="OLZ17" s="93"/>
      <c r="OMA17" s="88"/>
      <c r="OMB17" s="88"/>
      <c r="OMC17" s="90"/>
      <c r="OMD17" s="148"/>
      <c r="OME17" s="88"/>
      <c r="OMF17" s="88"/>
      <c r="OMG17" s="90"/>
      <c r="OMH17" s="93"/>
      <c r="OMI17" s="88"/>
      <c r="OMJ17" s="88"/>
      <c r="OMK17" s="91"/>
      <c r="OML17" s="93"/>
      <c r="OMM17" s="93"/>
      <c r="OMN17" s="88"/>
      <c r="OMO17" s="88"/>
      <c r="OMP17" s="90"/>
      <c r="OMQ17" s="148"/>
      <c r="OMR17" s="88"/>
      <c r="OMS17" s="88"/>
      <c r="OMT17" s="90"/>
      <c r="OMU17" s="93"/>
      <c r="OMV17" s="88"/>
      <c r="OMW17" s="88"/>
      <c r="OMX17" s="91"/>
      <c r="OMY17" s="93"/>
      <c r="OMZ17" s="93"/>
      <c r="ONA17" s="88"/>
      <c r="ONB17" s="88"/>
      <c r="ONC17" s="90"/>
      <c r="OND17" s="148"/>
      <c r="ONE17" s="88"/>
      <c r="ONF17" s="88"/>
      <c r="ONG17" s="90"/>
      <c r="ONH17" s="93"/>
      <c r="ONI17" s="88"/>
      <c r="ONJ17" s="88"/>
      <c r="ONK17" s="91"/>
      <c r="ONL17" s="93"/>
      <c r="ONM17" s="93"/>
      <c r="ONN17" s="88"/>
      <c r="ONO17" s="88"/>
      <c r="ONP17" s="90"/>
      <c r="ONQ17" s="148"/>
      <c r="ONR17" s="88"/>
      <c r="ONS17" s="88"/>
      <c r="ONT17" s="90"/>
      <c r="ONU17" s="93"/>
      <c r="ONV17" s="88"/>
      <c r="ONW17" s="88"/>
      <c r="ONX17" s="91"/>
      <c r="ONY17" s="93"/>
      <c r="ONZ17" s="93"/>
      <c r="OOA17" s="88"/>
      <c r="OOB17" s="88"/>
      <c r="OOC17" s="90"/>
      <c r="OOD17" s="148"/>
      <c r="OOE17" s="88"/>
      <c r="OOF17" s="88"/>
      <c r="OOG17" s="90"/>
      <c r="OOH17" s="93"/>
      <c r="OOI17" s="88"/>
      <c r="OOJ17" s="88"/>
      <c r="OOK17" s="91"/>
      <c r="OOL17" s="93"/>
      <c r="OOM17" s="93"/>
      <c r="OON17" s="88"/>
      <c r="OOO17" s="88"/>
      <c r="OOP17" s="90"/>
      <c r="OOQ17" s="148"/>
      <c r="OOR17" s="88"/>
      <c r="OOS17" s="88"/>
      <c r="OOT17" s="90"/>
      <c r="OOU17" s="93"/>
      <c r="OOV17" s="88"/>
      <c r="OOW17" s="88"/>
      <c r="OOX17" s="91"/>
      <c r="OOY17" s="93"/>
      <c r="OOZ17" s="93"/>
      <c r="OPA17" s="88"/>
      <c r="OPB17" s="88"/>
      <c r="OPC17" s="90"/>
      <c r="OPD17" s="148"/>
      <c r="OPE17" s="88"/>
      <c r="OPF17" s="88"/>
      <c r="OPG17" s="90"/>
      <c r="OPH17" s="93"/>
      <c r="OPI17" s="88"/>
      <c r="OPJ17" s="88"/>
      <c r="OPK17" s="91"/>
      <c r="OPL17" s="93"/>
      <c r="OPM17" s="93"/>
      <c r="OPN17" s="88"/>
      <c r="OPO17" s="88"/>
      <c r="OPP17" s="90"/>
      <c r="OPQ17" s="148"/>
      <c r="OPR17" s="88"/>
      <c r="OPS17" s="88"/>
      <c r="OPT17" s="90"/>
      <c r="OPU17" s="93"/>
      <c r="OPV17" s="88"/>
      <c r="OPW17" s="88"/>
      <c r="OPX17" s="91"/>
      <c r="OPY17" s="93"/>
      <c r="OPZ17" s="93"/>
      <c r="OQA17" s="88"/>
      <c r="OQB17" s="88"/>
      <c r="OQC17" s="90"/>
      <c r="OQD17" s="148"/>
      <c r="OQE17" s="88"/>
      <c r="OQF17" s="88"/>
      <c r="OQG17" s="90"/>
      <c r="OQH17" s="93"/>
      <c r="OQI17" s="88"/>
      <c r="OQJ17" s="88"/>
      <c r="OQK17" s="91"/>
      <c r="OQL17" s="93"/>
      <c r="OQM17" s="93"/>
      <c r="OQN17" s="88"/>
      <c r="OQO17" s="88"/>
      <c r="OQP17" s="90"/>
      <c r="OQQ17" s="148"/>
      <c r="OQR17" s="88"/>
      <c r="OQS17" s="88"/>
      <c r="OQT17" s="90"/>
      <c r="OQU17" s="93"/>
      <c r="OQV17" s="88"/>
      <c r="OQW17" s="88"/>
      <c r="OQX17" s="91"/>
      <c r="OQY17" s="93"/>
      <c r="OQZ17" s="93"/>
      <c r="ORA17" s="88"/>
      <c r="ORB17" s="88"/>
      <c r="ORC17" s="90"/>
      <c r="ORD17" s="148"/>
      <c r="ORE17" s="88"/>
      <c r="ORF17" s="88"/>
      <c r="ORG17" s="90"/>
      <c r="ORH17" s="93"/>
      <c r="ORI17" s="88"/>
      <c r="ORJ17" s="88"/>
      <c r="ORK17" s="91"/>
      <c r="ORL17" s="93"/>
      <c r="ORM17" s="93"/>
      <c r="ORN17" s="88"/>
      <c r="ORO17" s="88"/>
      <c r="ORP17" s="90"/>
      <c r="ORQ17" s="148"/>
      <c r="ORR17" s="88"/>
      <c r="ORS17" s="88"/>
      <c r="ORT17" s="90"/>
      <c r="ORU17" s="93"/>
      <c r="ORV17" s="88"/>
      <c r="ORW17" s="88"/>
      <c r="ORX17" s="91"/>
      <c r="ORY17" s="93"/>
      <c r="ORZ17" s="93"/>
      <c r="OSA17" s="88"/>
      <c r="OSB17" s="88"/>
      <c r="OSC17" s="90"/>
      <c r="OSD17" s="148"/>
      <c r="OSE17" s="88"/>
      <c r="OSF17" s="88"/>
      <c r="OSG17" s="90"/>
      <c r="OSH17" s="93"/>
      <c r="OSI17" s="88"/>
      <c r="OSJ17" s="88"/>
      <c r="OSK17" s="91"/>
      <c r="OSL17" s="93"/>
      <c r="OSM17" s="93"/>
      <c r="OSN17" s="88"/>
      <c r="OSO17" s="88"/>
      <c r="OSP17" s="90"/>
      <c r="OSQ17" s="148"/>
      <c r="OSR17" s="88"/>
      <c r="OSS17" s="88"/>
      <c r="OST17" s="90"/>
      <c r="OSU17" s="93"/>
      <c r="OSV17" s="88"/>
      <c r="OSW17" s="88"/>
      <c r="OSX17" s="91"/>
      <c r="OSY17" s="93"/>
      <c r="OSZ17" s="93"/>
      <c r="OTA17" s="88"/>
      <c r="OTB17" s="88"/>
      <c r="OTC17" s="90"/>
      <c r="OTD17" s="148"/>
      <c r="OTE17" s="88"/>
      <c r="OTF17" s="88"/>
      <c r="OTG17" s="90"/>
      <c r="OTH17" s="93"/>
      <c r="OTI17" s="88"/>
      <c r="OTJ17" s="88"/>
      <c r="OTK17" s="91"/>
      <c r="OTL17" s="93"/>
      <c r="OTM17" s="93"/>
      <c r="OTN17" s="88"/>
      <c r="OTO17" s="88"/>
      <c r="OTP17" s="90"/>
      <c r="OTQ17" s="148"/>
      <c r="OTR17" s="88"/>
      <c r="OTS17" s="88"/>
      <c r="OTT17" s="90"/>
      <c r="OTU17" s="93"/>
      <c r="OTV17" s="88"/>
      <c r="OTW17" s="88"/>
      <c r="OTX17" s="91"/>
      <c r="OTY17" s="93"/>
      <c r="OTZ17" s="93"/>
      <c r="OUA17" s="88"/>
      <c r="OUB17" s="88"/>
      <c r="OUC17" s="90"/>
      <c r="OUD17" s="148"/>
      <c r="OUE17" s="88"/>
      <c r="OUF17" s="88"/>
      <c r="OUG17" s="90"/>
      <c r="OUH17" s="93"/>
      <c r="OUI17" s="88"/>
      <c r="OUJ17" s="88"/>
      <c r="OUK17" s="91"/>
      <c r="OUL17" s="93"/>
      <c r="OUM17" s="93"/>
      <c r="OUN17" s="88"/>
      <c r="OUO17" s="88"/>
      <c r="OUP17" s="90"/>
      <c r="OUQ17" s="148"/>
      <c r="OUR17" s="88"/>
      <c r="OUS17" s="88"/>
      <c r="OUT17" s="90"/>
      <c r="OUU17" s="93"/>
      <c r="OUV17" s="88"/>
      <c r="OUW17" s="88"/>
      <c r="OUX17" s="91"/>
      <c r="OUY17" s="93"/>
      <c r="OUZ17" s="93"/>
      <c r="OVA17" s="88"/>
      <c r="OVB17" s="88"/>
      <c r="OVC17" s="90"/>
      <c r="OVD17" s="148"/>
      <c r="OVE17" s="88"/>
      <c r="OVF17" s="88"/>
      <c r="OVG17" s="90"/>
      <c r="OVH17" s="93"/>
      <c r="OVI17" s="88"/>
      <c r="OVJ17" s="88"/>
      <c r="OVK17" s="91"/>
      <c r="OVL17" s="93"/>
      <c r="OVM17" s="93"/>
      <c r="OVN17" s="88"/>
      <c r="OVO17" s="88"/>
      <c r="OVP17" s="90"/>
      <c r="OVQ17" s="148"/>
      <c r="OVR17" s="88"/>
      <c r="OVS17" s="88"/>
      <c r="OVT17" s="90"/>
      <c r="OVU17" s="93"/>
      <c r="OVV17" s="88"/>
      <c r="OVW17" s="88"/>
      <c r="OVX17" s="91"/>
      <c r="OVY17" s="93"/>
      <c r="OVZ17" s="93"/>
      <c r="OWA17" s="88"/>
      <c r="OWB17" s="88"/>
      <c r="OWC17" s="90"/>
      <c r="OWD17" s="148"/>
      <c r="OWE17" s="88"/>
      <c r="OWF17" s="88"/>
      <c r="OWG17" s="90"/>
      <c r="OWH17" s="93"/>
      <c r="OWI17" s="88"/>
      <c r="OWJ17" s="88"/>
      <c r="OWK17" s="91"/>
      <c r="OWL17" s="93"/>
      <c r="OWM17" s="93"/>
      <c r="OWN17" s="88"/>
      <c r="OWO17" s="88"/>
      <c r="OWP17" s="90"/>
      <c r="OWQ17" s="148"/>
      <c r="OWR17" s="88"/>
      <c r="OWS17" s="88"/>
      <c r="OWT17" s="90"/>
      <c r="OWU17" s="93"/>
      <c r="OWV17" s="88"/>
      <c r="OWW17" s="88"/>
      <c r="OWX17" s="91"/>
      <c r="OWY17" s="93"/>
      <c r="OWZ17" s="93"/>
      <c r="OXA17" s="88"/>
      <c r="OXB17" s="88"/>
      <c r="OXC17" s="90"/>
      <c r="OXD17" s="148"/>
      <c r="OXE17" s="88"/>
      <c r="OXF17" s="88"/>
      <c r="OXG17" s="90"/>
      <c r="OXH17" s="93"/>
      <c r="OXI17" s="88"/>
      <c r="OXJ17" s="88"/>
      <c r="OXK17" s="91"/>
      <c r="OXL17" s="93"/>
      <c r="OXM17" s="93"/>
      <c r="OXN17" s="88"/>
      <c r="OXO17" s="88"/>
      <c r="OXP17" s="90"/>
      <c r="OXQ17" s="148"/>
      <c r="OXR17" s="88"/>
      <c r="OXS17" s="88"/>
      <c r="OXT17" s="90"/>
      <c r="OXU17" s="93"/>
      <c r="OXV17" s="88"/>
      <c r="OXW17" s="88"/>
      <c r="OXX17" s="91"/>
      <c r="OXY17" s="93"/>
      <c r="OXZ17" s="93"/>
      <c r="OYA17" s="88"/>
      <c r="OYB17" s="88"/>
      <c r="OYC17" s="90"/>
      <c r="OYD17" s="148"/>
      <c r="OYE17" s="88"/>
      <c r="OYF17" s="88"/>
      <c r="OYG17" s="90"/>
      <c r="OYH17" s="93"/>
      <c r="OYI17" s="88"/>
      <c r="OYJ17" s="88"/>
      <c r="OYK17" s="91"/>
      <c r="OYL17" s="93"/>
      <c r="OYM17" s="93"/>
      <c r="OYN17" s="88"/>
      <c r="OYO17" s="88"/>
      <c r="OYP17" s="90"/>
      <c r="OYQ17" s="148"/>
      <c r="OYR17" s="88"/>
      <c r="OYS17" s="88"/>
      <c r="OYT17" s="90"/>
      <c r="OYU17" s="93"/>
      <c r="OYV17" s="88"/>
      <c r="OYW17" s="88"/>
      <c r="OYX17" s="91"/>
      <c r="OYY17" s="93"/>
      <c r="OYZ17" s="93"/>
      <c r="OZA17" s="88"/>
      <c r="OZB17" s="88"/>
      <c r="OZC17" s="90"/>
      <c r="OZD17" s="148"/>
      <c r="OZE17" s="88"/>
      <c r="OZF17" s="88"/>
      <c r="OZG17" s="90"/>
      <c r="OZH17" s="93"/>
      <c r="OZI17" s="88"/>
      <c r="OZJ17" s="88"/>
      <c r="OZK17" s="91"/>
      <c r="OZL17" s="93"/>
      <c r="OZM17" s="93"/>
      <c r="OZN17" s="88"/>
      <c r="OZO17" s="88"/>
      <c r="OZP17" s="90"/>
      <c r="OZQ17" s="148"/>
      <c r="OZR17" s="88"/>
      <c r="OZS17" s="88"/>
      <c r="OZT17" s="90"/>
      <c r="OZU17" s="93"/>
      <c r="OZV17" s="88"/>
      <c r="OZW17" s="88"/>
      <c r="OZX17" s="91"/>
      <c r="OZY17" s="93"/>
      <c r="OZZ17" s="93"/>
      <c r="PAA17" s="88"/>
      <c r="PAB17" s="88"/>
      <c r="PAC17" s="90"/>
      <c r="PAD17" s="148"/>
      <c r="PAE17" s="88"/>
      <c r="PAF17" s="88"/>
      <c r="PAG17" s="90"/>
      <c r="PAH17" s="93"/>
      <c r="PAI17" s="88"/>
      <c r="PAJ17" s="88"/>
      <c r="PAK17" s="91"/>
      <c r="PAL17" s="93"/>
      <c r="PAM17" s="93"/>
      <c r="PAN17" s="88"/>
      <c r="PAO17" s="88"/>
      <c r="PAP17" s="90"/>
      <c r="PAQ17" s="148"/>
      <c r="PAR17" s="88"/>
      <c r="PAS17" s="88"/>
      <c r="PAT17" s="90"/>
      <c r="PAU17" s="93"/>
      <c r="PAV17" s="88"/>
      <c r="PAW17" s="88"/>
      <c r="PAX17" s="91"/>
      <c r="PAY17" s="93"/>
      <c r="PAZ17" s="93"/>
      <c r="PBA17" s="88"/>
      <c r="PBB17" s="88"/>
      <c r="PBC17" s="90"/>
      <c r="PBD17" s="148"/>
      <c r="PBE17" s="88"/>
      <c r="PBF17" s="88"/>
      <c r="PBG17" s="90"/>
      <c r="PBH17" s="93"/>
      <c r="PBI17" s="88"/>
      <c r="PBJ17" s="88"/>
      <c r="PBK17" s="91"/>
      <c r="PBL17" s="93"/>
      <c r="PBM17" s="93"/>
      <c r="PBN17" s="88"/>
      <c r="PBO17" s="88"/>
      <c r="PBP17" s="90"/>
      <c r="PBQ17" s="148"/>
      <c r="PBR17" s="88"/>
      <c r="PBS17" s="88"/>
      <c r="PBT17" s="90"/>
      <c r="PBU17" s="93"/>
      <c r="PBV17" s="88"/>
      <c r="PBW17" s="88"/>
      <c r="PBX17" s="91"/>
      <c r="PBY17" s="93"/>
      <c r="PBZ17" s="93"/>
      <c r="PCA17" s="88"/>
      <c r="PCB17" s="88"/>
      <c r="PCC17" s="90"/>
      <c r="PCD17" s="148"/>
      <c r="PCE17" s="88"/>
      <c r="PCF17" s="88"/>
      <c r="PCG17" s="90"/>
      <c r="PCH17" s="93"/>
      <c r="PCI17" s="88"/>
      <c r="PCJ17" s="88"/>
      <c r="PCK17" s="91"/>
      <c r="PCL17" s="93"/>
      <c r="PCM17" s="93"/>
      <c r="PCN17" s="88"/>
      <c r="PCO17" s="88"/>
      <c r="PCP17" s="90"/>
      <c r="PCQ17" s="148"/>
      <c r="PCR17" s="88"/>
      <c r="PCS17" s="88"/>
      <c r="PCT17" s="90"/>
      <c r="PCU17" s="93"/>
      <c r="PCV17" s="88"/>
      <c r="PCW17" s="88"/>
      <c r="PCX17" s="91"/>
      <c r="PCY17" s="93"/>
      <c r="PCZ17" s="93"/>
      <c r="PDA17" s="88"/>
      <c r="PDB17" s="88"/>
      <c r="PDC17" s="90"/>
      <c r="PDD17" s="148"/>
      <c r="PDE17" s="88"/>
      <c r="PDF17" s="88"/>
      <c r="PDG17" s="90"/>
      <c r="PDH17" s="93"/>
      <c r="PDI17" s="88"/>
      <c r="PDJ17" s="88"/>
      <c r="PDK17" s="91"/>
      <c r="PDL17" s="93"/>
      <c r="PDM17" s="93"/>
      <c r="PDN17" s="88"/>
      <c r="PDO17" s="88"/>
      <c r="PDP17" s="90"/>
      <c r="PDQ17" s="148"/>
      <c r="PDR17" s="88"/>
      <c r="PDS17" s="88"/>
      <c r="PDT17" s="90"/>
      <c r="PDU17" s="93"/>
      <c r="PDV17" s="88"/>
      <c r="PDW17" s="88"/>
      <c r="PDX17" s="91"/>
      <c r="PDY17" s="93"/>
      <c r="PDZ17" s="93"/>
      <c r="PEA17" s="88"/>
      <c r="PEB17" s="88"/>
      <c r="PEC17" s="90"/>
      <c r="PED17" s="148"/>
      <c r="PEE17" s="88"/>
      <c r="PEF17" s="88"/>
      <c r="PEG17" s="90"/>
      <c r="PEH17" s="93"/>
      <c r="PEI17" s="88"/>
      <c r="PEJ17" s="88"/>
      <c r="PEK17" s="91"/>
      <c r="PEL17" s="93"/>
      <c r="PEM17" s="93"/>
      <c r="PEN17" s="88"/>
      <c r="PEO17" s="88"/>
      <c r="PEP17" s="90"/>
      <c r="PEQ17" s="148"/>
      <c r="PER17" s="88"/>
      <c r="PES17" s="88"/>
      <c r="PET17" s="90"/>
      <c r="PEU17" s="93"/>
      <c r="PEV17" s="88"/>
      <c r="PEW17" s="88"/>
      <c r="PEX17" s="91"/>
      <c r="PEY17" s="93"/>
      <c r="PEZ17" s="93"/>
      <c r="PFA17" s="88"/>
      <c r="PFB17" s="88"/>
      <c r="PFC17" s="90"/>
      <c r="PFD17" s="148"/>
      <c r="PFE17" s="88"/>
      <c r="PFF17" s="88"/>
      <c r="PFG17" s="90"/>
      <c r="PFH17" s="93"/>
      <c r="PFI17" s="88"/>
      <c r="PFJ17" s="88"/>
      <c r="PFK17" s="91"/>
      <c r="PFL17" s="93"/>
      <c r="PFM17" s="93"/>
      <c r="PFN17" s="88"/>
      <c r="PFO17" s="88"/>
      <c r="PFP17" s="90"/>
      <c r="PFQ17" s="148"/>
      <c r="PFR17" s="88"/>
      <c r="PFS17" s="88"/>
      <c r="PFT17" s="90"/>
      <c r="PFU17" s="93"/>
      <c r="PFV17" s="88"/>
      <c r="PFW17" s="88"/>
      <c r="PFX17" s="91"/>
      <c r="PFY17" s="93"/>
      <c r="PFZ17" s="93"/>
      <c r="PGA17" s="88"/>
      <c r="PGB17" s="88"/>
      <c r="PGC17" s="90"/>
      <c r="PGD17" s="148"/>
      <c r="PGE17" s="88"/>
      <c r="PGF17" s="88"/>
      <c r="PGG17" s="90"/>
      <c r="PGH17" s="93"/>
      <c r="PGI17" s="88"/>
      <c r="PGJ17" s="88"/>
      <c r="PGK17" s="91"/>
      <c r="PGL17" s="93"/>
      <c r="PGM17" s="93"/>
      <c r="PGN17" s="88"/>
      <c r="PGO17" s="88"/>
      <c r="PGP17" s="90"/>
      <c r="PGQ17" s="148"/>
      <c r="PGR17" s="88"/>
      <c r="PGS17" s="88"/>
      <c r="PGT17" s="90"/>
      <c r="PGU17" s="93"/>
      <c r="PGV17" s="88"/>
      <c r="PGW17" s="88"/>
      <c r="PGX17" s="91"/>
      <c r="PGY17" s="93"/>
      <c r="PGZ17" s="93"/>
      <c r="PHA17" s="88"/>
      <c r="PHB17" s="88"/>
      <c r="PHC17" s="90"/>
      <c r="PHD17" s="148"/>
      <c r="PHE17" s="88"/>
      <c r="PHF17" s="88"/>
      <c r="PHG17" s="90"/>
      <c r="PHH17" s="93"/>
      <c r="PHI17" s="88"/>
      <c r="PHJ17" s="88"/>
      <c r="PHK17" s="91"/>
      <c r="PHL17" s="93"/>
      <c r="PHM17" s="93"/>
      <c r="PHN17" s="88"/>
      <c r="PHO17" s="88"/>
      <c r="PHP17" s="90"/>
      <c r="PHQ17" s="148"/>
      <c r="PHR17" s="88"/>
      <c r="PHS17" s="88"/>
      <c r="PHT17" s="90"/>
      <c r="PHU17" s="93"/>
      <c r="PHV17" s="88"/>
      <c r="PHW17" s="88"/>
      <c r="PHX17" s="91"/>
      <c r="PHY17" s="93"/>
      <c r="PHZ17" s="93"/>
      <c r="PIA17" s="88"/>
      <c r="PIB17" s="88"/>
      <c r="PIC17" s="90"/>
      <c r="PID17" s="148"/>
      <c r="PIE17" s="88"/>
      <c r="PIF17" s="88"/>
      <c r="PIG17" s="90"/>
      <c r="PIH17" s="93"/>
      <c r="PII17" s="88"/>
      <c r="PIJ17" s="88"/>
      <c r="PIK17" s="91"/>
      <c r="PIL17" s="93"/>
      <c r="PIM17" s="93"/>
      <c r="PIN17" s="88"/>
      <c r="PIO17" s="88"/>
      <c r="PIP17" s="90"/>
      <c r="PIQ17" s="148"/>
      <c r="PIR17" s="88"/>
      <c r="PIS17" s="88"/>
      <c r="PIT17" s="90"/>
      <c r="PIU17" s="93"/>
      <c r="PIV17" s="88"/>
      <c r="PIW17" s="88"/>
      <c r="PIX17" s="91"/>
      <c r="PIY17" s="93"/>
      <c r="PIZ17" s="93"/>
      <c r="PJA17" s="88"/>
      <c r="PJB17" s="88"/>
      <c r="PJC17" s="90"/>
      <c r="PJD17" s="148"/>
      <c r="PJE17" s="88"/>
      <c r="PJF17" s="88"/>
      <c r="PJG17" s="90"/>
      <c r="PJH17" s="93"/>
      <c r="PJI17" s="88"/>
      <c r="PJJ17" s="88"/>
      <c r="PJK17" s="91"/>
      <c r="PJL17" s="93"/>
      <c r="PJM17" s="93"/>
      <c r="PJN17" s="88"/>
      <c r="PJO17" s="88"/>
      <c r="PJP17" s="90"/>
      <c r="PJQ17" s="148"/>
      <c r="PJR17" s="88"/>
      <c r="PJS17" s="88"/>
      <c r="PJT17" s="90"/>
      <c r="PJU17" s="93"/>
      <c r="PJV17" s="88"/>
      <c r="PJW17" s="88"/>
      <c r="PJX17" s="91"/>
      <c r="PJY17" s="93"/>
      <c r="PJZ17" s="93"/>
      <c r="PKA17" s="88"/>
      <c r="PKB17" s="88"/>
      <c r="PKC17" s="90"/>
      <c r="PKD17" s="148"/>
      <c r="PKE17" s="88"/>
      <c r="PKF17" s="88"/>
      <c r="PKG17" s="90"/>
      <c r="PKH17" s="93"/>
      <c r="PKI17" s="88"/>
      <c r="PKJ17" s="88"/>
      <c r="PKK17" s="91"/>
      <c r="PKL17" s="93"/>
      <c r="PKM17" s="93"/>
      <c r="PKN17" s="88"/>
      <c r="PKO17" s="88"/>
      <c r="PKP17" s="90"/>
      <c r="PKQ17" s="148"/>
      <c r="PKR17" s="88"/>
      <c r="PKS17" s="88"/>
      <c r="PKT17" s="90"/>
      <c r="PKU17" s="93"/>
      <c r="PKV17" s="88"/>
      <c r="PKW17" s="88"/>
      <c r="PKX17" s="91"/>
      <c r="PKY17" s="93"/>
      <c r="PKZ17" s="93"/>
      <c r="PLA17" s="88"/>
      <c r="PLB17" s="88"/>
      <c r="PLC17" s="90"/>
      <c r="PLD17" s="148"/>
      <c r="PLE17" s="88"/>
      <c r="PLF17" s="88"/>
      <c r="PLG17" s="90"/>
      <c r="PLH17" s="93"/>
      <c r="PLI17" s="88"/>
      <c r="PLJ17" s="88"/>
      <c r="PLK17" s="91"/>
      <c r="PLL17" s="93"/>
      <c r="PLM17" s="93"/>
      <c r="PLN17" s="88"/>
      <c r="PLO17" s="88"/>
      <c r="PLP17" s="90"/>
      <c r="PLQ17" s="148"/>
      <c r="PLR17" s="88"/>
      <c r="PLS17" s="88"/>
      <c r="PLT17" s="90"/>
      <c r="PLU17" s="93"/>
      <c r="PLV17" s="88"/>
      <c r="PLW17" s="88"/>
      <c r="PLX17" s="91"/>
      <c r="PLY17" s="93"/>
      <c r="PLZ17" s="93"/>
      <c r="PMA17" s="88"/>
      <c r="PMB17" s="88"/>
      <c r="PMC17" s="90"/>
      <c r="PMD17" s="148"/>
      <c r="PME17" s="88"/>
      <c r="PMF17" s="88"/>
      <c r="PMG17" s="90"/>
      <c r="PMH17" s="93"/>
      <c r="PMI17" s="88"/>
      <c r="PMJ17" s="88"/>
      <c r="PMK17" s="91"/>
      <c r="PML17" s="93"/>
      <c r="PMM17" s="93"/>
      <c r="PMN17" s="88"/>
      <c r="PMO17" s="88"/>
      <c r="PMP17" s="90"/>
      <c r="PMQ17" s="148"/>
      <c r="PMR17" s="88"/>
      <c r="PMS17" s="88"/>
      <c r="PMT17" s="90"/>
      <c r="PMU17" s="93"/>
      <c r="PMV17" s="88"/>
      <c r="PMW17" s="88"/>
      <c r="PMX17" s="91"/>
      <c r="PMY17" s="93"/>
      <c r="PMZ17" s="93"/>
      <c r="PNA17" s="88"/>
      <c r="PNB17" s="88"/>
      <c r="PNC17" s="90"/>
      <c r="PND17" s="148"/>
      <c r="PNE17" s="88"/>
      <c r="PNF17" s="88"/>
      <c r="PNG17" s="90"/>
      <c r="PNH17" s="93"/>
      <c r="PNI17" s="88"/>
      <c r="PNJ17" s="88"/>
      <c r="PNK17" s="91"/>
      <c r="PNL17" s="93"/>
      <c r="PNM17" s="93"/>
      <c r="PNN17" s="88"/>
      <c r="PNO17" s="88"/>
      <c r="PNP17" s="90"/>
      <c r="PNQ17" s="148"/>
      <c r="PNR17" s="88"/>
      <c r="PNS17" s="88"/>
      <c r="PNT17" s="90"/>
      <c r="PNU17" s="93"/>
      <c r="PNV17" s="88"/>
      <c r="PNW17" s="88"/>
      <c r="PNX17" s="91"/>
      <c r="PNY17" s="93"/>
      <c r="PNZ17" s="93"/>
      <c r="POA17" s="88"/>
      <c r="POB17" s="88"/>
      <c r="POC17" s="90"/>
      <c r="POD17" s="148"/>
      <c r="POE17" s="88"/>
      <c r="POF17" s="88"/>
      <c r="POG17" s="90"/>
      <c r="POH17" s="93"/>
      <c r="POI17" s="88"/>
      <c r="POJ17" s="88"/>
      <c r="POK17" s="91"/>
      <c r="POL17" s="93"/>
      <c r="POM17" s="93"/>
      <c r="PON17" s="88"/>
      <c r="POO17" s="88"/>
      <c r="POP17" s="90"/>
      <c r="POQ17" s="148"/>
      <c r="POR17" s="88"/>
      <c r="POS17" s="88"/>
      <c r="POT17" s="90"/>
      <c r="POU17" s="93"/>
      <c r="POV17" s="88"/>
      <c r="POW17" s="88"/>
      <c r="POX17" s="91"/>
      <c r="POY17" s="93"/>
      <c r="POZ17" s="93"/>
      <c r="PPA17" s="88"/>
      <c r="PPB17" s="88"/>
      <c r="PPC17" s="90"/>
      <c r="PPD17" s="148"/>
      <c r="PPE17" s="88"/>
      <c r="PPF17" s="88"/>
      <c r="PPG17" s="90"/>
      <c r="PPH17" s="93"/>
      <c r="PPI17" s="88"/>
      <c r="PPJ17" s="88"/>
      <c r="PPK17" s="91"/>
      <c r="PPL17" s="93"/>
      <c r="PPM17" s="93"/>
      <c r="PPN17" s="88"/>
      <c r="PPO17" s="88"/>
      <c r="PPP17" s="90"/>
      <c r="PPQ17" s="148"/>
      <c r="PPR17" s="88"/>
      <c r="PPS17" s="88"/>
      <c r="PPT17" s="90"/>
      <c r="PPU17" s="93"/>
      <c r="PPV17" s="88"/>
      <c r="PPW17" s="88"/>
      <c r="PPX17" s="91"/>
      <c r="PPY17" s="93"/>
      <c r="PPZ17" s="93"/>
      <c r="PQA17" s="88"/>
      <c r="PQB17" s="88"/>
      <c r="PQC17" s="90"/>
      <c r="PQD17" s="148"/>
      <c r="PQE17" s="88"/>
      <c r="PQF17" s="88"/>
      <c r="PQG17" s="90"/>
      <c r="PQH17" s="93"/>
      <c r="PQI17" s="88"/>
      <c r="PQJ17" s="88"/>
      <c r="PQK17" s="91"/>
      <c r="PQL17" s="93"/>
      <c r="PQM17" s="93"/>
      <c r="PQN17" s="88"/>
      <c r="PQO17" s="88"/>
      <c r="PQP17" s="90"/>
      <c r="PQQ17" s="148"/>
      <c r="PQR17" s="88"/>
      <c r="PQS17" s="88"/>
      <c r="PQT17" s="90"/>
      <c r="PQU17" s="93"/>
      <c r="PQV17" s="88"/>
      <c r="PQW17" s="88"/>
      <c r="PQX17" s="91"/>
      <c r="PQY17" s="93"/>
      <c r="PQZ17" s="93"/>
      <c r="PRA17" s="88"/>
      <c r="PRB17" s="88"/>
      <c r="PRC17" s="90"/>
      <c r="PRD17" s="148"/>
      <c r="PRE17" s="88"/>
      <c r="PRF17" s="88"/>
      <c r="PRG17" s="90"/>
      <c r="PRH17" s="93"/>
      <c r="PRI17" s="88"/>
      <c r="PRJ17" s="88"/>
      <c r="PRK17" s="91"/>
      <c r="PRL17" s="93"/>
      <c r="PRM17" s="93"/>
      <c r="PRN17" s="88"/>
      <c r="PRO17" s="88"/>
      <c r="PRP17" s="90"/>
      <c r="PRQ17" s="148"/>
      <c r="PRR17" s="88"/>
      <c r="PRS17" s="88"/>
      <c r="PRT17" s="90"/>
      <c r="PRU17" s="93"/>
      <c r="PRV17" s="88"/>
      <c r="PRW17" s="88"/>
      <c r="PRX17" s="91"/>
      <c r="PRY17" s="93"/>
      <c r="PRZ17" s="93"/>
      <c r="PSA17" s="88"/>
      <c r="PSB17" s="88"/>
      <c r="PSC17" s="90"/>
      <c r="PSD17" s="148"/>
      <c r="PSE17" s="88"/>
      <c r="PSF17" s="88"/>
      <c r="PSG17" s="90"/>
      <c r="PSH17" s="93"/>
      <c r="PSI17" s="88"/>
      <c r="PSJ17" s="88"/>
      <c r="PSK17" s="91"/>
      <c r="PSL17" s="93"/>
      <c r="PSM17" s="93"/>
      <c r="PSN17" s="88"/>
      <c r="PSO17" s="88"/>
      <c r="PSP17" s="90"/>
      <c r="PSQ17" s="148"/>
      <c r="PSR17" s="88"/>
      <c r="PSS17" s="88"/>
      <c r="PST17" s="90"/>
      <c r="PSU17" s="93"/>
      <c r="PSV17" s="88"/>
      <c r="PSW17" s="88"/>
      <c r="PSX17" s="91"/>
      <c r="PSY17" s="93"/>
      <c r="PSZ17" s="93"/>
      <c r="PTA17" s="88"/>
      <c r="PTB17" s="88"/>
      <c r="PTC17" s="90"/>
      <c r="PTD17" s="148"/>
      <c r="PTE17" s="88"/>
      <c r="PTF17" s="88"/>
      <c r="PTG17" s="90"/>
      <c r="PTH17" s="93"/>
      <c r="PTI17" s="88"/>
      <c r="PTJ17" s="88"/>
      <c r="PTK17" s="91"/>
      <c r="PTL17" s="93"/>
      <c r="PTM17" s="93"/>
      <c r="PTN17" s="88"/>
      <c r="PTO17" s="88"/>
      <c r="PTP17" s="90"/>
      <c r="PTQ17" s="148"/>
      <c r="PTR17" s="88"/>
      <c r="PTS17" s="88"/>
      <c r="PTT17" s="90"/>
      <c r="PTU17" s="93"/>
      <c r="PTV17" s="88"/>
      <c r="PTW17" s="88"/>
      <c r="PTX17" s="91"/>
      <c r="PTY17" s="93"/>
      <c r="PTZ17" s="93"/>
      <c r="PUA17" s="88"/>
      <c r="PUB17" s="88"/>
      <c r="PUC17" s="90"/>
      <c r="PUD17" s="148"/>
      <c r="PUE17" s="88"/>
      <c r="PUF17" s="88"/>
      <c r="PUG17" s="90"/>
      <c r="PUH17" s="93"/>
      <c r="PUI17" s="88"/>
      <c r="PUJ17" s="88"/>
      <c r="PUK17" s="91"/>
      <c r="PUL17" s="93"/>
      <c r="PUM17" s="93"/>
      <c r="PUN17" s="88"/>
      <c r="PUO17" s="88"/>
      <c r="PUP17" s="90"/>
      <c r="PUQ17" s="148"/>
      <c r="PUR17" s="88"/>
      <c r="PUS17" s="88"/>
      <c r="PUT17" s="90"/>
      <c r="PUU17" s="93"/>
      <c r="PUV17" s="88"/>
      <c r="PUW17" s="88"/>
      <c r="PUX17" s="91"/>
      <c r="PUY17" s="93"/>
      <c r="PUZ17" s="93"/>
      <c r="PVA17" s="88"/>
      <c r="PVB17" s="88"/>
      <c r="PVC17" s="90"/>
      <c r="PVD17" s="148"/>
      <c r="PVE17" s="88"/>
      <c r="PVF17" s="88"/>
      <c r="PVG17" s="90"/>
      <c r="PVH17" s="93"/>
      <c r="PVI17" s="88"/>
      <c r="PVJ17" s="88"/>
      <c r="PVK17" s="91"/>
      <c r="PVL17" s="93"/>
      <c r="PVM17" s="93"/>
      <c r="PVN17" s="88"/>
      <c r="PVO17" s="88"/>
      <c r="PVP17" s="90"/>
      <c r="PVQ17" s="148"/>
      <c r="PVR17" s="88"/>
      <c r="PVS17" s="88"/>
      <c r="PVT17" s="90"/>
      <c r="PVU17" s="93"/>
      <c r="PVV17" s="88"/>
      <c r="PVW17" s="88"/>
      <c r="PVX17" s="91"/>
      <c r="PVY17" s="93"/>
      <c r="PVZ17" s="93"/>
      <c r="PWA17" s="88"/>
      <c r="PWB17" s="88"/>
      <c r="PWC17" s="90"/>
      <c r="PWD17" s="148"/>
      <c r="PWE17" s="88"/>
      <c r="PWF17" s="88"/>
      <c r="PWG17" s="90"/>
      <c r="PWH17" s="93"/>
      <c r="PWI17" s="88"/>
      <c r="PWJ17" s="88"/>
      <c r="PWK17" s="91"/>
      <c r="PWL17" s="93"/>
      <c r="PWM17" s="93"/>
      <c r="PWN17" s="88"/>
      <c r="PWO17" s="88"/>
      <c r="PWP17" s="90"/>
      <c r="PWQ17" s="148"/>
      <c r="PWR17" s="88"/>
      <c r="PWS17" s="88"/>
      <c r="PWT17" s="90"/>
      <c r="PWU17" s="93"/>
      <c r="PWV17" s="88"/>
      <c r="PWW17" s="88"/>
      <c r="PWX17" s="91"/>
      <c r="PWY17" s="93"/>
      <c r="PWZ17" s="93"/>
      <c r="PXA17" s="88"/>
      <c r="PXB17" s="88"/>
      <c r="PXC17" s="90"/>
      <c r="PXD17" s="148"/>
      <c r="PXE17" s="88"/>
      <c r="PXF17" s="88"/>
      <c r="PXG17" s="90"/>
      <c r="PXH17" s="93"/>
      <c r="PXI17" s="88"/>
      <c r="PXJ17" s="88"/>
      <c r="PXK17" s="91"/>
      <c r="PXL17" s="93"/>
      <c r="PXM17" s="93"/>
      <c r="PXN17" s="88"/>
      <c r="PXO17" s="88"/>
      <c r="PXP17" s="90"/>
      <c r="PXQ17" s="148"/>
      <c r="PXR17" s="88"/>
      <c r="PXS17" s="88"/>
      <c r="PXT17" s="90"/>
      <c r="PXU17" s="93"/>
      <c r="PXV17" s="88"/>
      <c r="PXW17" s="88"/>
      <c r="PXX17" s="91"/>
      <c r="PXY17" s="93"/>
      <c r="PXZ17" s="93"/>
      <c r="PYA17" s="88"/>
      <c r="PYB17" s="88"/>
      <c r="PYC17" s="90"/>
      <c r="PYD17" s="148"/>
      <c r="PYE17" s="88"/>
      <c r="PYF17" s="88"/>
      <c r="PYG17" s="90"/>
      <c r="PYH17" s="93"/>
      <c r="PYI17" s="88"/>
      <c r="PYJ17" s="88"/>
      <c r="PYK17" s="91"/>
      <c r="PYL17" s="93"/>
      <c r="PYM17" s="93"/>
      <c r="PYN17" s="88"/>
      <c r="PYO17" s="88"/>
      <c r="PYP17" s="90"/>
      <c r="PYQ17" s="148"/>
      <c r="PYR17" s="88"/>
      <c r="PYS17" s="88"/>
      <c r="PYT17" s="90"/>
      <c r="PYU17" s="93"/>
      <c r="PYV17" s="88"/>
      <c r="PYW17" s="88"/>
      <c r="PYX17" s="91"/>
      <c r="PYY17" s="93"/>
      <c r="PYZ17" s="93"/>
      <c r="PZA17" s="88"/>
      <c r="PZB17" s="88"/>
      <c r="PZC17" s="90"/>
      <c r="PZD17" s="148"/>
      <c r="PZE17" s="88"/>
      <c r="PZF17" s="88"/>
      <c r="PZG17" s="90"/>
      <c r="PZH17" s="93"/>
      <c r="PZI17" s="88"/>
      <c r="PZJ17" s="88"/>
      <c r="PZK17" s="91"/>
      <c r="PZL17" s="93"/>
      <c r="PZM17" s="93"/>
      <c r="PZN17" s="88"/>
      <c r="PZO17" s="88"/>
      <c r="PZP17" s="90"/>
      <c r="PZQ17" s="148"/>
      <c r="PZR17" s="88"/>
      <c r="PZS17" s="88"/>
      <c r="PZT17" s="90"/>
      <c r="PZU17" s="93"/>
      <c r="PZV17" s="88"/>
      <c r="PZW17" s="88"/>
      <c r="PZX17" s="91"/>
      <c r="PZY17" s="93"/>
      <c r="PZZ17" s="93"/>
      <c r="QAA17" s="88"/>
      <c r="QAB17" s="88"/>
      <c r="QAC17" s="90"/>
      <c r="QAD17" s="148"/>
      <c r="QAE17" s="88"/>
      <c r="QAF17" s="88"/>
      <c r="QAG17" s="90"/>
      <c r="QAH17" s="93"/>
      <c r="QAI17" s="88"/>
      <c r="QAJ17" s="88"/>
      <c r="QAK17" s="91"/>
      <c r="QAL17" s="93"/>
      <c r="QAM17" s="93"/>
      <c r="QAN17" s="88"/>
      <c r="QAO17" s="88"/>
      <c r="QAP17" s="90"/>
      <c r="QAQ17" s="148"/>
      <c r="QAR17" s="88"/>
      <c r="QAS17" s="88"/>
      <c r="QAT17" s="90"/>
      <c r="QAU17" s="93"/>
      <c r="QAV17" s="88"/>
      <c r="QAW17" s="88"/>
      <c r="QAX17" s="91"/>
      <c r="QAY17" s="93"/>
      <c r="QAZ17" s="93"/>
      <c r="QBA17" s="88"/>
      <c r="QBB17" s="88"/>
      <c r="QBC17" s="90"/>
      <c r="QBD17" s="148"/>
      <c r="QBE17" s="88"/>
      <c r="QBF17" s="88"/>
      <c r="QBG17" s="90"/>
      <c r="QBH17" s="93"/>
      <c r="QBI17" s="88"/>
      <c r="QBJ17" s="88"/>
      <c r="QBK17" s="91"/>
      <c r="QBL17" s="93"/>
      <c r="QBM17" s="93"/>
      <c r="QBN17" s="88"/>
      <c r="QBO17" s="88"/>
      <c r="QBP17" s="90"/>
      <c r="QBQ17" s="148"/>
      <c r="QBR17" s="88"/>
      <c r="QBS17" s="88"/>
      <c r="QBT17" s="90"/>
      <c r="QBU17" s="93"/>
      <c r="QBV17" s="88"/>
      <c r="QBW17" s="88"/>
      <c r="QBX17" s="91"/>
      <c r="QBY17" s="93"/>
      <c r="QBZ17" s="93"/>
      <c r="QCA17" s="88"/>
      <c r="QCB17" s="88"/>
      <c r="QCC17" s="90"/>
      <c r="QCD17" s="148"/>
      <c r="QCE17" s="88"/>
      <c r="QCF17" s="88"/>
      <c r="QCG17" s="90"/>
      <c r="QCH17" s="93"/>
      <c r="QCI17" s="88"/>
      <c r="QCJ17" s="88"/>
      <c r="QCK17" s="91"/>
      <c r="QCL17" s="93"/>
      <c r="QCM17" s="93"/>
      <c r="QCN17" s="88"/>
      <c r="QCO17" s="88"/>
      <c r="QCP17" s="90"/>
      <c r="QCQ17" s="148"/>
      <c r="QCR17" s="88"/>
      <c r="QCS17" s="88"/>
      <c r="QCT17" s="90"/>
      <c r="QCU17" s="93"/>
      <c r="QCV17" s="88"/>
      <c r="QCW17" s="88"/>
      <c r="QCX17" s="91"/>
      <c r="QCY17" s="93"/>
      <c r="QCZ17" s="93"/>
      <c r="QDA17" s="88"/>
      <c r="QDB17" s="88"/>
      <c r="QDC17" s="90"/>
      <c r="QDD17" s="148"/>
      <c r="QDE17" s="88"/>
      <c r="QDF17" s="88"/>
      <c r="QDG17" s="90"/>
      <c r="QDH17" s="93"/>
      <c r="QDI17" s="88"/>
      <c r="QDJ17" s="88"/>
      <c r="QDK17" s="91"/>
      <c r="QDL17" s="93"/>
      <c r="QDM17" s="93"/>
      <c r="QDN17" s="88"/>
      <c r="QDO17" s="88"/>
      <c r="QDP17" s="90"/>
      <c r="QDQ17" s="148"/>
      <c r="QDR17" s="88"/>
      <c r="QDS17" s="88"/>
      <c r="QDT17" s="90"/>
      <c r="QDU17" s="93"/>
      <c r="QDV17" s="88"/>
      <c r="QDW17" s="88"/>
      <c r="QDX17" s="91"/>
      <c r="QDY17" s="93"/>
      <c r="QDZ17" s="93"/>
      <c r="QEA17" s="88"/>
      <c r="QEB17" s="88"/>
      <c r="QEC17" s="90"/>
      <c r="QED17" s="148"/>
      <c r="QEE17" s="88"/>
      <c r="QEF17" s="88"/>
      <c r="QEG17" s="90"/>
      <c r="QEH17" s="93"/>
      <c r="QEI17" s="88"/>
      <c r="QEJ17" s="88"/>
      <c r="QEK17" s="91"/>
      <c r="QEL17" s="93"/>
      <c r="QEM17" s="93"/>
      <c r="QEN17" s="88"/>
      <c r="QEO17" s="88"/>
      <c r="QEP17" s="90"/>
      <c r="QEQ17" s="148"/>
      <c r="QER17" s="88"/>
      <c r="QES17" s="88"/>
      <c r="QET17" s="90"/>
      <c r="QEU17" s="93"/>
      <c r="QEV17" s="88"/>
      <c r="QEW17" s="88"/>
      <c r="QEX17" s="91"/>
      <c r="QEY17" s="93"/>
      <c r="QEZ17" s="93"/>
      <c r="QFA17" s="88"/>
      <c r="QFB17" s="88"/>
      <c r="QFC17" s="90"/>
      <c r="QFD17" s="148"/>
      <c r="QFE17" s="88"/>
      <c r="QFF17" s="88"/>
      <c r="QFG17" s="90"/>
      <c r="QFH17" s="93"/>
      <c r="QFI17" s="88"/>
      <c r="QFJ17" s="88"/>
      <c r="QFK17" s="91"/>
      <c r="QFL17" s="93"/>
      <c r="QFM17" s="93"/>
      <c r="QFN17" s="88"/>
      <c r="QFO17" s="88"/>
      <c r="QFP17" s="90"/>
      <c r="QFQ17" s="148"/>
      <c r="QFR17" s="88"/>
      <c r="QFS17" s="88"/>
      <c r="QFT17" s="90"/>
      <c r="QFU17" s="93"/>
      <c r="QFV17" s="88"/>
      <c r="QFW17" s="88"/>
      <c r="QFX17" s="91"/>
      <c r="QFY17" s="93"/>
      <c r="QFZ17" s="93"/>
      <c r="QGA17" s="88"/>
      <c r="QGB17" s="88"/>
      <c r="QGC17" s="90"/>
      <c r="QGD17" s="148"/>
      <c r="QGE17" s="88"/>
      <c r="QGF17" s="88"/>
      <c r="QGG17" s="90"/>
      <c r="QGH17" s="93"/>
      <c r="QGI17" s="88"/>
      <c r="QGJ17" s="88"/>
      <c r="QGK17" s="91"/>
      <c r="QGL17" s="93"/>
      <c r="QGM17" s="93"/>
      <c r="QGN17" s="88"/>
      <c r="QGO17" s="88"/>
      <c r="QGP17" s="90"/>
      <c r="QGQ17" s="148"/>
      <c r="QGR17" s="88"/>
      <c r="QGS17" s="88"/>
      <c r="QGT17" s="90"/>
      <c r="QGU17" s="93"/>
      <c r="QGV17" s="88"/>
      <c r="QGW17" s="88"/>
      <c r="QGX17" s="91"/>
      <c r="QGY17" s="93"/>
      <c r="QGZ17" s="93"/>
      <c r="QHA17" s="88"/>
      <c r="QHB17" s="88"/>
      <c r="QHC17" s="90"/>
      <c r="QHD17" s="148"/>
      <c r="QHE17" s="88"/>
      <c r="QHF17" s="88"/>
      <c r="QHG17" s="90"/>
      <c r="QHH17" s="93"/>
      <c r="QHI17" s="88"/>
      <c r="QHJ17" s="88"/>
      <c r="QHK17" s="91"/>
      <c r="QHL17" s="93"/>
      <c r="QHM17" s="93"/>
      <c r="QHN17" s="88"/>
      <c r="QHO17" s="88"/>
      <c r="QHP17" s="90"/>
      <c r="QHQ17" s="148"/>
      <c r="QHR17" s="88"/>
      <c r="QHS17" s="88"/>
      <c r="QHT17" s="90"/>
      <c r="QHU17" s="93"/>
      <c r="QHV17" s="88"/>
      <c r="QHW17" s="88"/>
      <c r="QHX17" s="91"/>
      <c r="QHY17" s="93"/>
      <c r="QHZ17" s="93"/>
      <c r="QIA17" s="88"/>
      <c r="QIB17" s="88"/>
      <c r="QIC17" s="90"/>
      <c r="QID17" s="148"/>
      <c r="QIE17" s="88"/>
      <c r="QIF17" s="88"/>
      <c r="QIG17" s="90"/>
      <c r="QIH17" s="93"/>
      <c r="QII17" s="88"/>
      <c r="QIJ17" s="88"/>
      <c r="QIK17" s="91"/>
      <c r="QIL17" s="93"/>
      <c r="QIM17" s="93"/>
      <c r="QIN17" s="88"/>
      <c r="QIO17" s="88"/>
      <c r="QIP17" s="90"/>
      <c r="QIQ17" s="148"/>
      <c r="QIR17" s="88"/>
      <c r="QIS17" s="88"/>
      <c r="QIT17" s="90"/>
      <c r="QIU17" s="93"/>
      <c r="QIV17" s="88"/>
      <c r="QIW17" s="88"/>
      <c r="QIX17" s="91"/>
      <c r="QIY17" s="93"/>
      <c r="QIZ17" s="93"/>
      <c r="QJA17" s="88"/>
      <c r="QJB17" s="88"/>
      <c r="QJC17" s="90"/>
      <c r="QJD17" s="148"/>
      <c r="QJE17" s="88"/>
      <c r="QJF17" s="88"/>
      <c r="QJG17" s="90"/>
      <c r="QJH17" s="93"/>
      <c r="QJI17" s="88"/>
      <c r="QJJ17" s="88"/>
      <c r="QJK17" s="91"/>
      <c r="QJL17" s="93"/>
      <c r="QJM17" s="93"/>
      <c r="QJN17" s="88"/>
      <c r="QJO17" s="88"/>
      <c r="QJP17" s="90"/>
      <c r="QJQ17" s="148"/>
      <c r="QJR17" s="88"/>
      <c r="QJS17" s="88"/>
      <c r="QJT17" s="90"/>
      <c r="QJU17" s="93"/>
      <c r="QJV17" s="88"/>
      <c r="QJW17" s="88"/>
      <c r="QJX17" s="91"/>
      <c r="QJY17" s="93"/>
      <c r="QJZ17" s="93"/>
      <c r="QKA17" s="88"/>
      <c r="QKB17" s="88"/>
      <c r="QKC17" s="90"/>
      <c r="QKD17" s="148"/>
      <c r="QKE17" s="88"/>
      <c r="QKF17" s="88"/>
      <c r="QKG17" s="90"/>
      <c r="QKH17" s="93"/>
      <c r="QKI17" s="88"/>
      <c r="QKJ17" s="88"/>
      <c r="QKK17" s="91"/>
      <c r="QKL17" s="93"/>
      <c r="QKM17" s="93"/>
      <c r="QKN17" s="88"/>
      <c r="QKO17" s="88"/>
      <c r="QKP17" s="90"/>
      <c r="QKQ17" s="148"/>
      <c r="QKR17" s="88"/>
      <c r="QKS17" s="88"/>
      <c r="QKT17" s="90"/>
      <c r="QKU17" s="93"/>
      <c r="QKV17" s="88"/>
      <c r="QKW17" s="88"/>
      <c r="QKX17" s="91"/>
      <c r="QKY17" s="93"/>
      <c r="QKZ17" s="93"/>
      <c r="QLA17" s="88"/>
      <c r="QLB17" s="88"/>
      <c r="QLC17" s="90"/>
      <c r="QLD17" s="148"/>
      <c r="QLE17" s="88"/>
      <c r="QLF17" s="88"/>
      <c r="QLG17" s="90"/>
      <c r="QLH17" s="93"/>
      <c r="QLI17" s="88"/>
      <c r="QLJ17" s="88"/>
      <c r="QLK17" s="91"/>
      <c r="QLL17" s="93"/>
      <c r="QLM17" s="93"/>
      <c r="QLN17" s="88"/>
      <c r="QLO17" s="88"/>
      <c r="QLP17" s="90"/>
      <c r="QLQ17" s="148"/>
      <c r="QLR17" s="88"/>
      <c r="QLS17" s="88"/>
      <c r="QLT17" s="90"/>
      <c r="QLU17" s="93"/>
      <c r="QLV17" s="88"/>
      <c r="QLW17" s="88"/>
      <c r="QLX17" s="91"/>
      <c r="QLY17" s="93"/>
      <c r="QLZ17" s="93"/>
      <c r="QMA17" s="88"/>
      <c r="QMB17" s="88"/>
      <c r="QMC17" s="90"/>
      <c r="QMD17" s="148"/>
      <c r="QME17" s="88"/>
      <c r="QMF17" s="88"/>
      <c r="QMG17" s="90"/>
      <c r="QMH17" s="93"/>
      <c r="QMI17" s="88"/>
      <c r="QMJ17" s="88"/>
      <c r="QMK17" s="91"/>
      <c r="QML17" s="93"/>
      <c r="QMM17" s="93"/>
      <c r="QMN17" s="88"/>
      <c r="QMO17" s="88"/>
      <c r="QMP17" s="90"/>
      <c r="QMQ17" s="148"/>
      <c r="QMR17" s="88"/>
      <c r="QMS17" s="88"/>
      <c r="QMT17" s="90"/>
      <c r="QMU17" s="93"/>
      <c r="QMV17" s="88"/>
      <c r="QMW17" s="88"/>
      <c r="QMX17" s="91"/>
      <c r="QMY17" s="93"/>
      <c r="QMZ17" s="93"/>
      <c r="QNA17" s="88"/>
      <c r="QNB17" s="88"/>
      <c r="QNC17" s="90"/>
      <c r="QND17" s="148"/>
      <c r="QNE17" s="88"/>
      <c r="QNF17" s="88"/>
      <c r="QNG17" s="90"/>
      <c r="QNH17" s="93"/>
      <c r="QNI17" s="88"/>
      <c r="QNJ17" s="88"/>
      <c r="QNK17" s="91"/>
      <c r="QNL17" s="93"/>
      <c r="QNM17" s="93"/>
      <c r="QNN17" s="88"/>
      <c r="QNO17" s="88"/>
      <c r="QNP17" s="90"/>
      <c r="QNQ17" s="148"/>
      <c r="QNR17" s="88"/>
      <c r="QNS17" s="88"/>
      <c r="QNT17" s="90"/>
      <c r="QNU17" s="93"/>
      <c r="QNV17" s="88"/>
      <c r="QNW17" s="88"/>
      <c r="QNX17" s="91"/>
      <c r="QNY17" s="93"/>
      <c r="QNZ17" s="93"/>
      <c r="QOA17" s="88"/>
      <c r="QOB17" s="88"/>
      <c r="QOC17" s="90"/>
      <c r="QOD17" s="148"/>
      <c r="QOE17" s="88"/>
      <c r="QOF17" s="88"/>
      <c r="QOG17" s="90"/>
      <c r="QOH17" s="93"/>
      <c r="QOI17" s="88"/>
      <c r="QOJ17" s="88"/>
      <c r="QOK17" s="91"/>
      <c r="QOL17" s="93"/>
      <c r="QOM17" s="93"/>
      <c r="QON17" s="88"/>
      <c r="QOO17" s="88"/>
      <c r="QOP17" s="90"/>
      <c r="QOQ17" s="148"/>
      <c r="QOR17" s="88"/>
      <c r="QOS17" s="88"/>
      <c r="QOT17" s="90"/>
      <c r="QOU17" s="93"/>
      <c r="QOV17" s="88"/>
      <c r="QOW17" s="88"/>
      <c r="QOX17" s="91"/>
      <c r="QOY17" s="93"/>
      <c r="QOZ17" s="93"/>
      <c r="QPA17" s="88"/>
      <c r="QPB17" s="88"/>
      <c r="QPC17" s="90"/>
      <c r="QPD17" s="148"/>
      <c r="QPE17" s="88"/>
      <c r="QPF17" s="88"/>
      <c r="QPG17" s="90"/>
      <c r="QPH17" s="93"/>
      <c r="QPI17" s="88"/>
      <c r="QPJ17" s="88"/>
      <c r="QPK17" s="91"/>
      <c r="QPL17" s="93"/>
      <c r="QPM17" s="93"/>
      <c r="QPN17" s="88"/>
      <c r="QPO17" s="88"/>
      <c r="QPP17" s="90"/>
      <c r="QPQ17" s="148"/>
      <c r="QPR17" s="88"/>
      <c r="QPS17" s="88"/>
      <c r="QPT17" s="90"/>
      <c r="QPU17" s="93"/>
      <c r="QPV17" s="88"/>
      <c r="QPW17" s="88"/>
      <c r="QPX17" s="91"/>
      <c r="QPY17" s="93"/>
      <c r="QPZ17" s="93"/>
      <c r="QQA17" s="88"/>
      <c r="QQB17" s="88"/>
      <c r="QQC17" s="90"/>
      <c r="QQD17" s="148"/>
      <c r="QQE17" s="88"/>
      <c r="QQF17" s="88"/>
      <c r="QQG17" s="90"/>
      <c r="QQH17" s="93"/>
      <c r="QQI17" s="88"/>
      <c r="QQJ17" s="88"/>
      <c r="QQK17" s="91"/>
      <c r="QQL17" s="93"/>
      <c r="QQM17" s="93"/>
      <c r="QQN17" s="88"/>
      <c r="QQO17" s="88"/>
      <c r="QQP17" s="90"/>
      <c r="QQQ17" s="148"/>
      <c r="QQR17" s="88"/>
      <c r="QQS17" s="88"/>
      <c r="QQT17" s="90"/>
      <c r="QQU17" s="93"/>
      <c r="QQV17" s="88"/>
      <c r="QQW17" s="88"/>
      <c r="QQX17" s="91"/>
      <c r="QQY17" s="93"/>
      <c r="QQZ17" s="93"/>
      <c r="QRA17" s="88"/>
      <c r="QRB17" s="88"/>
      <c r="QRC17" s="90"/>
      <c r="QRD17" s="148"/>
      <c r="QRE17" s="88"/>
      <c r="QRF17" s="88"/>
      <c r="QRG17" s="90"/>
      <c r="QRH17" s="93"/>
      <c r="QRI17" s="88"/>
      <c r="QRJ17" s="88"/>
      <c r="QRK17" s="91"/>
      <c r="QRL17" s="93"/>
      <c r="QRM17" s="93"/>
      <c r="QRN17" s="88"/>
      <c r="QRO17" s="88"/>
      <c r="QRP17" s="90"/>
      <c r="QRQ17" s="148"/>
      <c r="QRR17" s="88"/>
      <c r="QRS17" s="88"/>
      <c r="QRT17" s="90"/>
      <c r="QRU17" s="93"/>
      <c r="QRV17" s="88"/>
      <c r="QRW17" s="88"/>
      <c r="QRX17" s="91"/>
      <c r="QRY17" s="93"/>
      <c r="QRZ17" s="93"/>
      <c r="QSA17" s="88"/>
      <c r="QSB17" s="88"/>
      <c r="QSC17" s="90"/>
      <c r="QSD17" s="148"/>
      <c r="QSE17" s="88"/>
      <c r="QSF17" s="88"/>
      <c r="QSG17" s="90"/>
      <c r="QSH17" s="93"/>
      <c r="QSI17" s="88"/>
      <c r="QSJ17" s="88"/>
      <c r="QSK17" s="91"/>
      <c r="QSL17" s="93"/>
      <c r="QSM17" s="93"/>
      <c r="QSN17" s="88"/>
      <c r="QSO17" s="88"/>
      <c r="QSP17" s="90"/>
      <c r="QSQ17" s="148"/>
      <c r="QSR17" s="88"/>
      <c r="QSS17" s="88"/>
      <c r="QST17" s="90"/>
      <c r="QSU17" s="93"/>
      <c r="QSV17" s="88"/>
      <c r="QSW17" s="88"/>
      <c r="QSX17" s="91"/>
      <c r="QSY17" s="93"/>
      <c r="QSZ17" s="93"/>
      <c r="QTA17" s="88"/>
      <c r="QTB17" s="88"/>
      <c r="QTC17" s="90"/>
      <c r="QTD17" s="148"/>
      <c r="QTE17" s="88"/>
      <c r="QTF17" s="88"/>
      <c r="QTG17" s="90"/>
      <c r="QTH17" s="93"/>
      <c r="QTI17" s="88"/>
      <c r="QTJ17" s="88"/>
      <c r="QTK17" s="91"/>
      <c r="QTL17" s="93"/>
      <c r="QTM17" s="93"/>
      <c r="QTN17" s="88"/>
      <c r="QTO17" s="88"/>
      <c r="QTP17" s="90"/>
      <c r="QTQ17" s="148"/>
      <c r="QTR17" s="88"/>
      <c r="QTS17" s="88"/>
      <c r="QTT17" s="90"/>
      <c r="QTU17" s="93"/>
      <c r="QTV17" s="88"/>
      <c r="QTW17" s="88"/>
      <c r="QTX17" s="91"/>
      <c r="QTY17" s="93"/>
      <c r="QTZ17" s="93"/>
      <c r="QUA17" s="88"/>
      <c r="QUB17" s="88"/>
      <c r="QUC17" s="90"/>
      <c r="QUD17" s="148"/>
      <c r="QUE17" s="88"/>
      <c r="QUF17" s="88"/>
      <c r="QUG17" s="90"/>
      <c r="QUH17" s="93"/>
      <c r="QUI17" s="88"/>
      <c r="QUJ17" s="88"/>
      <c r="QUK17" s="91"/>
      <c r="QUL17" s="93"/>
      <c r="QUM17" s="93"/>
      <c r="QUN17" s="88"/>
      <c r="QUO17" s="88"/>
      <c r="QUP17" s="90"/>
      <c r="QUQ17" s="148"/>
      <c r="QUR17" s="88"/>
      <c r="QUS17" s="88"/>
      <c r="QUT17" s="90"/>
      <c r="QUU17" s="93"/>
      <c r="QUV17" s="88"/>
      <c r="QUW17" s="88"/>
      <c r="QUX17" s="91"/>
      <c r="QUY17" s="93"/>
      <c r="QUZ17" s="93"/>
      <c r="QVA17" s="88"/>
      <c r="QVB17" s="88"/>
      <c r="QVC17" s="90"/>
      <c r="QVD17" s="148"/>
      <c r="QVE17" s="88"/>
      <c r="QVF17" s="88"/>
      <c r="QVG17" s="90"/>
      <c r="QVH17" s="93"/>
      <c r="QVI17" s="88"/>
      <c r="QVJ17" s="88"/>
      <c r="QVK17" s="91"/>
      <c r="QVL17" s="93"/>
      <c r="QVM17" s="93"/>
      <c r="QVN17" s="88"/>
      <c r="QVO17" s="88"/>
      <c r="QVP17" s="90"/>
      <c r="QVQ17" s="148"/>
      <c r="QVR17" s="88"/>
      <c r="QVS17" s="88"/>
      <c r="QVT17" s="90"/>
      <c r="QVU17" s="93"/>
      <c r="QVV17" s="88"/>
      <c r="QVW17" s="88"/>
      <c r="QVX17" s="91"/>
      <c r="QVY17" s="93"/>
      <c r="QVZ17" s="93"/>
      <c r="QWA17" s="88"/>
      <c r="QWB17" s="88"/>
      <c r="QWC17" s="90"/>
      <c r="QWD17" s="148"/>
      <c r="QWE17" s="88"/>
      <c r="QWF17" s="88"/>
      <c r="QWG17" s="90"/>
      <c r="QWH17" s="93"/>
      <c r="QWI17" s="88"/>
      <c r="QWJ17" s="88"/>
      <c r="QWK17" s="91"/>
      <c r="QWL17" s="93"/>
      <c r="QWM17" s="93"/>
      <c r="QWN17" s="88"/>
      <c r="QWO17" s="88"/>
      <c r="QWP17" s="90"/>
      <c r="QWQ17" s="148"/>
      <c r="QWR17" s="88"/>
      <c r="QWS17" s="88"/>
      <c r="QWT17" s="90"/>
      <c r="QWU17" s="93"/>
      <c r="QWV17" s="88"/>
      <c r="QWW17" s="88"/>
      <c r="QWX17" s="91"/>
      <c r="QWY17" s="93"/>
      <c r="QWZ17" s="93"/>
      <c r="QXA17" s="88"/>
      <c r="QXB17" s="88"/>
      <c r="QXC17" s="90"/>
      <c r="QXD17" s="148"/>
      <c r="QXE17" s="88"/>
      <c r="QXF17" s="88"/>
      <c r="QXG17" s="90"/>
      <c r="QXH17" s="93"/>
      <c r="QXI17" s="88"/>
      <c r="QXJ17" s="88"/>
      <c r="QXK17" s="91"/>
      <c r="QXL17" s="93"/>
      <c r="QXM17" s="93"/>
      <c r="QXN17" s="88"/>
      <c r="QXO17" s="88"/>
      <c r="QXP17" s="90"/>
      <c r="QXQ17" s="148"/>
      <c r="QXR17" s="88"/>
      <c r="QXS17" s="88"/>
      <c r="QXT17" s="90"/>
      <c r="QXU17" s="93"/>
      <c r="QXV17" s="88"/>
      <c r="QXW17" s="88"/>
      <c r="QXX17" s="91"/>
      <c r="QXY17" s="93"/>
      <c r="QXZ17" s="93"/>
      <c r="QYA17" s="88"/>
      <c r="QYB17" s="88"/>
      <c r="QYC17" s="90"/>
      <c r="QYD17" s="148"/>
      <c r="QYE17" s="88"/>
      <c r="QYF17" s="88"/>
      <c r="QYG17" s="90"/>
      <c r="QYH17" s="93"/>
      <c r="QYI17" s="88"/>
      <c r="QYJ17" s="88"/>
      <c r="QYK17" s="91"/>
      <c r="QYL17" s="93"/>
      <c r="QYM17" s="93"/>
      <c r="QYN17" s="88"/>
      <c r="QYO17" s="88"/>
      <c r="QYP17" s="90"/>
      <c r="QYQ17" s="148"/>
      <c r="QYR17" s="88"/>
      <c r="QYS17" s="88"/>
      <c r="QYT17" s="90"/>
      <c r="QYU17" s="93"/>
      <c r="QYV17" s="88"/>
      <c r="QYW17" s="88"/>
      <c r="QYX17" s="91"/>
      <c r="QYY17" s="93"/>
      <c r="QYZ17" s="93"/>
      <c r="QZA17" s="88"/>
      <c r="QZB17" s="88"/>
      <c r="QZC17" s="90"/>
      <c r="QZD17" s="148"/>
      <c r="QZE17" s="88"/>
      <c r="QZF17" s="88"/>
      <c r="QZG17" s="90"/>
      <c r="QZH17" s="93"/>
      <c r="QZI17" s="88"/>
      <c r="QZJ17" s="88"/>
      <c r="QZK17" s="91"/>
      <c r="QZL17" s="93"/>
      <c r="QZM17" s="93"/>
      <c r="QZN17" s="88"/>
      <c r="QZO17" s="88"/>
      <c r="QZP17" s="90"/>
      <c r="QZQ17" s="148"/>
      <c r="QZR17" s="88"/>
      <c r="QZS17" s="88"/>
      <c r="QZT17" s="90"/>
      <c r="QZU17" s="93"/>
      <c r="QZV17" s="88"/>
      <c r="QZW17" s="88"/>
      <c r="QZX17" s="91"/>
      <c r="QZY17" s="93"/>
      <c r="QZZ17" s="93"/>
      <c r="RAA17" s="88"/>
      <c r="RAB17" s="88"/>
      <c r="RAC17" s="90"/>
      <c r="RAD17" s="148"/>
      <c r="RAE17" s="88"/>
      <c r="RAF17" s="88"/>
      <c r="RAG17" s="90"/>
      <c r="RAH17" s="93"/>
      <c r="RAI17" s="88"/>
      <c r="RAJ17" s="88"/>
      <c r="RAK17" s="91"/>
      <c r="RAL17" s="93"/>
      <c r="RAM17" s="93"/>
      <c r="RAN17" s="88"/>
      <c r="RAO17" s="88"/>
      <c r="RAP17" s="90"/>
      <c r="RAQ17" s="148"/>
      <c r="RAR17" s="88"/>
      <c r="RAS17" s="88"/>
      <c r="RAT17" s="90"/>
      <c r="RAU17" s="93"/>
      <c r="RAV17" s="88"/>
      <c r="RAW17" s="88"/>
      <c r="RAX17" s="91"/>
      <c r="RAY17" s="93"/>
      <c r="RAZ17" s="93"/>
      <c r="RBA17" s="88"/>
      <c r="RBB17" s="88"/>
      <c r="RBC17" s="90"/>
      <c r="RBD17" s="148"/>
      <c r="RBE17" s="88"/>
      <c r="RBF17" s="88"/>
      <c r="RBG17" s="90"/>
      <c r="RBH17" s="93"/>
      <c r="RBI17" s="88"/>
      <c r="RBJ17" s="88"/>
      <c r="RBK17" s="91"/>
      <c r="RBL17" s="93"/>
      <c r="RBM17" s="93"/>
      <c r="RBN17" s="88"/>
      <c r="RBO17" s="88"/>
      <c r="RBP17" s="90"/>
      <c r="RBQ17" s="148"/>
      <c r="RBR17" s="88"/>
      <c r="RBS17" s="88"/>
      <c r="RBT17" s="90"/>
      <c r="RBU17" s="93"/>
      <c r="RBV17" s="88"/>
      <c r="RBW17" s="88"/>
      <c r="RBX17" s="91"/>
      <c r="RBY17" s="93"/>
      <c r="RBZ17" s="93"/>
      <c r="RCA17" s="88"/>
      <c r="RCB17" s="88"/>
      <c r="RCC17" s="90"/>
      <c r="RCD17" s="148"/>
      <c r="RCE17" s="88"/>
      <c r="RCF17" s="88"/>
      <c r="RCG17" s="90"/>
      <c r="RCH17" s="93"/>
      <c r="RCI17" s="88"/>
      <c r="RCJ17" s="88"/>
      <c r="RCK17" s="91"/>
      <c r="RCL17" s="93"/>
      <c r="RCM17" s="93"/>
      <c r="RCN17" s="88"/>
      <c r="RCO17" s="88"/>
      <c r="RCP17" s="90"/>
      <c r="RCQ17" s="148"/>
      <c r="RCR17" s="88"/>
      <c r="RCS17" s="88"/>
      <c r="RCT17" s="90"/>
      <c r="RCU17" s="93"/>
      <c r="RCV17" s="88"/>
      <c r="RCW17" s="88"/>
      <c r="RCX17" s="91"/>
      <c r="RCY17" s="93"/>
      <c r="RCZ17" s="93"/>
      <c r="RDA17" s="88"/>
      <c r="RDB17" s="88"/>
      <c r="RDC17" s="90"/>
      <c r="RDD17" s="148"/>
      <c r="RDE17" s="88"/>
      <c r="RDF17" s="88"/>
      <c r="RDG17" s="90"/>
      <c r="RDH17" s="93"/>
      <c r="RDI17" s="88"/>
      <c r="RDJ17" s="88"/>
      <c r="RDK17" s="91"/>
      <c r="RDL17" s="93"/>
      <c r="RDM17" s="93"/>
      <c r="RDN17" s="88"/>
      <c r="RDO17" s="88"/>
      <c r="RDP17" s="90"/>
      <c r="RDQ17" s="148"/>
      <c r="RDR17" s="88"/>
      <c r="RDS17" s="88"/>
      <c r="RDT17" s="90"/>
      <c r="RDU17" s="93"/>
      <c r="RDV17" s="88"/>
      <c r="RDW17" s="88"/>
      <c r="RDX17" s="91"/>
      <c r="RDY17" s="93"/>
      <c r="RDZ17" s="93"/>
      <c r="REA17" s="88"/>
      <c r="REB17" s="88"/>
      <c r="REC17" s="90"/>
      <c r="RED17" s="148"/>
      <c r="REE17" s="88"/>
      <c r="REF17" s="88"/>
      <c r="REG17" s="90"/>
      <c r="REH17" s="93"/>
      <c r="REI17" s="88"/>
      <c r="REJ17" s="88"/>
      <c r="REK17" s="91"/>
      <c r="REL17" s="93"/>
      <c r="REM17" s="93"/>
      <c r="REN17" s="88"/>
      <c r="REO17" s="88"/>
      <c r="REP17" s="90"/>
      <c r="REQ17" s="148"/>
      <c r="RER17" s="88"/>
      <c r="RES17" s="88"/>
      <c r="RET17" s="90"/>
      <c r="REU17" s="93"/>
      <c r="REV17" s="88"/>
      <c r="REW17" s="88"/>
      <c r="REX17" s="91"/>
      <c r="REY17" s="93"/>
      <c r="REZ17" s="93"/>
      <c r="RFA17" s="88"/>
      <c r="RFB17" s="88"/>
      <c r="RFC17" s="90"/>
      <c r="RFD17" s="148"/>
      <c r="RFE17" s="88"/>
      <c r="RFF17" s="88"/>
      <c r="RFG17" s="90"/>
      <c r="RFH17" s="93"/>
      <c r="RFI17" s="88"/>
      <c r="RFJ17" s="88"/>
      <c r="RFK17" s="91"/>
      <c r="RFL17" s="93"/>
      <c r="RFM17" s="93"/>
      <c r="RFN17" s="88"/>
      <c r="RFO17" s="88"/>
      <c r="RFP17" s="90"/>
      <c r="RFQ17" s="148"/>
      <c r="RFR17" s="88"/>
      <c r="RFS17" s="88"/>
      <c r="RFT17" s="90"/>
      <c r="RFU17" s="93"/>
      <c r="RFV17" s="88"/>
      <c r="RFW17" s="88"/>
      <c r="RFX17" s="91"/>
      <c r="RFY17" s="93"/>
      <c r="RFZ17" s="93"/>
      <c r="RGA17" s="88"/>
      <c r="RGB17" s="88"/>
      <c r="RGC17" s="90"/>
      <c r="RGD17" s="148"/>
      <c r="RGE17" s="88"/>
      <c r="RGF17" s="88"/>
      <c r="RGG17" s="90"/>
      <c r="RGH17" s="93"/>
      <c r="RGI17" s="88"/>
      <c r="RGJ17" s="88"/>
      <c r="RGK17" s="91"/>
      <c r="RGL17" s="93"/>
      <c r="RGM17" s="93"/>
      <c r="RGN17" s="88"/>
      <c r="RGO17" s="88"/>
      <c r="RGP17" s="90"/>
      <c r="RGQ17" s="148"/>
      <c r="RGR17" s="88"/>
      <c r="RGS17" s="88"/>
      <c r="RGT17" s="90"/>
      <c r="RGU17" s="93"/>
      <c r="RGV17" s="88"/>
      <c r="RGW17" s="88"/>
      <c r="RGX17" s="91"/>
      <c r="RGY17" s="93"/>
      <c r="RGZ17" s="93"/>
      <c r="RHA17" s="88"/>
      <c r="RHB17" s="88"/>
      <c r="RHC17" s="90"/>
      <c r="RHD17" s="148"/>
      <c r="RHE17" s="88"/>
      <c r="RHF17" s="88"/>
      <c r="RHG17" s="90"/>
      <c r="RHH17" s="93"/>
      <c r="RHI17" s="88"/>
      <c r="RHJ17" s="88"/>
      <c r="RHK17" s="91"/>
      <c r="RHL17" s="93"/>
      <c r="RHM17" s="93"/>
      <c r="RHN17" s="88"/>
      <c r="RHO17" s="88"/>
      <c r="RHP17" s="90"/>
      <c r="RHQ17" s="148"/>
      <c r="RHR17" s="88"/>
      <c r="RHS17" s="88"/>
      <c r="RHT17" s="90"/>
      <c r="RHU17" s="93"/>
      <c r="RHV17" s="88"/>
      <c r="RHW17" s="88"/>
      <c r="RHX17" s="91"/>
      <c r="RHY17" s="93"/>
      <c r="RHZ17" s="93"/>
      <c r="RIA17" s="88"/>
      <c r="RIB17" s="88"/>
      <c r="RIC17" s="90"/>
      <c r="RID17" s="148"/>
      <c r="RIE17" s="88"/>
      <c r="RIF17" s="88"/>
      <c r="RIG17" s="90"/>
      <c r="RIH17" s="93"/>
      <c r="RII17" s="88"/>
      <c r="RIJ17" s="88"/>
      <c r="RIK17" s="91"/>
      <c r="RIL17" s="93"/>
      <c r="RIM17" s="93"/>
      <c r="RIN17" s="88"/>
      <c r="RIO17" s="88"/>
      <c r="RIP17" s="90"/>
      <c r="RIQ17" s="148"/>
      <c r="RIR17" s="88"/>
      <c r="RIS17" s="88"/>
      <c r="RIT17" s="90"/>
      <c r="RIU17" s="93"/>
      <c r="RIV17" s="88"/>
      <c r="RIW17" s="88"/>
      <c r="RIX17" s="91"/>
      <c r="RIY17" s="93"/>
      <c r="RIZ17" s="93"/>
      <c r="RJA17" s="88"/>
      <c r="RJB17" s="88"/>
      <c r="RJC17" s="90"/>
      <c r="RJD17" s="148"/>
      <c r="RJE17" s="88"/>
      <c r="RJF17" s="88"/>
      <c r="RJG17" s="90"/>
      <c r="RJH17" s="93"/>
      <c r="RJI17" s="88"/>
      <c r="RJJ17" s="88"/>
      <c r="RJK17" s="91"/>
      <c r="RJL17" s="93"/>
      <c r="RJM17" s="93"/>
      <c r="RJN17" s="88"/>
      <c r="RJO17" s="88"/>
      <c r="RJP17" s="90"/>
      <c r="RJQ17" s="148"/>
      <c r="RJR17" s="88"/>
      <c r="RJS17" s="88"/>
      <c r="RJT17" s="90"/>
      <c r="RJU17" s="93"/>
      <c r="RJV17" s="88"/>
      <c r="RJW17" s="88"/>
      <c r="RJX17" s="91"/>
      <c r="RJY17" s="93"/>
      <c r="RJZ17" s="93"/>
      <c r="RKA17" s="88"/>
      <c r="RKB17" s="88"/>
      <c r="RKC17" s="90"/>
      <c r="RKD17" s="148"/>
      <c r="RKE17" s="88"/>
      <c r="RKF17" s="88"/>
      <c r="RKG17" s="90"/>
      <c r="RKH17" s="93"/>
      <c r="RKI17" s="88"/>
      <c r="RKJ17" s="88"/>
      <c r="RKK17" s="91"/>
      <c r="RKL17" s="93"/>
      <c r="RKM17" s="93"/>
      <c r="RKN17" s="88"/>
      <c r="RKO17" s="88"/>
      <c r="RKP17" s="90"/>
      <c r="RKQ17" s="148"/>
      <c r="RKR17" s="88"/>
      <c r="RKS17" s="88"/>
      <c r="RKT17" s="90"/>
      <c r="RKU17" s="93"/>
      <c r="RKV17" s="88"/>
      <c r="RKW17" s="88"/>
      <c r="RKX17" s="91"/>
      <c r="RKY17" s="93"/>
      <c r="RKZ17" s="93"/>
      <c r="RLA17" s="88"/>
      <c r="RLB17" s="88"/>
      <c r="RLC17" s="90"/>
      <c r="RLD17" s="148"/>
      <c r="RLE17" s="88"/>
      <c r="RLF17" s="88"/>
      <c r="RLG17" s="90"/>
      <c r="RLH17" s="93"/>
      <c r="RLI17" s="88"/>
      <c r="RLJ17" s="88"/>
      <c r="RLK17" s="91"/>
      <c r="RLL17" s="93"/>
      <c r="RLM17" s="93"/>
      <c r="RLN17" s="88"/>
      <c r="RLO17" s="88"/>
      <c r="RLP17" s="90"/>
      <c r="RLQ17" s="148"/>
      <c r="RLR17" s="88"/>
      <c r="RLS17" s="88"/>
      <c r="RLT17" s="90"/>
      <c r="RLU17" s="93"/>
      <c r="RLV17" s="88"/>
      <c r="RLW17" s="88"/>
      <c r="RLX17" s="91"/>
      <c r="RLY17" s="93"/>
      <c r="RLZ17" s="93"/>
      <c r="RMA17" s="88"/>
      <c r="RMB17" s="88"/>
      <c r="RMC17" s="90"/>
      <c r="RMD17" s="148"/>
      <c r="RME17" s="88"/>
      <c r="RMF17" s="88"/>
      <c r="RMG17" s="90"/>
      <c r="RMH17" s="93"/>
      <c r="RMI17" s="88"/>
      <c r="RMJ17" s="88"/>
      <c r="RMK17" s="91"/>
      <c r="RML17" s="93"/>
      <c r="RMM17" s="93"/>
      <c r="RMN17" s="88"/>
      <c r="RMO17" s="88"/>
      <c r="RMP17" s="90"/>
      <c r="RMQ17" s="148"/>
      <c r="RMR17" s="88"/>
      <c r="RMS17" s="88"/>
      <c r="RMT17" s="90"/>
      <c r="RMU17" s="93"/>
      <c r="RMV17" s="88"/>
      <c r="RMW17" s="88"/>
      <c r="RMX17" s="91"/>
      <c r="RMY17" s="93"/>
      <c r="RMZ17" s="93"/>
      <c r="RNA17" s="88"/>
      <c r="RNB17" s="88"/>
      <c r="RNC17" s="90"/>
      <c r="RND17" s="148"/>
      <c r="RNE17" s="88"/>
      <c r="RNF17" s="88"/>
      <c r="RNG17" s="90"/>
      <c r="RNH17" s="93"/>
      <c r="RNI17" s="88"/>
      <c r="RNJ17" s="88"/>
      <c r="RNK17" s="91"/>
      <c r="RNL17" s="93"/>
      <c r="RNM17" s="93"/>
      <c r="RNN17" s="88"/>
      <c r="RNO17" s="88"/>
      <c r="RNP17" s="90"/>
      <c r="RNQ17" s="148"/>
      <c r="RNR17" s="88"/>
      <c r="RNS17" s="88"/>
      <c r="RNT17" s="90"/>
      <c r="RNU17" s="93"/>
      <c r="RNV17" s="88"/>
      <c r="RNW17" s="88"/>
      <c r="RNX17" s="91"/>
      <c r="RNY17" s="93"/>
      <c r="RNZ17" s="93"/>
      <c r="ROA17" s="88"/>
      <c r="ROB17" s="88"/>
      <c r="ROC17" s="90"/>
      <c r="ROD17" s="148"/>
      <c r="ROE17" s="88"/>
      <c r="ROF17" s="88"/>
      <c r="ROG17" s="90"/>
      <c r="ROH17" s="93"/>
      <c r="ROI17" s="88"/>
      <c r="ROJ17" s="88"/>
      <c r="ROK17" s="91"/>
      <c r="ROL17" s="93"/>
      <c r="ROM17" s="93"/>
      <c r="RON17" s="88"/>
      <c r="ROO17" s="88"/>
      <c r="ROP17" s="90"/>
      <c r="ROQ17" s="148"/>
      <c r="ROR17" s="88"/>
      <c r="ROS17" s="88"/>
      <c r="ROT17" s="90"/>
      <c r="ROU17" s="93"/>
      <c r="ROV17" s="88"/>
      <c r="ROW17" s="88"/>
      <c r="ROX17" s="91"/>
      <c r="ROY17" s="93"/>
      <c r="ROZ17" s="93"/>
      <c r="RPA17" s="88"/>
      <c r="RPB17" s="88"/>
      <c r="RPC17" s="90"/>
      <c r="RPD17" s="148"/>
      <c r="RPE17" s="88"/>
      <c r="RPF17" s="88"/>
      <c r="RPG17" s="90"/>
      <c r="RPH17" s="93"/>
      <c r="RPI17" s="88"/>
      <c r="RPJ17" s="88"/>
      <c r="RPK17" s="91"/>
      <c r="RPL17" s="93"/>
      <c r="RPM17" s="93"/>
      <c r="RPN17" s="88"/>
      <c r="RPO17" s="88"/>
      <c r="RPP17" s="90"/>
      <c r="RPQ17" s="148"/>
      <c r="RPR17" s="88"/>
      <c r="RPS17" s="88"/>
      <c r="RPT17" s="90"/>
      <c r="RPU17" s="93"/>
      <c r="RPV17" s="88"/>
      <c r="RPW17" s="88"/>
      <c r="RPX17" s="91"/>
      <c r="RPY17" s="93"/>
      <c r="RPZ17" s="93"/>
      <c r="RQA17" s="88"/>
      <c r="RQB17" s="88"/>
      <c r="RQC17" s="90"/>
      <c r="RQD17" s="148"/>
      <c r="RQE17" s="88"/>
      <c r="RQF17" s="88"/>
      <c r="RQG17" s="90"/>
      <c r="RQH17" s="93"/>
      <c r="RQI17" s="88"/>
      <c r="RQJ17" s="88"/>
      <c r="RQK17" s="91"/>
      <c r="RQL17" s="93"/>
      <c r="RQM17" s="93"/>
      <c r="RQN17" s="88"/>
      <c r="RQO17" s="88"/>
      <c r="RQP17" s="90"/>
      <c r="RQQ17" s="148"/>
      <c r="RQR17" s="88"/>
      <c r="RQS17" s="88"/>
      <c r="RQT17" s="90"/>
      <c r="RQU17" s="93"/>
      <c r="RQV17" s="88"/>
      <c r="RQW17" s="88"/>
      <c r="RQX17" s="91"/>
      <c r="RQY17" s="93"/>
      <c r="RQZ17" s="93"/>
      <c r="RRA17" s="88"/>
      <c r="RRB17" s="88"/>
      <c r="RRC17" s="90"/>
      <c r="RRD17" s="148"/>
      <c r="RRE17" s="88"/>
      <c r="RRF17" s="88"/>
      <c r="RRG17" s="90"/>
      <c r="RRH17" s="93"/>
      <c r="RRI17" s="88"/>
      <c r="RRJ17" s="88"/>
      <c r="RRK17" s="91"/>
      <c r="RRL17" s="93"/>
      <c r="RRM17" s="93"/>
      <c r="RRN17" s="88"/>
      <c r="RRO17" s="88"/>
      <c r="RRP17" s="90"/>
      <c r="RRQ17" s="148"/>
      <c r="RRR17" s="88"/>
      <c r="RRS17" s="88"/>
      <c r="RRT17" s="90"/>
      <c r="RRU17" s="93"/>
      <c r="RRV17" s="88"/>
      <c r="RRW17" s="88"/>
      <c r="RRX17" s="91"/>
      <c r="RRY17" s="93"/>
      <c r="RRZ17" s="93"/>
      <c r="RSA17" s="88"/>
      <c r="RSB17" s="88"/>
      <c r="RSC17" s="90"/>
      <c r="RSD17" s="148"/>
      <c r="RSE17" s="88"/>
      <c r="RSF17" s="88"/>
      <c r="RSG17" s="90"/>
      <c r="RSH17" s="93"/>
      <c r="RSI17" s="88"/>
      <c r="RSJ17" s="88"/>
      <c r="RSK17" s="91"/>
      <c r="RSL17" s="93"/>
      <c r="RSM17" s="93"/>
      <c r="RSN17" s="88"/>
      <c r="RSO17" s="88"/>
      <c r="RSP17" s="90"/>
      <c r="RSQ17" s="148"/>
      <c r="RSR17" s="88"/>
      <c r="RSS17" s="88"/>
      <c r="RST17" s="90"/>
      <c r="RSU17" s="93"/>
      <c r="RSV17" s="88"/>
      <c r="RSW17" s="88"/>
      <c r="RSX17" s="91"/>
      <c r="RSY17" s="93"/>
      <c r="RSZ17" s="93"/>
      <c r="RTA17" s="88"/>
      <c r="RTB17" s="88"/>
      <c r="RTC17" s="90"/>
      <c r="RTD17" s="148"/>
      <c r="RTE17" s="88"/>
      <c r="RTF17" s="88"/>
      <c r="RTG17" s="90"/>
      <c r="RTH17" s="93"/>
      <c r="RTI17" s="88"/>
      <c r="RTJ17" s="88"/>
      <c r="RTK17" s="91"/>
      <c r="RTL17" s="93"/>
      <c r="RTM17" s="93"/>
      <c r="RTN17" s="88"/>
      <c r="RTO17" s="88"/>
      <c r="RTP17" s="90"/>
      <c r="RTQ17" s="148"/>
      <c r="RTR17" s="88"/>
      <c r="RTS17" s="88"/>
      <c r="RTT17" s="90"/>
      <c r="RTU17" s="93"/>
      <c r="RTV17" s="88"/>
      <c r="RTW17" s="88"/>
      <c r="RTX17" s="91"/>
      <c r="RTY17" s="93"/>
      <c r="RTZ17" s="93"/>
      <c r="RUA17" s="88"/>
      <c r="RUB17" s="88"/>
      <c r="RUC17" s="90"/>
      <c r="RUD17" s="148"/>
      <c r="RUE17" s="88"/>
      <c r="RUF17" s="88"/>
      <c r="RUG17" s="90"/>
      <c r="RUH17" s="93"/>
      <c r="RUI17" s="88"/>
      <c r="RUJ17" s="88"/>
      <c r="RUK17" s="91"/>
      <c r="RUL17" s="93"/>
      <c r="RUM17" s="93"/>
      <c r="RUN17" s="88"/>
      <c r="RUO17" s="88"/>
      <c r="RUP17" s="90"/>
      <c r="RUQ17" s="148"/>
      <c r="RUR17" s="88"/>
      <c r="RUS17" s="88"/>
      <c r="RUT17" s="90"/>
      <c r="RUU17" s="93"/>
      <c r="RUV17" s="88"/>
      <c r="RUW17" s="88"/>
      <c r="RUX17" s="91"/>
      <c r="RUY17" s="93"/>
      <c r="RUZ17" s="93"/>
      <c r="RVA17" s="88"/>
      <c r="RVB17" s="88"/>
      <c r="RVC17" s="90"/>
      <c r="RVD17" s="148"/>
      <c r="RVE17" s="88"/>
      <c r="RVF17" s="88"/>
      <c r="RVG17" s="90"/>
      <c r="RVH17" s="93"/>
      <c r="RVI17" s="88"/>
      <c r="RVJ17" s="88"/>
      <c r="RVK17" s="91"/>
      <c r="RVL17" s="93"/>
      <c r="RVM17" s="93"/>
      <c r="RVN17" s="88"/>
      <c r="RVO17" s="88"/>
      <c r="RVP17" s="90"/>
      <c r="RVQ17" s="148"/>
      <c r="RVR17" s="88"/>
      <c r="RVS17" s="88"/>
      <c r="RVT17" s="90"/>
      <c r="RVU17" s="93"/>
      <c r="RVV17" s="88"/>
      <c r="RVW17" s="88"/>
      <c r="RVX17" s="91"/>
      <c r="RVY17" s="93"/>
      <c r="RVZ17" s="93"/>
      <c r="RWA17" s="88"/>
      <c r="RWB17" s="88"/>
      <c r="RWC17" s="90"/>
      <c r="RWD17" s="148"/>
      <c r="RWE17" s="88"/>
      <c r="RWF17" s="88"/>
      <c r="RWG17" s="90"/>
      <c r="RWH17" s="93"/>
      <c r="RWI17" s="88"/>
      <c r="RWJ17" s="88"/>
      <c r="RWK17" s="91"/>
      <c r="RWL17" s="93"/>
      <c r="RWM17" s="93"/>
      <c r="RWN17" s="88"/>
      <c r="RWO17" s="88"/>
      <c r="RWP17" s="90"/>
      <c r="RWQ17" s="148"/>
      <c r="RWR17" s="88"/>
      <c r="RWS17" s="88"/>
      <c r="RWT17" s="90"/>
      <c r="RWU17" s="93"/>
      <c r="RWV17" s="88"/>
      <c r="RWW17" s="88"/>
      <c r="RWX17" s="91"/>
      <c r="RWY17" s="93"/>
      <c r="RWZ17" s="93"/>
      <c r="RXA17" s="88"/>
      <c r="RXB17" s="88"/>
      <c r="RXC17" s="90"/>
      <c r="RXD17" s="148"/>
      <c r="RXE17" s="88"/>
      <c r="RXF17" s="88"/>
      <c r="RXG17" s="90"/>
      <c r="RXH17" s="93"/>
      <c r="RXI17" s="88"/>
      <c r="RXJ17" s="88"/>
      <c r="RXK17" s="91"/>
      <c r="RXL17" s="93"/>
      <c r="RXM17" s="93"/>
      <c r="RXN17" s="88"/>
      <c r="RXO17" s="88"/>
      <c r="RXP17" s="90"/>
      <c r="RXQ17" s="148"/>
      <c r="RXR17" s="88"/>
      <c r="RXS17" s="88"/>
      <c r="RXT17" s="90"/>
      <c r="RXU17" s="93"/>
      <c r="RXV17" s="88"/>
      <c r="RXW17" s="88"/>
      <c r="RXX17" s="91"/>
      <c r="RXY17" s="93"/>
      <c r="RXZ17" s="93"/>
      <c r="RYA17" s="88"/>
      <c r="RYB17" s="88"/>
      <c r="RYC17" s="90"/>
      <c r="RYD17" s="148"/>
      <c r="RYE17" s="88"/>
      <c r="RYF17" s="88"/>
      <c r="RYG17" s="90"/>
      <c r="RYH17" s="93"/>
      <c r="RYI17" s="88"/>
      <c r="RYJ17" s="88"/>
      <c r="RYK17" s="91"/>
      <c r="RYL17" s="93"/>
      <c r="RYM17" s="93"/>
      <c r="RYN17" s="88"/>
      <c r="RYO17" s="88"/>
      <c r="RYP17" s="90"/>
      <c r="RYQ17" s="148"/>
      <c r="RYR17" s="88"/>
      <c r="RYS17" s="88"/>
      <c r="RYT17" s="90"/>
      <c r="RYU17" s="93"/>
      <c r="RYV17" s="88"/>
      <c r="RYW17" s="88"/>
      <c r="RYX17" s="91"/>
      <c r="RYY17" s="93"/>
      <c r="RYZ17" s="93"/>
      <c r="RZA17" s="88"/>
      <c r="RZB17" s="88"/>
      <c r="RZC17" s="90"/>
      <c r="RZD17" s="148"/>
      <c r="RZE17" s="88"/>
      <c r="RZF17" s="88"/>
      <c r="RZG17" s="90"/>
      <c r="RZH17" s="93"/>
      <c r="RZI17" s="88"/>
      <c r="RZJ17" s="88"/>
      <c r="RZK17" s="91"/>
      <c r="RZL17" s="93"/>
      <c r="RZM17" s="93"/>
      <c r="RZN17" s="88"/>
      <c r="RZO17" s="88"/>
      <c r="RZP17" s="90"/>
      <c r="RZQ17" s="148"/>
      <c r="RZR17" s="88"/>
      <c r="RZS17" s="88"/>
      <c r="RZT17" s="90"/>
      <c r="RZU17" s="93"/>
      <c r="RZV17" s="88"/>
      <c r="RZW17" s="88"/>
      <c r="RZX17" s="91"/>
      <c r="RZY17" s="93"/>
      <c r="RZZ17" s="93"/>
      <c r="SAA17" s="88"/>
      <c r="SAB17" s="88"/>
      <c r="SAC17" s="90"/>
      <c r="SAD17" s="148"/>
      <c r="SAE17" s="88"/>
      <c r="SAF17" s="88"/>
      <c r="SAG17" s="90"/>
      <c r="SAH17" s="93"/>
      <c r="SAI17" s="88"/>
      <c r="SAJ17" s="88"/>
      <c r="SAK17" s="91"/>
      <c r="SAL17" s="93"/>
      <c r="SAM17" s="93"/>
      <c r="SAN17" s="88"/>
      <c r="SAO17" s="88"/>
      <c r="SAP17" s="90"/>
      <c r="SAQ17" s="148"/>
      <c r="SAR17" s="88"/>
      <c r="SAS17" s="88"/>
      <c r="SAT17" s="90"/>
      <c r="SAU17" s="93"/>
      <c r="SAV17" s="88"/>
      <c r="SAW17" s="88"/>
      <c r="SAX17" s="91"/>
      <c r="SAY17" s="93"/>
      <c r="SAZ17" s="93"/>
      <c r="SBA17" s="88"/>
      <c r="SBB17" s="88"/>
      <c r="SBC17" s="90"/>
      <c r="SBD17" s="148"/>
      <c r="SBE17" s="88"/>
      <c r="SBF17" s="88"/>
      <c r="SBG17" s="90"/>
      <c r="SBH17" s="93"/>
      <c r="SBI17" s="88"/>
      <c r="SBJ17" s="88"/>
      <c r="SBK17" s="91"/>
      <c r="SBL17" s="93"/>
      <c r="SBM17" s="93"/>
      <c r="SBN17" s="88"/>
      <c r="SBO17" s="88"/>
      <c r="SBP17" s="90"/>
      <c r="SBQ17" s="148"/>
      <c r="SBR17" s="88"/>
      <c r="SBS17" s="88"/>
      <c r="SBT17" s="90"/>
      <c r="SBU17" s="93"/>
      <c r="SBV17" s="88"/>
      <c r="SBW17" s="88"/>
      <c r="SBX17" s="91"/>
      <c r="SBY17" s="93"/>
      <c r="SBZ17" s="93"/>
      <c r="SCA17" s="88"/>
      <c r="SCB17" s="88"/>
      <c r="SCC17" s="90"/>
      <c r="SCD17" s="148"/>
      <c r="SCE17" s="88"/>
      <c r="SCF17" s="88"/>
      <c r="SCG17" s="90"/>
      <c r="SCH17" s="93"/>
      <c r="SCI17" s="88"/>
      <c r="SCJ17" s="88"/>
      <c r="SCK17" s="91"/>
      <c r="SCL17" s="93"/>
      <c r="SCM17" s="93"/>
      <c r="SCN17" s="88"/>
      <c r="SCO17" s="88"/>
      <c r="SCP17" s="90"/>
      <c r="SCQ17" s="148"/>
      <c r="SCR17" s="88"/>
      <c r="SCS17" s="88"/>
      <c r="SCT17" s="90"/>
      <c r="SCU17" s="93"/>
      <c r="SCV17" s="88"/>
      <c r="SCW17" s="88"/>
      <c r="SCX17" s="91"/>
      <c r="SCY17" s="93"/>
      <c r="SCZ17" s="93"/>
      <c r="SDA17" s="88"/>
      <c r="SDB17" s="88"/>
      <c r="SDC17" s="90"/>
      <c r="SDD17" s="148"/>
      <c r="SDE17" s="88"/>
      <c r="SDF17" s="88"/>
      <c r="SDG17" s="90"/>
      <c r="SDH17" s="93"/>
      <c r="SDI17" s="88"/>
      <c r="SDJ17" s="88"/>
      <c r="SDK17" s="91"/>
      <c r="SDL17" s="93"/>
      <c r="SDM17" s="93"/>
      <c r="SDN17" s="88"/>
      <c r="SDO17" s="88"/>
      <c r="SDP17" s="90"/>
      <c r="SDQ17" s="148"/>
      <c r="SDR17" s="88"/>
      <c r="SDS17" s="88"/>
      <c r="SDT17" s="90"/>
      <c r="SDU17" s="93"/>
      <c r="SDV17" s="88"/>
      <c r="SDW17" s="88"/>
      <c r="SDX17" s="91"/>
      <c r="SDY17" s="93"/>
      <c r="SDZ17" s="93"/>
      <c r="SEA17" s="88"/>
      <c r="SEB17" s="88"/>
      <c r="SEC17" s="90"/>
      <c r="SED17" s="148"/>
      <c r="SEE17" s="88"/>
      <c r="SEF17" s="88"/>
      <c r="SEG17" s="90"/>
      <c r="SEH17" s="93"/>
      <c r="SEI17" s="88"/>
      <c r="SEJ17" s="88"/>
      <c r="SEK17" s="91"/>
      <c r="SEL17" s="93"/>
      <c r="SEM17" s="93"/>
      <c r="SEN17" s="88"/>
      <c r="SEO17" s="88"/>
      <c r="SEP17" s="90"/>
      <c r="SEQ17" s="148"/>
      <c r="SER17" s="88"/>
      <c r="SES17" s="88"/>
      <c r="SET17" s="90"/>
      <c r="SEU17" s="93"/>
      <c r="SEV17" s="88"/>
      <c r="SEW17" s="88"/>
      <c r="SEX17" s="91"/>
      <c r="SEY17" s="93"/>
      <c r="SEZ17" s="93"/>
      <c r="SFA17" s="88"/>
      <c r="SFB17" s="88"/>
      <c r="SFC17" s="90"/>
      <c r="SFD17" s="148"/>
      <c r="SFE17" s="88"/>
      <c r="SFF17" s="88"/>
      <c r="SFG17" s="90"/>
      <c r="SFH17" s="93"/>
      <c r="SFI17" s="88"/>
      <c r="SFJ17" s="88"/>
      <c r="SFK17" s="91"/>
      <c r="SFL17" s="93"/>
      <c r="SFM17" s="93"/>
      <c r="SFN17" s="88"/>
      <c r="SFO17" s="88"/>
      <c r="SFP17" s="90"/>
      <c r="SFQ17" s="148"/>
      <c r="SFR17" s="88"/>
      <c r="SFS17" s="88"/>
      <c r="SFT17" s="90"/>
      <c r="SFU17" s="93"/>
      <c r="SFV17" s="88"/>
      <c r="SFW17" s="88"/>
      <c r="SFX17" s="91"/>
      <c r="SFY17" s="93"/>
      <c r="SFZ17" s="93"/>
      <c r="SGA17" s="88"/>
      <c r="SGB17" s="88"/>
      <c r="SGC17" s="90"/>
      <c r="SGD17" s="148"/>
      <c r="SGE17" s="88"/>
      <c r="SGF17" s="88"/>
      <c r="SGG17" s="90"/>
      <c r="SGH17" s="93"/>
      <c r="SGI17" s="88"/>
      <c r="SGJ17" s="88"/>
      <c r="SGK17" s="91"/>
      <c r="SGL17" s="93"/>
      <c r="SGM17" s="93"/>
      <c r="SGN17" s="88"/>
      <c r="SGO17" s="88"/>
      <c r="SGP17" s="90"/>
      <c r="SGQ17" s="148"/>
      <c r="SGR17" s="88"/>
      <c r="SGS17" s="88"/>
      <c r="SGT17" s="90"/>
      <c r="SGU17" s="93"/>
      <c r="SGV17" s="88"/>
      <c r="SGW17" s="88"/>
      <c r="SGX17" s="91"/>
      <c r="SGY17" s="93"/>
      <c r="SGZ17" s="93"/>
      <c r="SHA17" s="88"/>
      <c r="SHB17" s="88"/>
      <c r="SHC17" s="90"/>
      <c r="SHD17" s="148"/>
      <c r="SHE17" s="88"/>
      <c r="SHF17" s="88"/>
      <c r="SHG17" s="90"/>
      <c r="SHH17" s="93"/>
      <c r="SHI17" s="88"/>
      <c r="SHJ17" s="88"/>
      <c r="SHK17" s="91"/>
      <c r="SHL17" s="93"/>
      <c r="SHM17" s="93"/>
      <c r="SHN17" s="88"/>
      <c r="SHO17" s="88"/>
      <c r="SHP17" s="90"/>
      <c r="SHQ17" s="148"/>
      <c r="SHR17" s="88"/>
      <c r="SHS17" s="88"/>
      <c r="SHT17" s="90"/>
      <c r="SHU17" s="93"/>
      <c r="SHV17" s="88"/>
      <c r="SHW17" s="88"/>
      <c r="SHX17" s="91"/>
      <c r="SHY17" s="93"/>
      <c r="SHZ17" s="93"/>
      <c r="SIA17" s="88"/>
      <c r="SIB17" s="88"/>
      <c r="SIC17" s="90"/>
      <c r="SID17" s="148"/>
      <c r="SIE17" s="88"/>
      <c r="SIF17" s="88"/>
      <c r="SIG17" s="90"/>
      <c r="SIH17" s="93"/>
      <c r="SII17" s="88"/>
      <c r="SIJ17" s="88"/>
      <c r="SIK17" s="91"/>
      <c r="SIL17" s="93"/>
      <c r="SIM17" s="93"/>
      <c r="SIN17" s="88"/>
      <c r="SIO17" s="88"/>
      <c r="SIP17" s="90"/>
      <c r="SIQ17" s="148"/>
      <c r="SIR17" s="88"/>
      <c r="SIS17" s="88"/>
      <c r="SIT17" s="90"/>
      <c r="SIU17" s="93"/>
      <c r="SIV17" s="88"/>
      <c r="SIW17" s="88"/>
      <c r="SIX17" s="91"/>
      <c r="SIY17" s="93"/>
      <c r="SIZ17" s="93"/>
      <c r="SJA17" s="88"/>
      <c r="SJB17" s="88"/>
      <c r="SJC17" s="90"/>
      <c r="SJD17" s="148"/>
      <c r="SJE17" s="88"/>
      <c r="SJF17" s="88"/>
      <c r="SJG17" s="90"/>
      <c r="SJH17" s="93"/>
      <c r="SJI17" s="88"/>
      <c r="SJJ17" s="88"/>
      <c r="SJK17" s="91"/>
      <c r="SJL17" s="93"/>
      <c r="SJM17" s="93"/>
      <c r="SJN17" s="88"/>
      <c r="SJO17" s="88"/>
      <c r="SJP17" s="90"/>
      <c r="SJQ17" s="148"/>
      <c r="SJR17" s="88"/>
      <c r="SJS17" s="88"/>
      <c r="SJT17" s="90"/>
      <c r="SJU17" s="93"/>
      <c r="SJV17" s="88"/>
      <c r="SJW17" s="88"/>
      <c r="SJX17" s="91"/>
      <c r="SJY17" s="93"/>
      <c r="SJZ17" s="93"/>
      <c r="SKA17" s="88"/>
      <c r="SKB17" s="88"/>
      <c r="SKC17" s="90"/>
      <c r="SKD17" s="148"/>
      <c r="SKE17" s="88"/>
      <c r="SKF17" s="88"/>
      <c r="SKG17" s="90"/>
      <c r="SKH17" s="93"/>
      <c r="SKI17" s="88"/>
      <c r="SKJ17" s="88"/>
      <c r="SKK17" s="91"/>
      <c r="SKL17" s="93"/>
      <c r="SKM17" s="93"/>
      <c r="SKN17" s="88"/>
      <c r="SKO17" s="88"/>
      <c r="SKP17" s="90"/>
      <c r="SKQ17" s="148"/>
      <c r="SKR17" s="88"/>
      <c r="SKS17" s="88"/>
      <c r="SKT17" s="90"/>
      <c r="SKU17" s="93"/>
      <c r="SKV17" s="88"/>
      <c r="SKW17" s="88"/>
      <c r="SKX17" s="91"/>
      <c r="SKY17" s="93"/>
      <c r="SKZ17" s="93"/>
      <c r="SLA17" s="88"/>
      <c r="SLB17" s="88"/>
      <c r="SLC17" s="90"/>
      <c r="SLD17" s="148"/>
      <c r="SLE17" s="88"/>
      <c r="SLF17" s="88"/>
      <c r="SLG17" s="90"/>
      <c r="SLH17" s="93"/>
      <c r="SLI17" s="88"/>
      <c r="SLJ17" s="88"/>
      <c r="SLK17" s="91"/>
      <c r="SLL17" s="93"/>
      <c r="SLM17" s="93"/>
      <c r="SLN17" s="88"/>
      <c r="SLO17" s="88"/>
      <c r="SLP17" s="90"/>
      <c r="SLQ17" s="148"/>
      <c r="SLR17" s="88"/>
      <c r="SLS17" s="88"/>
      <c r="SLT17" s="90"/>
      <c r="SLU17" s="93"/>
      <c r="SLV17" s="88"/>
      <c r="SLW17" s="88"/>
      <c r="SLX17" s="91"/>
      <c r="SLY17" s="93"/>
      <c r="SLZ17" s="93"/>
      <c r="SMA17" s="88"/>
      <c r="SMB17" s="88"/>
      <c r="SMC17" s="90"/>
      <c r="SMD17" s="148"/>
      <c r="SME17" s="88"/>
      <c r="SMF17" s="88"/>
      <c r="SMG17" s="90"/>
      <c r="SMH17" s="93"/>
      <c r="SMI17" s="88"/>
      <c r="SMJ17" s="88"/>
      <c r="SMK17" s="91"/>
      <c r="SML17" s="93"/>
      <c r="SMM17" s="93"/>
      <c r="SMN17" s="88"/>
      <c r="SMO17" s="88"/>
      <c r="SMP17" s="90"/>
      <c r="SMQ17" s="148"/>
      <c r="SMR17" s="88"/>
      <c r="SMS17" s="88"/>
      <c r="SMT17" s="90"/>
      <c r="SMU17" s="93"/>
      <c r="SMV17" s="88"/>
      <c r="SMW17" s="88"/>
      <c r="SMX17" s="91"/>
      <c r="SMY17" s="93"/>
      <c r="SMZ17" s="93"/>
      <c r="SNA17" s="88"/>
      <c r="SNB17" s="88"/>
      <c r="SNC17" s="90"/>
      <c r="SND17" s="148"/>
      <c r="SNE17" s="88"/>
      <c r="SNF17" s="88"/>
      <c r="SNG17" s="90"/>
      <c r="SNH17" s="93"/>
      <c r="SNI17" s="88"/>
      <c r="SNJ17" s="88"/>
      <c r="SNK17" s="91"/>
      <c r="SNL17" s="93"/>
      <c r="SNM17" s="93"/>
      <c r="SNN17" s="88"/>
      <c r="SNO17" s="88"/>
      <c r="SNP17" s="90"/>
      <c r="SNQ17" s="148"/>
      <c r="SNR17" s="88"/>
      <c r="SNS17" s="88"/>
      <c r="SNT17" s="90"/>
      <c r="SNU17" s="93"/>
      <c r="SNV17" s="88"/>
      <c r="SNW17" s="88"/>
      <c r="SNX17" s="91"/>
      <c r="SNY17" s="93"/>
      <c r="SNZ17" s="93"/>
      <c r="SOA17" s="88"/>
      <c r="SOB17" s="88"/>
      <c r="SOC17" s="90"/>
      <c r="SOD17" s="148"/>
      <c r="SOE17" s="88"/>
      <c r="SOF17" s="88"/>
      <c r="SOG17" s="90"/>
      <c r="SOH17" s="93"/>
      <c r="SOI17" s="88"/>
      <c r="SOJ17" s="88"/>
      <c r="SOK17" s="91"/>
      <c r="SOL17" s="93"/>
      <c r="SOM17" s="93"/>
      <c r="SON17" s="88"/>
      <c r="SOO17" s="88"/>
      <c r="SOP17" s="90"/>
      <c r="SOQ17" s="148"/>
      <c r="SOR17" s="88"/>
      <c r="SOS17" s="88"/>
      <c r="SOT17" s="90"/>
      <c r="SOU17" s="93"/>
      <c r="SOV17" s="88"/>
      <c r="SOW17" s="88"/>
      <c r="SOX17" s="91"/>
      <c r="SOY17" s="93"/>
      <c r="SOZ17" s="93"/>
      <c r="SPA17" s="88"/>
      <c r="SPB17" s="88"/>
      <c r="SPC17" s="90"/>
      <c r="SPD17" s="148"/>
      <c r="SPE17" s="88"/>
      <c r="SPF17" s="88"/>
      <c r="SPG17" s="90"/>
      <c r="SPH17" s="93"/>
      <c r="SPI17" s="88"/>
      <c r="SPJ17" s="88"/>
      <c r="SPK17" s="91"/>
      <c r="SPL17" s="93"/>
      <c r="SPM17" s="93"/>
      <c r="SPN17" s="88"/>
      <c r="SPO17" s="88"/>
      <c r="SPP17" s="90"/>
      <c r="SPQ17" s="148"/>
      <c r="SPR17" s="88"/>
      <c r="SPS17" s="88"/>
      <c r="SPT17" s="90"/>
      <c r="SPU17" s="93"/>
      <c r="SPV17" s="88"/>
      <c r="SPW17" s="88"/>
      <c r="SPX17" s="91"/>
      <c r="SPY17" s="93"/>
      <c r="SPZ17" s="93"/>
      <c r="SQA17" s="88"/>
      <c r="SQB17" s="88"/>
      <c r="SQC17" s="90"/>
      <c r="SQD17" s="148"/>
      <c r="SQE17" s="88"/>
      <c r="SQF17" s="88"/>
      <c r="SQG17" s="90"/>
      <c r="SQH17" s="93"/>
      <c r="SQI17" s="88"/>
      <c r="SQJ17" s="88"/>
      <c r="SQK17" s="91"/>
      <c r="SQL17" s="93"/>
      <c r="SQM17" s="93"/>
      <c r="SQN17" s="88"/>
      <c r="SQO17" s="88"/>
      <c r="SQP17" s="90"/>
      <c r="SQQ17" s="148"/>
      <c r="SQR17" s="88"/>
      <c r="SQS17" s="88"/>
      <c r="SQT17" s="90"/>
      <c r="SQU17" s="93"/>
      <c r="SQV17" s="88"/>
      <c r="SQW17" s="88"/>
      <c r="SQX17" s="91"/>
      <c r="SQY17" s="93"/>
      <c r="SQZ17" s="93"/>
      <c r="SRA17" s="88"/>
      <c r="SRB17" s="88"/>
      <c r="SRC17" s="90"/>
      <c r="SRD17" s="148"/>
      <c r="SRE17" s="88"/>
      <c r="SRF17" s="88"/>
      <c r="SRG17" s="90"/>
      <c r="SRH17" s="93"/>
      <c r="SRI17" s="88"/>
      <c r="SRJ17" s="88"/>
      <c r="SRK17" s="91"/>
      <c r="SRL17" s="93"/>
      <c r="SRM17" s="93"/>
      <c r="SRN17" s="88"/>
      <c r="SRO17" s="88"/>
      <c r="SRP17" s="90"/>
      <c r="SRQ17" s="148"/>
      <c r="SRR17" s="88"/>
      <c r="SRS17" s="88"/>
      <c r="SRT17" s="90"/>
      <c r="SRU17" s="93"/>
      <c r="SRV17" s="88"/>
      <c r="SRW17" s="88"/>
      <c r="SRX17" s="91"/>
      <c r="SRY17" s="93"/>
      <c r="SRZ17" s="93"/>
      <c r="SSA17" s="88"/>
      <c r="SSB17" s="88"/>
      <c r="SSC17" s="90"/>
      <c r="SSD17" s="148"/>
      <c r="SSE17" s="88"/>
      <c r="SSF17" s="88"/>
      <c r="SSG17" s="90"/>
      <c r="SSH17" s="93"/>
      <c r="SSI17" s="88"/>
      <c r="SSJ17" s="88"/>
      <c r="SSK17" s="91"/>
      <c r="SSL17" s="93"/>
      <c r="SSM17" s="93"/>
      <c r="SSN17" s="88"/>
      <c r="SSO17" s="88"/>
      <c r="SSP17" s="90"/>
      <c r="SSQ17" s="148"/>
      <c r="SSR17" s="88"/>
      <c r="SSS17" s="88"/>
      <c r="SST17" s="90"/>
      <c r="SSU17" s="93"/>
      <c r="SSV17" s="88"/>
      <c r="SSW17" s="88"/>
      <c r="SSX17" s="91"/>
      <c r="SSY17" s="93"/>
      <c r="SSZ17" s="93"/>
      <c r="STA17" s="88"/>
      <c r="STB17" s="88"/>
      <c r="STC17" s="90"/>
      <c r="STD17" s="148"/>
      <c r="STE17" s="88"/>
      <c r="STF17" s="88"/>
      <c r="STG17" s="90"/>
      <c r="STH17" s="93"/>
      <c r="STI17" s="88"/>
      <c r="STJ17" s="88"/>
      <c r="STK17" s="91"/>
      <c r="STL17" s="93"/>
      <c r="STM17" s="93"/>
      <c r="STN17" s="88"/>
      <c r="STO17" s="88"/>
      <c r="STP17" s="90"/>
      <c r="STQ17" s="148"/>
      <c r="STR17" s="88"/>
      <c r="STS17" s="88"/>
      <c r="STT17" s="90"/>
      <c r="STU17" s="93"/>
      <c r="STV17" s="88"/>
      <c r="STW17" s="88"/>
      <c r="STX17" s="91"/>
      <c r="STY17" s="93"/>
      <c r="STZ17" s="93"/>
      <c r="SUA17" s="88"/>
      <c r="SUB17" s="88"/>
      <c r="SUC17" s="90"/>
      <c r="SUD17" s="148"/>
      <c r="SUE17" s="88"/>
      <c r="SUF17" s="88"/>
      <c r="SUG17" s="90"/>
      <c r="SUH17" s="93"/>
      <c r="SUI17" s="88"/>
      <c r="SUJ17" s="88"/>
      <c r="SUK17" s="91"/>
      <c r="SUL17" s="93"/>
      <c r="SUM17" s="93"/>
      <c r="SUN17" s="88"/>
      <c r="SUO17" s="88"/>
      <c r="SUP17" s="90"/>
      <c r="SUQ17" s="148"/>
      <c r="SUR17" s="88"/>
      <c r="SUS17" s="88"/>
      <c r="SUT17" s="90"/>
      <c r="SUU17" s="93"/>
      <c r="SUV17" s="88"/>
      <c r="SUW17" s="88"/>
      <c r="SUX17" s="91"/>
      <c r="SUY17" s="93"/>
      <c r="SUZ17" s="93"/>
      <c r="SVA17" s="88"/>
      <c r="SVB17" s="88"/>
      <c r="SVC17" s="90"/>
      <c r="SVD17" s="148"/>
      <c r="SVE17" s="88"/>
      <c r="SVF17" s="88"/>
      <c r="SVG17" s="90"/>
      <c r="SVH17" s="93"/>
      <c r="SVI17" s="88"/>
      <c r="SVJ17" s="88"/>
      <c r="SVK17" s="91"/>
      <c r="SVL17" s="93"/>
      <c r="SVM17" s="93"/>
      <c r="SVN17" s="88"/>
      <c r="SVO17" s="88"/>
      <c r="SVP17" s="90"/>
      <c r="SVQ17" s="148"/>
      <c r="SVR17" s="88"/>
      <c r="SVS17" s="88"/>
      <c r="SVT17" s="90"/>
      <c r="SVU17" s="93"/>
      <c r="SVV17" s="88"/>
      <c r="SVW17" s="88"/>
      <c r="SVX17" s="91"/>
      <c r="SVY17" s="93"/>
      <c r="SVZ17" s="93"/>
      <c r="SWA17" s="88"/>
      <c r="SWB17" s="88"/>
      <c r="SWC17" s="90"/>
      <c r="SWD17" s="148"/>
      <c r="SWE17" s="88"/>
      <c r="SWF17" s="88"/>
      <c r="SWG17" s="90"/>
      <c r="SWH17" s="93"/>
      <c r="SWI17" s="88"/>
      <c r="SWJ17" s="88"/>
      <c r="SWK17" s="91"/>
      <c r="SWL17" s="93"/>
      <c r="SWM17" s="93"/>
      <c r="SWN17" s="88"/>
      <c r="SWO17" s="88"/>
      <c r="SWP17" s="90"/>
      <c r="SWQ17" s="148"/>
      <c r="SWR17" s="88"/>
      <c r="SWS17" s="88"/>
      <c r="SWT17" s="90"/>
      <c r="SWU17" s="93"/>
      <c r="SWV17" s="88"/>
      <c r="SWW17" s="88"/>
      <c r="SWX17" s="91"/>
      <c r="SWY17" s="93"/>
      <c r="SWZ17" s="93"/>
      <c r="SXA17" s="88"/>
      <c r="SXB17" s="88"/>
      <c r="SXC17" s="90"/>
      <c r="SXD17" s="148"/>
      <c r="SXE17" s="88"/>
      <c r="SXF17" s="88"/>
      <c r="SXG17" s="90"/>
      <c r="SXH17" s="93"/>
      <c r="SXI17" s="88"/>
      <c r="SXJ17" s="88"/>
      <c r="SXK17" s="91"/>
      <c r="SXL17" s="93"/>
      <c r="SXM17" s="93"/>
      <c r="SXN17" s="88"/>
      <c r="SXO17" s="88"/>
      <c r="SXP17" s="90"/>
      <c r="SXQ17" s="148"/>
      <c r="SXR17" s="88"/>
      <c r="SXS17" s="88"/>
      <c r="SXT17" s="90"/>
      <c r="SXU17" s="93"/>
      <c r="SXV17" s="88"/>
      <c r="SXW17" s="88"/>
      <c r="SXX17" s="91"/>
      <c r="SXY17" s="93"/>
      <c r="SXZ17" s="93"/>
      <c r="SYA17" s="88"/>
      <c r="SYB17" s="88"/>
      <c r="SYC17" s="90"/>
      <c r="SYD17" s="148"/>
      <c r="SYE17" s="88"/>
      <c r="SYF17" s="88"/>
      <c r="SYG17" s="90"/>
      <c r="SYH17" s="93"/>
      <c r="SYI17" s="88"/>
      <c r="SYJ17" s="88"/>
      <c r="SYK17" s="91"/>
      <c r="SYL17" s="93"/>
      <c r="SYM17" s="93"/>
      <c r="SYN17" s="88"/>
      <c r="SYO17" s="88"/>
      <c r="SYP17" s="90"/>
      <c r="SYQ17" s="148"/>
      <c r="SYR17" s="88"/>
      <c r="SYS17" s="88"/>
      <c r="SYT17" s="90"/>
      <c r="SYU17" s="93"/>
      <c r="SYV17" s="88"/>
      <c r="SYW17" s="88"/>
      <c r="SYX17" s="91"/>
      <c r="SYY17" s="93"/>
      <c r="SYZ17" s="93"/>
      <c r="SZA17" s="88"/>
      <c r="SZB17" s="88"/>
      <c r="SZC17" s="90"/>
      <c r="SZD17" s="148"/>
      <c r="SZE17" s="88"/>
      <c r="SZF17" s="88"/>
      <c r="SZG17" s="90"/>
      <c r="SZH17" s="93"/>
      <c r="SZI17" s="88"/>
      <c r="SZJ17" s="88"/>
      <c r="SZK17" s="91"/>
      <c r="SZL17" s="93"/>
      <c r="SZM17" s="93"/>
      <c r="SZN17" s="88"/>
      <c r="SZO17" s="88"/>
      <c r="SZP17" s="90"/>
      <c r="SZQ17" s="148"/>
      <c r="SZR17" s="88"/>
      <c r="SZS17" s="88"/>
      <c r="SZT17" s="90"/>
      <c r="SZU17" s="93"/>
      <c r="SZV17" s="88"/>
      <c r="SZW17" s="88"/>
      <c r="SZX17" s="91"/>
      <c r="SZY17" s="93"/>
      <c r="SZZ17" s="93"/>
      <c r="TAA17" s="88"/>
      <c r="TAB17" s="88"/>
      <c r="TAC17" s="90"/>
      <c r="TAD17" s="148"/>
      <c r="TAE17" s="88"/>
      <c r="TAF17" s="88"/>
      <c r="TAG17" s="90"/>
      <c r="TAH17" s="93"/>
      <c r="TAI17" s="88"/>
      <c r="TAJ17" s="88"/>
      <c r="TAK17" s="91"/>
      <c r="TAL17" s="93"/>
      <c r="TAM17" s="93"/>
      <c r="TAN17" s="88"/>
      <c r="TAO17" s="88"/>
      <c r="TAP17" s="90"/>
      <c r="TAQ17" s="148"/>
      <c r="TAR17" s="88"/>
      <c r="TAS17" s="88"/>
      <c r="TAT17" s="90"/>
      <c r="TAU17" s="93"/>
      <c r="TAV17" s="88"/>
      <c r="TAW17" s="88"/>
      <c r="TAX17" s="91"/>
      <c r="TAY17" s="93"/>
      <c r="TAZ17" s="93"/>
      <c r="TBA17" s="88"/>
      <c r="TBB17" s="88"/>
      <c r="TBC17" s="90"/>
      <c r="TBD17" s="148"/>
      <c r="TBE17" s="88"/>
      <c r="TBF17" s="88"/>
      <c r="TBG17" s="90"/>
      <c r="TBH17" s="93"/>
      <c r="TBI17" s="88"/>
      <c r="TBJ17" s="88"/>
      <c r="TBK17" s="91"/>
      <c r="TBL17" s="93"/>
      <c r="TBM17" s="93"/>
      <c r="TBN17" s="88"/>
      <c r="TBO17" s="88"/>
      <c r="TBP17" s="90"/>
      <c r="TBQ17" s="148"/>
      <c r="TBR17" s="88"/>
      <c r="TBS17" s="88"/>
      <c r="TBT17" s="90"/>
      <c r="TBU17" s="93"/>
      <c r="TBV17" s="88"/>
      <c r="TBW17" s="88"/>
      <c r="TBX17" s="91"/>
      <c r="TBY17" s="93"/>
      <c r="TBZ17" s="93"/>
      <c r="TCA17" s="88"/>
      <c r="TCB17" s="88"/>
      <c r="TCC17" s="90"/>
      <c r="TCD17" s="148"/>
      <c r="TCE17" s="88"/>
      <c r="TCF17" s="88"/>
      <c r="TCG17" s="90"/>
      <c r="TCH17" s="93"/>
      <c r="TCI17" s="88"/>
      <c r="TCJ17" s="88"/>
      <c r="TCK17" s="91"/>
      <c r="TCL17" s="93"/>
      <c r="TCM17" s="93"/>
      <c r="TCN17" s="88"/>
      <c r="TCO17" s="88"/>
      <c r="TCP17" s="90"/>
      <c r="TCQ17" s="148"/>
      <c r="TCR17" s="88"/>
      <c r="TCS17" s="88"/>
      <c r="TCT17" s="90"/>
      <c r="TCU17" s="93"/>
      <c r="TCV17" s="88"/>
      <c r="TCW17" s="88"/>
      <c r="TCX17" s="91"/>
      <c r="TCY17" s="93"/>
      <c r="TCZ17" s="93"/>
      <c r="TDA17" s="88"/>
      <c r="TDB17" s="88"/>
      <c r="TDC17" s="90"/>
      <c r="TDD17" s="148"/>
      <c r="TDE17" s="88"/>
      <c r="TDF17" s="88"/>
      <c r="TDG17" s="90"/>
      <c r="TDH17" s="93"/>
      <c r="TDI17" s="88"/>
      <c r="TDJ17" s="88"/>
      <c r="TDK17" s="91"/>
      <c r="TDL17" s="93"/>
      <c r="TDM17" s="93"/>
      <c r="TDN17" s="88"/>
      <c r="TDO17" s="88"/>
      <c r="TDP17" s="90"/>
      <c r="TDQ17" s="148"/>
      <c r="TDR17" s="88"/>
      <c r="TDS17" s="88"/>
      <c r="TDT17" s="90"/>
      <c r="TDU17" s="93"/>
      <c r="TDV17" s="88"/>
      <c r="TDW17" s="88"/>
      <c r="TDX17" s="91"/>
      <c r="TDY17" s="93"/>
      <c r="TDZ17" s="93"/>
      <c r="TEA17" s="88"/>
      <c r="TEB17" s="88"/>
      <c r="TEC17" s="90"/>
      <c r="TED17" s="148"/>
      <c r="TEE17" s="88"/>
      <c r="TEF17" s="88"/>
      <c r="TEG17" s="90"/>
      <c r="TEH17" s="93"/>
      <c r="TEI17" s="88"/>
      <c r="TEJ17" s="88"/>
      <c r="TEK17" s="91"/>
      <c r="TEL17" s="93"/>
      <c r="TEM17" s="93"/>
      <c r="TEN17" s="88"/>
      <c r="TEO17" s="88"/>
      <c r="TEP17" s="90"/>
      <c r="TEQ17" s="148"/>
      <c r="TER17" s="88"/>
      <c r="TES17" s="88"/>
      <c r="TET17" s="90"/>
      <c r="TEU17" s="93"/>
      <c r="TEV17" s="88"/>
      <c r="TEW17" s="88"/>
      <c r="TEX17" s="91"/>
      <c r="TEY17" s="93"/>
      <c r="TEZ17" s="93"/>
      <c r="TFA17" s="88"/>
      <c r="TFB17" s="88"/>
      <c r="TFC17" s="90"/>
      <c r="TFD17" s="148"/>
      <c r="TFE17" s="88"/>
      <c r="TFF17" s="88"/>
      <c r="TFG17" s="90"/>
      <c r="TFH17" s="93"/>
      <c r="TFI17" s="88"/>
      <c r="TFJ17" s="88"/>
      <c r="TFK17" s="91"/>
      <c r="TFL17" s="93"/>
      <c r="TFM17" s="93"/>
      <c r="TFN17" s="88"/>
      <c r="TFO17" s="88"/>
      <c r="TFP17" s="90"/>
      <c r="TFQ17" s="148"/>
      <c r="TFR17" s="88"/>
      <c r="TFS17" s="88"/>
      <c r="TFT17" s="90"/>
      <c r="TFU17" s="93"/>
      <c r="TFV17" s="88"/>
      <c r="TFW17" s="88"/>
      <c r="TFX17" s="91"/>
      <c r="TFY17" s="93"/>
      <c r="TFZ17" s="93"/>
      <c r="TGA17" s="88"/>
      <c r="TGB17" s="88"/>
      <c r="TGC17" s="90"/>
      <c r="TGD17" s="148"/>
      <c r="TGE17" s="88"/>
      <c r="TGF17" s="88"/>
      <c r="TGG17" s="90"/>
      <c r="TGH17" s="93"/>
      <c r="TGI17" s="88"/>
      <c r="TGJ17" s="88"/>
      <c r="TGK17" s="91"/>
      <c r="TGL17" s="93"/>
      <c r="TGM17" s="93"/>
      <c r="TGN17" s="88"/>
      <c r="TGO17" s="88"/>
      <c r="TGP17" s="90"/>
      <c r="TGQ17" s="148"/>
      <c r="TGR17" s="88"/>
      <c r="TGS17" s="88"/>
      <c r="TGT17" s="90"/>
      <c r="TGU17" s="93"/>
      <c r="TGV17" s="88"/>
      <c r="TGW17" s="88"/>
      <c r="TGX17" s="91"/>
      <c r="TGY17" s="93"/>
      <c r="TGZ17" s="93"/>
      <c r="THA17" s="88"/>
      <c r="THB17" s="88"/>
      <c r="THC17" s="90"/>
      <c r="THD17" s="148"/>
      <c r="THE17" s="88"/>
      <c r="THF17" s="88"/>
      <c r="THG17" s="90"/>
      <c r="THH17" s="93"/>
      <c r="THI17" s="88"/>
      <c r="THJ17" s="88"/>
      <c r="THK17" s="91"/>
      <c r="THL17" s="93"/>
      <c r="THM17" s="93"/>
      <c r="THN17" s="88"/>
      <c r="THO17" s="88"/>
      <c r="THP17" s="90"/>
      <c r="THQ17" s="148"/>
      <c r="THR17" s="88"/>
      <c r="THS17" s="88"/>
      <c r="THT17" s="90"/>
      <c r="THU17" s="93"/>
      <c r="THV17" s="88"/>
      <c r="THW17" s="88"/>
      <c r="THX17" s="91"/>
      <c r="THY17" s="93"/>
      <c r="THZ17" s="93"/>
      <c r="TIA17" s="88"/>
      <c r="TIB17" s="88"/>
      <c r="TIC17" s="90"/>
      <c r="TID17" s="148"/>
      <c r="TIE17" s="88"/>
      <c r="TIF17" s="88"/>
      <c r="TIG17" s="90"/>
      <c r="TIH17" s="93"/>
      <c r="TII17" s="88"/>
      <c r="TIJ17" s="88"/>
      <c r="TIK17" s="91"/>
      <c r="TIL17" s="93"/>
      <c r="TIM17" s="93"/>
      <c r="TIN17" s="88"/>
      <c r="TIO17" s="88"/>
      <c r="TIP17" s="90"/>
      <c r="TIQ17" s="148"/>
      <c r="TIR17" s="88"/>
      <c r="TIS17" s="88"/>
      <c r="TIT17" s="90"/>
      <c r="TIU17" s="93"/>
      <c r="TIV17" s="88"/>
      <c r="TIW17" s="88"/>
      <c r="TIX17" s="91"/>
      <c r="TIY17" s="93"/>
      <c r="TIZ17" s="93"/>
      <c r="TJA17" s="88"/>
      <c r="TJB17" s="88"/>
      <c r="TJC17" s="90"/>
      <c r="TJD17" s="148"/>
      <c r="TJE17" s="88"/>
      <c r="TJF17" s="88"/>
      <c r="TJG17" s="90"/>
      <c r="TJH17" s="93"/>
      <c r="TJI17" s="88"/>
      <c r="TJJ17" s="88"/>
      <c r="TJK17" s="91"/>
      <c r="TJL17" s="93"/>
      <c r="TJM17" s="93"/>
      <c r="TJN17" s="88"/>
      <c r="TJO17" s="88"/>
      <c r="TJP17" s="90"/>
      <c r="TJQ17" s="148"/>
      <c r="TJR17" s="88"/>
      <c r="TJS17" s="88"/>
      <c r="TJT17" s="90"/>
      <c r="TJU17" s="93"/>
      <c r="TJV17" s="88"/>
      <c r="TJW17" s="88"/>
      <c r="TJX17" s="91"/>
      <c r="TJY17" s="93"/>
      <c r="TJZ17" s="93"/>
      <c r="TKA17" s="88"/>
      <c r="TKB17" s="88"/>
      <c r="TKC17" s="90"/>
      <c r="TKD17" s="148"/>
      <c r="TKE17" s="88"/>
      <c r="TKF17" s="88"/>
      <c r="TKG17" s="90"/>
      <c r="TKH17" s="93"/>
      <c r="TKI17" s="88"/>
      <c r="TKJ17" s="88"/>
      <c r="TKK17" s="91"/>
      <c r="TKL17" s="93"/>
      <c r="TKM17" s="93"/>
      <c r="TKN17" s="88"/>
      <c r="TKO17" s="88"/>
      <c r="TKP17" s="90"/>
      <c r="TKQ17" s="148"/>
      <c r="TKR17" s="88"/>
      <c r="TKS17" s="88"/>
      <c r="TKT17" s="90"/>
      <c r="TKU17" s="93"/>
      <c r="TKV17" s="88"/>
      <c r="TKW17" s="88"/>
      <c r="TKX17" s="91"/>
      <c r="TKY17" s="93"/>
      <c r="TKZ17" s="93"/>
      <c r="TLA17" s="88"/>
      <c r="TLB17" s="88"/>
      <c r="TLC17" s="90"/>
      <c r="TLD17" s="148"/>
      <c r="TLE17" s="88"/>
      <c r="TLF17" s="88"/>
      <c r="TLG17" s="90"/>
      <c r="TLH17" s="93"/>
      <c r="TLI17" s="88"/>
      <c r="TLJ17" s="88"/>
      <c r="TLK17" s="91"/>
      <c r="TLL17" s="93"/>
      <c r="TLM17" s="93"/>
      <c r="TLN17" s="88"/>
      <c r="TLO17" s="88"/>
      <c r="TLP17" s="90"/>
      <c r="TLQ17" s="148"/>
      <c r="TLR17" s="88"/>
      <c r="TLS17" s="88"/>
      <c r="TLT17" s="90"/>
      <c r="TLU17" s="93"/>
      <c r="TLV17" s="88"/>
      <c r="TLW17" s="88"/>
      <c r="TLX17" s="91"/>
      <c r="TLY17" s="93"/>
      <c r="TLZ17" s="93"/>
      <c r="TMA17" s="88"/>
      <c r="TMB17" s="88"/>
      <c r="TMC17" s="90"/>
      <c r="TMD17" s="148"/>
      <c r="TME17" s="88"/>
      <c r="TMF17" s="88"/>
      <c r="TMG17" s="90"/>
      <c r="TMH17" s="93"/>
      <c r="TMI17" s="88"/>
      <c r="TMJ17" s="88"/>
      <c r="TMK17" s="91"/>
      <c r="TML17" s="93"/>
      <c r="TMM17" s="93"/>
      <c r="TMN17" s="88"/>
      <c r="TMO17" s="88"/>
      <c r="TMP17" s="90"/>
      <c r="TMQ17" s="148"/>
      <c r="TMR17" s="88"/>
      <c r="TMS17" s="88"/>
      <c r="TMT17" s="90"/>
      <c r="TMU17" s="93"/>
      <c r="TMV17" s="88"/>
      <c r="TMW17" s="88"/>
      <c r="TMX17" s="91"/>
      <c r="TMY17" s="93"/>
      <c r="TMZ17" s="93"/>
      <c r="TNA17" s="88"/>
      <c r="TNB17" s="88"/>
      <c r="TNC17" s="90"/>
      <c r="TND17" s="148"/>
      <c r="TNE17" s="88"/>
      <c r="TNF17" s="88"/>
      <c r="TNG17" s="90"/>
      <c r="TNH17" s="93"/>
      <c r="TNI17" s="88"/>
      <c r="TNJ17" s="88"/>
      <c r="TNK17" s="91"/>
      <c r="TNL17" s="93"/>
      <c r="TNM17" s="93"/>
      <c r="TNN17" s="88"/>
      <c r="TNO17" s="88"/>
      <c r="TNP17" s="90"/>
      <c r="TNQ17" s="148"/>
      <c r="TNR17" s="88"/>
      <c r="TNS17" s="88"/>
      <c r="TNT17" s="90"/>
      <c r="TNU17" s="93"/>
      <c r="TNV17" s="88"/>
      <c r="TNW17" s="88"/>
      <c r="TNX17" s="91"/>
      <c r="TNY17" s="93"/>
      <c r="TNZ17" s="93"/>
      <c r="TOA17" s="88"/>
      <c r="TOB17" s="88"/>
      <c r="TOC17" s="90"/>
      <c r="TOD17" s="148"/>
      <c r="TOE17" s="88"/>
      <c r="TOF17" s="88"/>
      <c r="TOG17" s="90"/>
      <c r="TOH17" s="93"/>
      <c r="TOI17" s="88"/>
      <c r="TOJ17" s="88"/>
      <c r="TOK17" s="91"/>
      <c r="TOL17" s="93"/>
      <c r="TOM17" s="93"/>
      <c r="TON17" s="88"/>
      <c r="TOO17" s="88"/>
      <c r="TOP17" s="90"/>
      <c r="TOQ17" s="148"/>
      <c r="TOR17" s="88"/>
      <c r="TOS17" s="88"/>
      <c r="TOT17" s="90"/>
      <c r="TOU17" s="93"/>
      <c r="TOV17" s="88"/>
      <c r="TOW17" s="88"/>
      <c r="TOX17" s="91"/>
      <c r="TOY17" s="93"/>
      <c r="TOZ17" s="93"/>
      <c r="TPA17" s="88"/>
      <c r="TPB17" s="88"/>
      <c r="TPC17" s="90"/>
      <c r="TPD17" s="148"/>
      <c r="TPE17" s="88"/>
      <c r="TPF17" s="88"/>
      <c r="TPG17" s="90"/>
      <c r="TPH17" s="93"/>
      <c r="TPI17" s="88"/>
      <c r="TPJ17" s="88"/>
      <c r="TPK17" s="91"/>
      <c r="TPL17" s="93"/>
      <c r="TPM17" s="93"/>
      <c r="TPN17" s="88"/>
      <c r="TPO17" s="88"/>
      <c r="TPP17" s="90"/>
      <c r="TPQ17" s="148"/>
      <c r="TPR17" s="88"/>
      <c r="TPS17" s="88"/>
      <c r="TPT17" s="90"/>
      <c r="TPU17" s="93"/>
      <c r="TPV17" s="88"/>
      <c r="TPW17" s="88"/>
      <c r="TPX17" s="91"/>
      <c r="TPY17" s="93"/>
      <c r="TPZ17" s="93"/>
      <c r="TQA17" s="88"/>
      <c r="TQB17" s="88"/>
      <c r="TQC17" s="90"/>
      <c r="TQD17" s="148"/>
      <c r="TQE17" s="88"/>
      <c r="TQF17" s="88"/>
      <c r="TQG17" s="90"/>
      <c r="TQH17" s="93"/>
      <c r="TQI17" s="88"/>
      <c r="TQJ17" s="88"/>
      <c r="TQK17" s="91"/>
      <c r="TQL17" s="93"/>
      <c r="TQM17" s="93"/>
      <c r="TQN17" s="88"/>
      <c r="TQO17" s="88"/>
      <c r="TQP17" s="90"/>
      <c r="TQQ17" s="148"/>
      <c r="TQR17" s="88"/>
      <c r="TQS17" s="88"/>
      <c r="TQT17" s="90"/>
      <c r="TQU17" s="93"/>
      <c r="TQV17" s="88"/>
      <c r="TQW17" s="88"/>
      <c r="TQX17" s="91"/>
      <c r="TQY17" s="93"/>
      <c r="TQZ17" s="93"/>
      <c r="TRA17" s="88"/>
      <c r="TRB17" s="88"/>
      <c r="TRC17" s="90"/>
      <c r="TRD17" s="148"/>
      <c r="TRE17" s="88"/>
      <c r="TRF17" s="88"/>
      <c r="TRG17" s="90"/>
      <c r="TRH17" s="93"/>
      <c r="TRI17" s="88"/>
      <c r="TRJ17" s="88"/>
      <c r="TRK17" s="91"/>
      <c r="TRL17" s="93"/>
      <c r="TRM17" s="93"/>
      <c r="TRN17" s="88"/>
      <c r="TRO17" s="88"/>
      <c r="TRP17" s="90"/>
      <c r="TRQ17" s="148"/>
      <c r="TRR17" s="88"/>
      <c r="TRS17" s="88"/>
      <c r="TRT17" s="90"/>
      <c r="TRU17" s="93"/>
      <c r="TRV17" s="88"/>
      <c r="TRW17" s="88"/>
      <c r="TRX17" s="91"/>
      <c r="TRY17" s="93"/>
      <c r="TRZ17" s="93"/>
      <c r="TSA17" s="88"/>
      <c r="TSB17" s="88"/>
      <c r="TSC17" s="90"/>
      <c r="TSD17" s="148"/>
      <c r="TSE17" s="88"/>
      <c r="TSF17" s="88"/>
      <c r="TSG17" s="90"/>
      <c r="TSH17" s="93"/>
      <c r="TSI17" s="88"/>
      <c r="TSJ17" s="88"/>
      <c r="TSK17" s="91"/>
      <c r="TSL17" s="93"/>
      <c r="TSM17" s="93"/>
      <c r="TSN17" s="88"/>
      <c r="TSO17" s="88"/>
      <c r="TSP17" s="90"/>
      <c r="TSQ17" s="148"/>
      <c r="TSR17" s="88"/>
      <c r="TSS17" s="88"/>
      <c r="TST17" s="90"/>
      <c r="TSU17" s="93"/>
      <c r="TSV17" s="88"/>
      <c r="TSW17" s="88"/>
      <c r="TSX17" s="91"/>
      <c r="TSY17" s="93"/>
      <c r="TSZ17" s="93"/>
      <c r="TTA17" s="88"/>
      <c r="TTB17" s="88"/>
      <c r="TTC17" s="90"/>
      <c r="TTD17" s="148"/>
      <c r="TTE17" s="88"/>
      <c r="TTF17" s="88"/>
      <c r="TTG17" s="90"/>
      <c r="TTH17" s="93"/>
      <c r="TTI17" s="88"/>
      <c r="TTJ17" s="88"/>
      <c r="TTK17" s="91"/>
      <c r="TTL17" s="93"/>
      <c r="TTM17" s="93"/>
      <c r="TTN17" s="88"/>
      <c r="TTO17" s="88"/>
      <c r="TTP17" s="90"/>
      <c r="TTQ17" s="148"/>
      <c r="TTR17" s="88"/>
      <c r="TTS17" s="88"/>
      <c r="TTT17" s="90"/>
      <c r="TTU17" s="93"/>
      <c r="TTV17" s="88"/>
      <c r="TTW17" s="88"/>
      <c r="TTX17" s="91"/>
      <c r="TTY17" s="93"/>
      <c r="TTZ17" s="93"/>
      <c r="TUA17" s="88"/>
      <c r="TUB17" s="88"/>
      <c r="TUC17" s="90"/>
      <c r="TUD17" s="148"/>
      <c r="TUE17" s="88"/>
      <c r="TUF17" s="88"/>
      <c r="TUG17" s="90"/>
      <c r="TUH17" s="93"/>
      <c r="TUI17" s="88"/>
      <c r="TUJ17" s="88"/>
      <c r="TUK17" s="91"/>
      <c r="TUL17" s="93"/>
      <c r="TUM17" s="93"/>
      <c r="TUN17" s="88"/>
      <c r="TUO17" s="88"/>
      <c r="TUP17" s="90"/>
      <c r="TUQ17" s="148"/>
      <c r="TUR17" s="88"/>
      <c r="TUS17" s="88"/>
      <c r="TUT17" s="90"/>
      <c r="TUU17" s="93"/>
      <c r="TUV17" s="88"/>
      <c r="TUW17" s="88"/>
      <c r="TUX17" s="91"/>
      <c r="TUY17" s="93"/>
      <c r="TUZ17" s="93"/>
      <c r="TVA17" s="88"/>
      <c r="TVB17" s="88"/>
      <c r="TVC17" s="90"/>
      <c r="TVD17" s="148"/>
      <c r="TVE17" s="88"/>
      <c r="TVF17" s="88"/>
      <c r="TVG17" s="90"/>
      <c r="TVH17" s="93"/>
      <c r="TVI17" s="88"/>
      <c r="TVJ17" s="88"/>
      <c r="TVK17" s="91"/>
      <c r="TVL17" s="93"/>
      <c r="TVM17" s="93"/>
      <c r="TVN17" s="88"/>
      <c r="TVO17" s="88"/>
      <c r="TVP17" s="90"/>
      <c r="TVQ17" s="148"/>
      <c r="TVR17" s="88"/>
      <c r="TVS17" s="88"/>
      <c r="TVT17" s="90"/>
      <c r="TVU17" s="93"/>
      <c r="TVV17" s="88"/>
      <c r="TVW17" s="88"/>
      <c r="TVX17" s="91"/>
      <c r="TVY17" s="93"/>
      <c r="TVZ17" s="93"/>
      <c r="TWA17" s="88"/>
      <c r="TWB17" s="88"/>
      <c r="TWC17" s="90"/>
      <c r="TWD17" s="148"/>
      <c r="TWE17" s="88"/>
      <c r="TWF17" s="88"/>
      <c r="TWG17" s="90"/>
      <c r="TWH17" s="93"/>
      <c r="TWI17" s="88"/>
      <c r="TWJ17" s="88"/>
      <c r="TWK17" s="91"/>
      <c r="TWL17" s="93"/>
      <c r="TWM17" s="93"/>
      <c r="TWN17" s="88"/>
      <c r="TWO17" s="88"/>
      <c r="TWP17" s="90"/>
      <c r="TWQ17" s="148"/>
      <c r="TWR17" s="88"/>
      <c r="TWS17" s="88"/>
      <c r="TWT17" s="90"/>
      <c r="TWU17" s="93"/>
      <c r="TWV17" s="88"/>
      <c r="TWW17" s="88"/>
      <c r="TWX17" s="91"/>
      <c r="TWY17" s="93"/>
      <c r="TWZ17" s="93"/>
      <c r="TXA17" s="88"/>
      <c r="TXB17" s="88"/>
      <c r="TXC17" s="90"/>
      <c r="TXD17" s="148"/>
      <c r="TXE17" s="88"/>
      <c r="TXF17" s="88"/>
      <c r="TXG17" s="90"/>
      <c r="TXH17" s="93"/>
      <c r="TXI17" s="88"/>
      <c r="TXJ17" s="88"/>
      <c r="TXK17" s="91"/>
      <c r="TXL17" s="93"/>
      <c r="TXM17" s="93"/>
      <c r="TXN17" s="88"/>
      <c r="TXO17" s="88"/>
      <c r="TXP17" s="90"/>
      <c r="TXQ17" s="148"/>
      <c r="TXR17" s="88"/>
      <c r="TXS17" s="88"/>
      <c r="TXT17" s="90"/>
      <c r="TXU17" s="93"/>
      <c r="TXV17" s="88"/>
      <c r="TXW17" s="88"/>
      <c r="TXX17" s="91"/>
      <c r="TXY17" s="93"/>
      <c r="TXZ17" s="93"/>
      <c r="TYA17" s="88"/>
      <c r="TYB17" s="88"/>
      <c r="TYC17" s="90"/>
      <c r="TYD17" s="148"/>
      <c r="TYE17" s="88"/>
      <c r="TYF17" s="88"/>
      <c r="TYG17" s="90"/>
      <c r="TYH17" s="93"/>
      <c r="TYI17" s="88"/>
      <c r="TYJ17" s="88"/>
      <c r="TYK17" s="91"/>
      <c r="TYL17" s="93"/>
      <c r="TYM17" s="93"/>
      <c r="TYN17" s="88"/>
      <c r="TYO17" s="88"/>
      <c r="TYP17" s="90"/>
      <c r="TYQ17" s="148"/>
      <c r="TYR17" s="88"/>
      <c r="TYS17" s="88"/>
      <c r="TYT17" s="90"/>
      <c r="TYU17" s="93"/>
      <c r="TYV17" s="88"/>
      <c r="TYW17" s="88"/>
      <c r="TYX17" s="91"/>
      <c r="TYY17" s="93"/>
      <c r="TYZ17" s="93"/>
      <c r="TZA17" s="88"/>
      <c r="TZB17" s="88"/>
      <c r="TZC17" s="90"/>
      <c r="TZD17" s="148"/>
      <c r="TZE17" s="88"/>
      <c r="TZF17" s="88"/>
      <c r="TZG17" s="90"/>
      <c r="TZH17" s="93"/>
      <c r="TZI17" s="88"/>
      <c r="TZJ17" s="88"/>
      <c r="TZK17" s="91"/>
      <c r="TZL17" s="93"/>
      <c r="TZM17" s="93"/>
      <c r="TZN17" s="88"/>
      <c r="TZO17" s="88"/>
      <c r="TZP17" s="90"/>
      <c r="TZQ17" s="148"/>
      <c r="TZR17" s="88"/>
      <c r="TZS17" s="88"/>
      <c r="TZT17" s="90"/>
      <c r="TZU17" s="93"/>
      <c r="TZV17" s="88"/>
      <c r="TZW17" s="88"/>
      <c r="TZX17" s="91"/>
      <c r="TZY17" s="93"/>
      <c r="TZZ17" s="93"/>
      <c r="UAA17" s="88"/>
      <c r="UAB17" s="88"/>
      <c r="UAC17" s="90"/>
      <c r="UAD17" s="148"/>
      <c r="UAE17" s="88"/>
      <c r="UAF17" s="88"/>
      <c r="UAG17" s="90"/>
      <c r="UAH17" s="93"/>
      <c r="UAI17" s="88"/>
      <c r="UAJ17" s="88"/>
      <c r="UAK17" s="91"/>
      <c r="UAL17" s="93"/>
      <c r="UAM17" s="93"/>
      <c r="UAN17" s="88"/>
      <c r="UAO17" s="88"/>
      <c r="UAP17" s="90"/>
      <c r="UAQ17" s="148"/>
      <c r="UAR17" s="88"/>
      <c r="UAS17" s="88"/>
      <c r="UAT17" s="90"/>
      <c r="UAU17" s="93"/>
      <c r="UAV17" s="88"/>
      <c r="UAW17" s="88"/>
      <c r="UAX17" s="91"/>
      <c r="UAY17" s="93"/>
      <c r="UAZ17" s="93"/>
      <c r="UBA17" s="88"/>
      <c r="UBB17" s="88"/>
      <c r="UBC17" s="90"/>
      <c r="UBD17" s="148"/>
      <c r="UBE17" s="88"/>
      <c r="UBF17" s="88"/>
      <c r="UBG17" s="90"/>
      <c r="UBH17" s="93"/>
      <c r="UBI17" s="88"/>
      <c r="UBJ17" s="88"/>
      <c r="UBK17" s="91"/>
      <c r="UBL17" s="93"/>
      <c r="UBM17" s="93"/>
      <c r="UBN17" s="88"/>
      <c r="UBO17" s="88"/>
      <c r="UBP17" s="90"/>
      <c r="UBQ17" s="148"/>
      <c r="UBR17" s="88"/>
      <c r="UBS17" s="88"/>
      <c r="UBT17" s="90"/>
      <c r="UBU17" s="93"/>
      <c r="UBV17" s="88"/>
      <c r="UBW17" s="88"/>
      <c r="UBX17" s="91"/>
      <c r="UBY17" s="93"/>
      <c r="UBZ17" s="93"/>
      <c r="UCA17" s="88"/>
      <c r="UCB17" s="88"/>
      <c r="UCC17" s="90"/>
      <c r="UCD17" s="148"/>
      <c r="UCE17" s="88"/>
      <c r="UCF17" s="88"/>
      <c r="UCG17" s="90"/>
      <c r="UCH17" s="93"/>
      <c r="UCI17" s="88"/>
      <c r="UCJ17" s="88"/>
      <c r="UCK17" s="91"/>
      <c r="UCL17" s="93"/>
      <c r="UCM17" s="93"/>
      <c r="UCN17" s="88"/>
      <c r="UCO17" s="88"/>
      <c r="UCP17" s="90"/>
      <c r="UCQ17" s="148"/>
      <c r="UCR17" s="88"/>
      <c r="UCS17" s="88"/>
      <c r="UCT17" s="90"/>
      <c r="UCU17" s="93"/>
      <c r="UCV17" s="88"/>
      <c r="UCW17" s="88"/>
      <c r="UCX17" s="91"/>
      <c r="UCY17" s="93"/>
      <c r="UCZ17" s="93"/>
      <c r="UDA17" s="88"/>
      <c r="UDB17" s="88"/>
      <c r="UDC17" s="90"/>
      <c r="UDD17" s="148"/>
      <c r="UDE17" s="88"/>
      <c r="UDF17" s="88"/>
      <c r="UDG17" s="90"/>
      <c r="UDH17" s="93"/>
      <c r="UDI17" s="88"/>
      <c r="UDJ17" s="88"/>
      <c r="UDK17" s="91"/>
      <c r="UDL17" s="93"/>
      <c r="UDM17" s="93"/>
      <c r="UDN17" s="88"/>
      <c r="UDO17" s="88"/>
      <c r="UDP17" s="90"/>
      <c r="UDQ17" s="148"/>
      <c r="UDR17" s="88"/>
      <c r="UDS17" s="88"/>
      <c r="UDT17" s="90"/>
      <c r="UDU17" s="93"/>
      <c r="UDV17" s="88"/>
      <c r="UDW17" s="88"/>
      <c r="UDX17" s="91"/>
      <c r="UDY17" s="93"/>
      <c r="UDZ17" s="93"/>
      <c r="UEA17" s="88"/>
      <c r="UEB17" s="88"/>
      <c r="UEC17" s="90"/>
      <c r="UED17" s="148"/>
      <c r="UEE17" s="88"/>
      <c r="UEF17" s="88"/>
      <c r="UEG17" s="90"/>
      <c r="UEH17" s="93"/>
      <c r="UEI17" s="88"/>
      <c r="UEJ17" s="88"/>
      <c r="UEK17" s="91"/>
      <c r="UEL17" s="93"/>
      <c r="UEM17" s="93"/>
      <c r="UEN17" s="88"/>
      <c r="UEO17" s="88"/>
      <c r="UEP17" s="90"/>
      <c r="UEQ17" s="148"/>
      <c r="UER17" s="88"/>
      <c r="UES17" s="88"/>
      <c r="UET17" s="90"/>
      <c r="UEU17" s="93"/>
      <c r="UEV17" s="88"/>
      <c r="UEW17" s="88"/>
      <c r="UEX17" s="91"/>
      <c r="UEY17" s="93"/>
      <c r="UEZ17" s="93"/>
      <c r="UFA17" s="88"/>
      <c r="UFB17" s="88"/>
      <c r="UFC17" s="90"/>
      <c r="UFD17" s="148"/>
      <c r="UFE17" s="88"/>
      <c r="UFF17" s="88"/>
      <c r="UFG17" s="90"/>
      <c r="UFH17" s="93"/>
      <c r="UFI17" s="88"/>
      <c r="UFJ17" s="88"/>
      <c r="UFK17" s="91"/>
      <c r="UFL17" s="93"/>
      <c r="UFM17" s="93"/>
      <c r="UFN17" s="88"/>
      <c r="UFO17" s="88"/>
      <c r="UFP17" s="90"/>
      <c r="UFQ17" s="148"/>
      <c r="UFR17" s="88"/>
      <c r="UFS17" s="88"/>
      <c r="UFT17" s="90"/>
      <c r="UFU17" s="93"/>
      <c r="UFV17" s="88"/>
      <c r="UFW17" s="88"/>
      <c r="UFX17" s="91"/>
      <c r="UFY17" s="93"/>
      <c r="UFZ17" s="93"/>
      <c r="UGA17" s="88"/>
      <c r="UGB17" s="88"/>
      <c r="UGC17" s="90"/>
      <c r="UGD17" s="148"/>
      <c r="UGE17" s="88"/>
      <c r="UGF17" s="88"/>
      <c r="UGG17" s="90"/>
      <c r="UGH17" s="93"/>
      <c r="UGI17" s="88"/>
      <c r="UGJ17" s="88"/>
      <c r="UGK17" s="91"/>
      <c r="UGL17" s="93"/>
      <c r="UGM17" s="93"/>
      <c r="UGN17" s="88"/>
      <c r="UGO17" s="88"/>
      <c r="UGP17" s="90"/>
      <c r="UGQ17" s="148"/>
      <c r="UGR17" s="88"/>
      <c r="UGS17" s="88"/>
      <c r="UGT17" s="90"/>
      <c r="UGU17" s="93"/>
      <c r="UGV17" s="88"/>
      <c r="UGW17" s="88"/>
      <c r="UGX17" s="91"/>
      <c r="UGY17" s="93"/>
      <c r="UGZ17" s="93"/>
      <c r="UHA17" s="88"/>
      <c r="UHB17" s="88"/>
      <c r="UHC17" s="90"/>
      <c r="UHD17" s="148"/>
      <c r="UHE17" s="88"/>
      <c r="UHF17" s="88"/>
      <c r="UHG17" s="90"/>
      <c r="UHH17" s="93"/>
      <c r="UHI17" s="88"/>
      <c r="UHJ17" s="88"/>
      <c r="UHK17" s="91"/>
      <c r="UHL17" s="93"/>
      <c r="UHM17" s="93"/>
      <c r="UHN17" s="88"/>
      <c r="UHO17" s="88"/>
      <c r="UHP17" s="90"/>
      <c r="UHQ17" s="148"/>
      <c r="UHR17" s="88"/>
      <c r="UHS17" s="88"/>
      <c r="UHT17" s="90"/>
      <c r="UHU17" s="93"/>
      <c r="UHV17" s="88"/>
      <c r="UHW17" s="88"/>
      <c r="UHX17" s="91"/>
      <c r="UHY17" s="93"/>
      <c r="UHZ17" s="93"/>
      <c r="UIA17" s="88"/>
      <c r="UIB17" s="88"/>
      <c r="UIC17" s="90"/>
      <c r="UID17" s="148"/>
      <c r="UIE17" s="88"/>
      <c r="UIF17" s="88"/>
      <c r="UIG17" s="90"/>
      <c r="UIH17" s="93"/>
      <c r="UII17" s="88"/>
      <c r="UIJ17" s="88"/>
      <c r="UIK17" s="91"/>
      <c r="UIL17" s="93"/>
      <c r="UIM17" s="93"/>
      <c r="UIN17" s="88"/>
      <c r="UIO17" s="88"/>
      <c r="UIP17" s="90"/>
      <c r="UIQ17" s="148"/>
      <c r="UIR17" s="88"/>
      <c r="UIS17" s="88"/>
      <c r="UIT17" s="90"/>
      <c r="UIU17" s="93"/>
      <c r="UIV17" s="88"/>
      <c r="UIW17" s="88"/>
      <c r="UIX17" s="91"/>
      <c r="UIY17" s="93"/>
      <c r="UIZ17" s="93"/>
      <c r="UJA17" s="88"/>
      <c r="UJB17" s="88"/>
      <c r="UJC17" s="90"/>
      <c r="UJD17" s="148"/>
      <c r="UJE17" s="88"/>
      <c r="UJF17" s="88"/>
      <c r="UJG17" s="90"/>
      <c r="UJH17" s="93"/>
      <c r="UJI17" s="88"/>
      <c r="UJJ17" s="88"/>
      <c r="UJK17" s="91"/>
      <c r="UJL17" s="93"/>
      <c r="UJM17" s="93"/>
      <c r="UJN17" s="88"/>
      <c r="UJO17" s="88"/>
      <c r="UJP17" s="90"/>
      <c r="UJQ17" s="148"/>
      <c r="UJR17" s="88"/>
      <c r="UJS17" s="88"/>
      <c r="UJT17" s="90"/>
      <c r="UJU17" s="93"/>
      <c r="UJV17" s="88"/>
      <c r="UJW17" s="88"/>
      <c r="UJX17" s="91"/>
      <c r="UJY17" s="93"/>
      <c r="UJZ17" s="93"/>
      <c r="UKA17" s="88"/>
      <c r="UKB17" s="88"/>
      <c r="UKC17" s="90"/>
      <c r="UKD17" s="148"/>
      <c r="UKE17" s="88"/>
      <c r="UKF17" s="88"/>
      <c r="UKG17" s="90"/>
      <c r="UKH17" s="93"/>
      <c r="UKI17" s="88"/>
      <c r="UKJ17" s="88"/>
      <c r="UKK17" s="91"/>
      <c r="UKL17" s="93"/>
      <c r="UKM17" s="93"/>
      <c r="UKN17" s="88"/>
      <c r="UKO17" s="88"/>
      <c r="UKP17" s="90"/>
      <c r="UKQ17" s="148"/>
      <c r="UKR17" s="88"/>
      <c r="UKS17" s="88"/>
      <c r="UKT17" s="90"/>
      <c r="UKU17" s="93"/>
      <c r="UKV17" s="88"/>
      <c r="UKW17" s="88"/>
      <c r="UKX17" s="91"/>
      <c r="UKY17" s="93"/>
      <c r="UKZ17" s="93"/>
      <c r="ULA17" s="88"/>
      <c r="ULB17" s="88"/>
      <c r="ULC17" s="90"/>
      <c r="ULD17" s="148"/>
      <c r="ULE17" s="88"/>
      <c r="ULF17" s="88"/>
      <c r="ULG17" s="90"/>
      <c r="ULH17" s="93"/>
      <c r="ULI17" s="88"/>
      <c r="ULJ17" s="88"/>
      <c r="ULK17" s="91"/>
      <c r="ULL17" s="93"/>
      <c r="ULM17" s="93"/>
      <c r="ULN17" s="88"/>
      <c r="ULO17" s="88"/>
      <c r="ULP17" s="90"/>
      <c r="ULQ17" s="148"/>
      <c r="ULR17" s="88"/>
      <c r="ULS17" s="88"/>
      <c r="ULT17" s="90"/>
      <c r="ULU17" s="93"/>
      <c r="ULV17" s="88"/>
      <c r="ULW17" s="88"/>
      <c r="ULX17" s="91"/>
      <c r="ULY17" s="93"/>
      <c r="ULZ17" s="93"/>
      <c r="UMA17" s="88"/>
      <c r="UMB17" s="88"/>
      <c r="UMC17" s="90"/>
      <c r="UMD17" s="148"/>
      <c r="UME17" s="88"/>
      <c r="UMF17" s="88"/>
      <c r="UMG17" s="90"/>
      <c r="UMH17" s="93"/>
      <c r="UMI17" s="88"/>
      <c r="UMJ17" s="88"/>
      <c r="UMK17" s="91"/>
      <c r="UML17" s="93"/>
      <c r="UMM17" s="93"/>
      <c r="UMN17" s="88"/>
      <c r="UMO17" s="88"/>
      <c r="UMP17" s="90"/>
      <c r="UMQ17" s="148"/>
      <c r="UMR17" s="88"/>
      <c r="UMS17" s="88"/>
      <c r="UMT17" s="90"/>
      <c r="UMU17" s="93"/>
      <c r="UMV17" s="88"/>
      <c r="UMW17" s="88"/>
      <c r="UMX17" s="91"/>
      <c r="UMY17" s="93"/>
      <c r="UMZ17" s="93"/>
      <c r="UNA17" s="88"/>
      <c r="UNB17" s="88"/>
      <c r="UNC17" s="90"/>
      <c r="UND17" s="148"/>
      <c r="UNE17" s="88"/>
      <c r="UNF17" s="88"/>
      <c r="UNG17" s="90"/>
      <c r="UNH17" s="93"/>
      <c r="UNI17" s="88"/>
      <c r="UNJ17" s="88"/>
      <c r="UNK17" s="91"/>
      <c r="UNL17" s="93"/>
      <c r="UNM17" s="93"/>
      <c r="UNN17" s="88"/>
      <c r="UNO17" s="88"/>
      <c r="UNP17" s="90"/>
      <c r="UNQ17" s="148"/>
      <c r="UNR17" s="88"/>
      <c r="UNS17" s="88"/>
      <c r="UNT17" s="90"/>
      <c r="UNU17" s="93"/>
      <c r="UNV17" s="88"/>
      <c r="UNW17" s="88"/>
      <c r="UNX17" s="91"/>
      <c r="UNY17" s="93"/>
      <c r="UNZ17" s="93"/>
      <c r="UOA17" s="88"/>
      <c r="UOB17" s="88"/>
      <c r="UOC17" s="90"/>
      <c r="UOD17" s="148"/>
      <c r="UOE17" s="88"/>
      <c r="UOF17" s="88"/>
      <c r="UOG17" s="90"/>
      <c r="UOH17" s="93"/>
      <c r="UOI17" s="88"/>
      <c r="UOJ17" s="88"/>
      <c r="UOK17" s="91"/>
      <c r="UOL17" s="93"/>
      <c r="UOM17" s="93"/>
      <c r="UON17" s="88"/>
      <c r="UOO17" s="88"/>
      <c r="UOP17" s="90"/>
      <c r="UOQ17" s="148"/>
      <c r="UOR17" s="88"/>
      <c r="UOS17" s="88"/>
      <c r="UOT17" s="90"/>
      <c r="UOU17" s="93"/>
      <c r="UOV17" s="88"/>
      <c r="UOW17" s="88"/>
      <c r="UOX17" s="91"/>
      <c r="UOY17" s="93"/>
      <c r="UOZ17" s="93"/>
      <c r="UPA17" s="88"/>
      <c r="UPB17" s="88"/>
      <c r="UPC17" s="90"/>
      <c r="UPD17" s="148"/>
      <c r="UPE17" s="88"/>
      <c r="UPF17" s="88"/>
      <c r="UPG17" s="90"/>
      <c r="UPH17" s="93"/>
      <c r="UPI17" s="88"/>
      <c r="UPJ17" s="88"/>
      <c r="UPK17" s="91"/>
      <c r="UPL17" s="93"/>
      <c r="UPM17" s="93"/>
      <c r="UPN17" s="88"/>
      <c r="UPO17" s="88"/>
      <c r="UPP17" s="90"/>
      <c r="UPQ17" s="148"/>
      <c r="UPR17" s="88"/>
      <c r="UPS17" s="88"/>
      <c r="UPT17" s="90"/>
      <c r="UPU17" s="93"/>
      <c r="UPV17" s="88"/>
      <c r="UPW17" s="88"/>
      <c r="UPX17" s="91"/>
      <c r="UPY17" s="93"/>
      <c r="UPZ17" s="93"/>
      <c r="UQA17" s="88"/>
      <c r="UQB17" s="88"/>
      <c r="UQC17" s="90"/>
      <c r="UQD17" s="148"/>
      <c r="UQE17" s="88"/>
      <c r="UQF17" s="88"/>
      <c r="UQG17" s="90"/>
      <c r="UQH17" s="93"/>
      <c r="UQI17" s="88"/>
      <c r="UQJ17" s="88"/>
      <c r="UQK17" s="91"/>
      <c r="UQL17" s="93"/>
      <c r="UQM17" s="93"/>
      <c r="UQN17" s="88"/>
      <c r="UQO17" s="88"/>
      <c r="UQP17" s="90"/>
      <c r="UQQ17" s="148"/>
      <c r="UQR17" s="88"/>
      <c r="UQS17" s="88"/>
      <c r="UQT17" s="90"/>
      <c r="UQU17" s="93"/>
      <c r="UQV17" s="88"/>
      <c r="UQW17" s="88"/>
      <c r="UQX17" s="91"/>
      <c r="UQY17" s="93"/>
      <c r="UQZ17" s="93"/>
      <c r="URA17" s="88"/>
      <c r="URB17" s="88"/>
      <c r="URC17" s="90"/>
      <c r="URD17" s="148"/>
      <c r="URE17" s="88"/>
      <c r="URF17" s="88"/>
      <c r="URG17" s="90"/>
      <c r="URH17" s="93"/>
      <c r="URI17" s="88"/>
      <c r="URJ17" s="88"/>
      <c r="URK17" s="91"/>
      <c r="URL17" s="93"/>
      <c r="URM17" s="93"/>
      <c r="URN17" s="88"/>
      <c r="URO17" s="88"/>
      <c r="URP17" s="90"/>
      <c r="URQ17" s="148"/>
      <c r="URR17" s="88"/>
      <c r="URS17" s="88"/>
      <c r="URT17" s="90"/>
      <c r="URU17" s="93"/>
      <c r="URV17" s="88"/>
      <c r="URW17" s="88"/>
      <c r="URX17" s="91"/>
      <c r="URY17" s="93"/>
      <c r="URZ17" s="93"/>
      <c r="USA17" s="88"/>
      <c r="USB17" s="88"/>
      <c r="USC17" s="90"/>
      <c r="USD17" s="148"/>
      <c r="USE17" s="88"/>
      <c r="USF17" s="88"/>
      <c r="USG17" s="90"/>
      <c r="USH17" s="93"/>
      <c r="USI17" s="88"/>
      <c r="USJ17" s="88"/>
      <c r="USK17" s="91"/>
      <c r="USL17" s="93"/>
      <c r="USM17" s="93"/>
      <c r="USN17" s="88"/>
      <c r="USO17" s="88"/>
      <c r="USP17" s="90"/>
      <c r="USQ17" s="148"/>
      <c r="USR17" s="88"/>
      <c r="USS17" s="88"/>
      <c r="UST17" s="90"/>
      <c r="USU17" s="93"/>
      <c r="USV17" s="88"/>
      <c r="USW17" s="88"/>
      <c r="USX17" s="91"/>
      <c r="USY17" s="93"/>
      <c r="USZ17" s="93"/>
      <c r="UTA17" s="88"/>
      <c r="UTB17" s="88"/>
      <c r="UTC17" s="90"/>
      <c r="UTD17" s="148"/>
      <c r="UTE17" s="88"/>
      <c r="UTF17" s="88"/>
      <c r="UTG17" s="90"/>
      <c r="UTH17" s="93"/>
      <c r="UTI17" s="88"/>
      <c r="UTJ17" s="88"/>
      <c r="UTK17" s="91"/>
      <c r="UTL17" s="93"/>
      <c r="UTM17" s="93"/>
      <c r="UTN17" s="88"/>
      <c r="UTO17" s="88"/>
      <c r="UTP17" s="90"/>
      <c r="UTQ17" s="148"/>
      <c r="UTR17" s="88"/>
      <c r="UTS17" s="88"/>
      <c r="UTT17" s="90"/>
      <c r="UTU17" s="93"/>
      <c r="UTV17" s="88"/>
      <c r="UTW17" s="88"/>
      <c r="UTX17" s="91"/>
      <c r="UTY17" s="93"/>
      <c r="UTZ17" s="93"/>
      <c r="UUA17" s="88"/>
      <c r="UUB17" s="88"/>
      <c r="UUC17" s="90"/>
      <c r="UUD17" s="148"/>
      <c r="UUE17" s="88"/>
      <c r="UUF17" s="88"/>
      <c r="UUG17" s="90"/>
      <c r="UUH17" s="93"/>
      <c r="UUI17" s="88"/>
      <c r="UUJ17" s="88"/>
      <c r="UUK17" s="91"/>
      <c r="UUL17" s="93"/>
      <c r="UUM17" s="93"/>
      <c r="UUN17" s="88"/>
      <c r="UUO17" s="88"/>
      <c r="UUP17" s="90"/>
      <c r="UUQ17" s="148"/>
      <c r="UUR17" s="88"/>
      <c r="UUS17" s="88"/>
      <c r="UUT17" s="90"/>
      <c r="UUU17" s="93"/>
      <c r="UUV17" s="88"/>
      <c r="UUW17" s="88"/>
      <c r="UUX17" s="91"/>
      <c r="UUY17" s="93"/>
      <c r="UUZ17" s="93"/>
      <c r="UVA17" s="88"/>
      <c r="UVB17" s="88"/>
      <c r="UVC17" s="90"/>
      <c r="UVD17" s="148"/>
      <c r="UVE17" s="88"/>
      <c r="UVF17" s="88"/>
      <c r="UVG17" s="90"/>
      <c r="UVH17" s="93"/>
      <c r="UVI17" s="88"/>
      <c r="UVJ17" s="88"/>
      <c r="UVK17" s="91"/>
      <c r="UVL17" s="93"/>
      <c r="UVM17" s="93"/>
      <c r="UVN17" s="88"/>
      <c r="UVO17" s="88"/>
      <c r="UVP17" s="90"/>
      <c r="UVQ17" s="148"/>
      <c r="UVR17" s="88"/>
      <c r="UVS17" s="88"/>
      <c r="UVT17" s="90"/>
      <c r="UVU17" s="93"/>
      <c r="UVV17" s="88"/>
      <c r="UVW17" s="88"/>
      <c r="UVX17" s="91"/>
      <c r="UVY17" s="93"/>
      <c r="UVZ17" s="93"/>
      <c r="UWA17" s="88"/>
      <c r="UWB17" s="88"/>
      <c r="UWC17" s="90"/>
      <c r="UWD17" s="148"/>
      <c r="UWE17" s="88"/>
      <c r="UWF17" s="88"/>
      <c r="UWG17" s="90"/>
      <c r="UWH17" s="93"/>
      <c r="UWI17" s="88"/>
      <c r="UWJ17" s="88"/>
      <c r="UWK17" s="91"/>
      <c r="UWL17" s="93"/>
      <c r="UWM17" s="93"/>
      <c r="UWN17" s="88"/>
      <c r="UWO17" s="88"/>
      <c r="UWP17" s="90"/>
      <c r="UWQ17" s="148"/>
      <c r="UWR17" s="88"/>
      <c r="UWS17" s="88"/>
      <c r="UWT17" s="90"/>
      <c r="UWU17" s="93"/>
      <c r="UWV17" s="88"/>
      <c r="UWW17" s="88"/>
      <c r="UWX17" s="91"/>
      <c r="UWY17" s="93"/>
      <c r="UWZ17" s="93"/>
      <c r="UXA17" s="88"/>
      <c r="UXB17" s="88"/>
      <c r="UXC17" s="90"/>
      <c r="UXD17" s="148"/>
      <c r="UXE17" s="88"/>
      <c r="UXF17" s="88"/>
      <c r="UXG17" s="90"/>
      <c r="UXH17" s="93"/>
      <c r="UXI17" s="88"/>
      <c r="UXJ17" s="88"/>
      <c r="UXK17" s="91"/>
      <c r="UXL17" s="93"/>
      <c r="UXM17" s="93"/>
      <c r="UXN17" s="88"/>
      <c r="UXO17" s="88"/>
      <c r="UXP17" s="90"/>
      <c r="UXQ17" s="148"/>
      <c r="UXR17" s="88"/>
      <c r="UXS17" s="88"/>
      <c r="UXT17" s="90"/>
      <c r="UXU17" s="93"/>
      <c r="UXV17" s="88"/>
      <c r="UXW17" s="88"/>
      <c r="UXX17" s="91"/>
      <c r="UXY17" s="93"/>
      <c r="UXZ17" s="93"/>
      <c r="UYA17" s="88"/>
      <c r="UYB17" s="88"/>
      <c r="UYC17" s="90"/>
      <c r="UYD17" s="148"/>
      <c r="UYE17" s="88"/>
      <c r="UYF17" s="88"/>
      <c r="UYG17" s="90"/>
      <c r="UYH17" s="93"/>
      <c r="UYI17" s="88"/>
      <c r="UYJ17" s="88"/>
      <c r="UYK17" s="91"/>
      <c r="UYL17" s="93"/>
      <c r="UYM17" s="93"/>
      <c r="UYN17" s="88"/>
      <c r="UYO17" s="88"/>
      <c r="UYP17" s="90"/>
      <c r="UYQ17" s="148"/>
      <c r="UYR17" s="88"/>
      <c r="UYS17" s="88"/>
      <c r="UYT17" s="90"/>
      <c r="UYU17" s="93"/>
      <c r="UYV17" s="88"/>
      <c r="UYW17" s="88"/>
      <c r="UYX17" s="91"/>
      <c r="UYY17" s="93"/>
      <c r="UYZ17" s="93"/>
      <c r="UZA17" s="88"/>
      <c r="UZB17" s="88"/>
      <c r="UZC17" s="90"/>
      <c r="UZD17" s="148"/>
      <c r="UZE17" s="88"/>
      <c r="UZF17" s="88"/>
      <c r="UZG17" s="90"/>
      <c r="UZH17" s="93"/>
      <c r="UZI17" s="88"/>
      <c r="UZJ17" s="88"/>
      <c r="UZK17" s="91"/>
      <c r="UZL17" s="93"/>
      <c r="UZM17" s="93"/>
      <c r="UZN17" s="88"/>
      <c r="UZO17" s="88"/>
      <c r="UZP17" s="90"/>
      <c r="UZQ17" s="148"/>
      <c r="UZR17" s="88"/>
      <c r="UZS17" s="88"/>
      <c r="UZT17" s="90"/>
      <c r="UZU17" s="93"/>
      <c r="UZV17" s="88"/>
      <c r="UZW17" s="88"/>
      <c r="UZX17" s="91"/>
      <c r="UZY17" s="93"/>
      <c r="UZZ17" s="93"/>
      <c r="VAA17" s="88"/>
      <c r="VAB17" s="88"/>
      <c r="VAC17" s="90"/>
      <c r="VAD17" s="148"/>
      <c r="VAE17" s="88"/>
      <c r="VAF17" s="88"/>
      <c r="VAG17" s="90"/>
      <c r="VAH17" s="93"/>
      <c r="VAI17" s="88"/>
      <c r="VAJ17" s="88"/>
      <c r="VAK17" s="91"/>
      <c r="VAL17" s="93"/>
      <c r="VAM17" s="93"/>
      <c r="VAN17" s="88"/>
      <c r="VAO17" s="88"/>
      <c r="VAP17" s="90"/>
      <c r="VAQ17" s="148"/>
      <c r="VAR17" s="88"/>
      <c r="VAS17" s="88"/>
      <c r="VAT17" s="90"/>
      <c r="VAU17" s="93"/>
      <c r="VAV17" s="88"/>
      <c r="VAW17" s="88"/>
      <c r="VAX17" s="91"/>
      <c r="VAY17" s="93"/>
      <c r="VAZ17" s="93"/>
      <c r="VBA17" s="88"/>
      <c r="VBB17" s="88"/>
      <c r="VBC17" s="90"/>
      <c r="VBD17" s="148"/>
      <c r="VBE17" s="88"/>
      <c r="VBF17" s="88"/>
      <c r="VBG17" s="90"/>
      <c r="VBH17" s="93"/>
      <c r="VBI17" s="88"/>
      <c r="VBJ17" s="88"/>
      <c r="VBK17" s="91"/>
      <c r="VBL17" s="93"/>
      <c r="VBM17" s="93"/>
      <c r="VBN17" s="88"/>
      <c r="VBO17" s="88"/>
      <c r="VBP17" s="90"/>
      <c r="VBQ17" s="148"/>
      <c r="VBR17" s="88"/>
      <c r="VBS17" s="88"/>
      <c r="VBT17" s="90"/>
      <c r="VBU17" s="93"/>
      <c r="VBV17" s="88"/>
      <c r="VBW17" s="88"/>
      <c r="VBX17" s="91"/>
      <c r="VBY17" s="93"/>
      <c r="VBZ17" s="93"/>
      <c r="VCA17" s="88"/>
      <c r="VCB17" s="88"/>
      <c r="VCC17" s="90"/>
      <c r="VCD17" s="148"/>
      <c r="VCE17" s="88"/>
      <c r="VCF17" s="88"/>
      <c r="VCG17" s="90"/>
      <c r="VCH17" s="93"/>
      <c r="VCI17" s="88"/>
      <c r="VCJ17" s="88"/>
      <c r="VCK17" s="91"/>
      <c r="VCL17" s="93"/>
      <c r="VCM17" s="93"/>
      <c r="VCN17" s="88"/>
      <c r="VCO17" s="88"/>
      <c r="VCP17" s="90"/>
      <c r="VCQ17" s="148"/>
      <c r="VCR17" s="88"/>
      <c r="VCS17" s="88"/>
      <c r="VCT17" s="90"/>
      <c r="VCU17" s="93"/>
      <c r="VCV17" s="88"/>
      <c r="VCW17" s="88"/>
      <c r="VCX17" s="91"/>
      <c r="VCY17" s="93"/>
      <c r="VCZ17" s="93"/>
      <c r="VDA17" s="88"/>
      <c r="VDB17" s="88"/>
      <c r="VDC17" s="90"/>
      <c r="VDD17" s="148"/>
      <c r="VDE17" s="88"/>
      <c r="VDF17" s="88"/>
      <c r="VDG17" s="90"/>
      <c r="VDH17" s="93"/>
      <c r="VDI17" s="88"/>
      <c r="VDJ17" s="88"/>
      <c r="VDK17" s="91"/>
      <c r="VDL17" s="93"/>
      <c r="VDM17" s="93"/>
      <c r="VDN17" s="88"/>
      <c r="VDO17" s="88"/>
      <c r="VDP17" s="90"/>
      <c r="VDQ17" s="148"/>
      <c r="VDR17" s="88"/>
      <c r="VDS17" s="88"/>
      <c r="VDT17" s="90"/>
      <c r="VDU17" s="93"/>
      <c r="VDV17" s="88"/>
      <c r="VDW17" s="88"/>
      <c r="VDX17" s="91"/>
      <c r="VDY17" s="93"/>
      <c r="VDZ17" s="93"/>
      <c r="VEA17" s="88"/>
      <c r="VEB17" s="88"/>
      <c r="VEC17" s="90"/>
      <c r="VED17" s="148"/>
      <c r="VEE17" s="88"/>
      <c r="VEF17" s="88"/>
      <c r="VEG17" s="90"/>
      <c r="VEH17" s="93"/>
      <c r="VEI17" s="88"/>
      <c r="VEJ17" s="88"/>
      <c r="VEK17" s="91"/>
      <c r="VEL17" s="93"/>
      <c r="VEM17" s="93"/>
      <c r="VEN17" s="88"/>
      <c r="VEO17" s="88"/>
      <c r="VEP17" s="90"/>
      <c r="VEQ17" s="148"/>
      <c r="VER17" s="88"/>
      <c r="VES17" s="88"/>
      <c r="VET17" s="90"/>
      <c r="VEU17" s="93"/>
      <c r="VEV17" s="88"/>
      <c r="VEW17" s="88"/>
      <c r="VEX17" s="91"/>
      <c r="VEY17" s="93"/>
      <c r="VEZ17" s="93"/>
      <c r="VFA17" s="88"/>
      <c r="VFB17" s="88"/>
      <c r="VFC17" s="90"/>
      <c r="VFD17" s="148"/>
      <c r="VFE17" s="88"/>
      <c r="VFF17" s="88"/>
      <c r="VFG17" s="90"/>
      <c r="VFH17" s="93"/>
      <c r="VFI17" s="88"/>
      <c r="VFJ17" s="88"/>
      <c r="VFK17" s="91"/>
      <c r="VFL17" s="93"/>
      <c r="VFM17" s="93"/>
      <c r="VFN17" s="88"/>
      <c r="VFO17" s="88"/>
      <c r="VFP17" s="90"/>
      <c r="VFQ17" s="148"/>
      <c r="VFR17" s="88"/>
      <c r="VFS17" s="88"/>
      <c r="VFT17" s="90"/>
      <c r="VFU17" s="93"/>
      <c r="VFV17" s="88"/>
      <c r="VFW17" s="88"/>
      <c r="VFX17" s="91"/>
      <c r="VFY17" s="93"/>
      <c r="VFZ17" s="93"/>
      <c r="VGA17" s="88"/>
      <c r="VGB17" s="88"/>
      <c r="VGC17" s="90"/>
      <c r="VGD17" s="148"/>
      <c r="VGE17" s="88"/>
      <c r="VGF17" s="88"/>
      <c r="VGG17" s="90"/>
      <c r="VGH17" s="93"/>
      <c r="VGI17" s="88"/>
      <c r="VGJ17" s="88"/>
      <c r="VGK17" s="91"/>
      <c r="VGL17" s="93"/>
      <c r="VGM17" s="93"/>
      <c r="VGN17" s="88"/>
      <c r="VGO17" s="88"/>
      <c r="VGP17" s="90"/>
      <c r="VGQ17" s="148"/>
      <c r="VGR17" s="88"/>
      <c r="VGS17" s="88"/>
      <c r="VGT17" s="90"/>
      <c r="VGU17" s="93"/>
      <c r="VGV17" s="88"/>
      <c r="VGW17" s="88"/>
      <c r="VGX17" s="91"/>
      <c r="VGY17" s="93"/>
      <c r="VGZ17" s="93"/>
      <c r="VHA17" s="88"/>
      <c r="VHB17" s="88"/>
      <c r="VHC17" s="90"/>
      <c r="VHD17" s="148"/>
      <c r="VHE17" s="88"/>
      <c r="VHF17" s="88"/>
      <c r="VHG17" s="90"/>
      <c r="VHH17" s="93"/>
      <c r="VHI17" s="88"/>
      <c r="VHJ17" s="88"/>
      <c r="VHK17" s="91"/>
      <c r="VHL17" s="93"/>
      <c r="VHM17" s="93"/>
      <c r="VHN17" s="88"/>
      <c r="VHO17" s="88"/>
      <c r="VHP17" s="90"/>
      <c r="VHQ17" s="148"/>
      <c r="VHR17" s="88"/>
      <c r="VHS17" s="88"/>
      <c r="VHT17" s="90"/>
      <c r="VHU17" s="93"/>
      <c r="VHV17" s="88"/>
      <c r="VHW17" s="88"/>
      <c r="VHX17" s="91"/>
      <c r="VHY17" s="93"/>
      <c r="VHZ17" s="93"/>
      <c r="VIA17" s="88"/>
      <c r="VIB17" s="88"/>
      <c r="VIC17" s="90"/>
      <c r="VID17" s="148"/>
      <c r="VIE17" s="88"/>
      <c r="VIF17" s="88"/>
      <c r="VIG17" s="90"/>
      <c r="VIH17" s="93"/>
      <c r="VII17" s="88"/>
      <c r="VIJ17" s="88"/>
      <c r="VIK17" s="91"/>
      <c r="VIL17" s="93"/>
      <c r="VIM17" s="93"/>
      <c r="VIN17" s="88"/>
      <c r="VIO17" s="88"/>
      <c r="VIP17" s="90"/>
      <c r="VIQ17" s="148"/>
      <c r="VIR17" s="88"/>
      <c r="VIS17" s="88"/>
      <c r="VIT17" s="90"/>
      <c r="VIU17" s="93"/>
      <c r="VIV17" s="88"/>
      <c r="VIW17" s="88"/>
      <c r="VIX17" s="91"/>
      <c r="VIY17" s="93"/>
      <c r="VIZ17" s="93"/>
      <c r="VJA17" s="88"/>
      <c r="VJB17" s="88"/>
      <c r="VJC17" s="90"/>
      <c r="VJD17" s="148"/>
      <c r="VJE17" s="88"/>
      <c r="VJF17" s="88"/>
      <c r="VJG17" s="90"/>
      <c r="VJH17" s="93"/>
      <c r="VJI17" s="88"/>
      <c r="VJJ17" s="88"/>
      <c r="VJK17" s="91"/>
      <c r="VJL17" s="93"/>
      <c r="VJM17" s="93"/>
      <c r="VJN17" s="88"/>
      <c r="VJO17" s="88"/>
      <c r="VJP17" s="90"/>
      <c r="VJQ17" s="148"/>
      <c r="VJR17" s="88"/>
      <c r="VJS17" s="88"/>
      <c r="VJT17" s="90"/>
      <c r="VJU17" s="93"/>
      <c r="VJV17" s="88"/>
      <c r="VJW17" s="88"/>
      <c r="VJX17" s="91"/>
      <c r="VJY17" s="93"/>
      <c r="VJZ17" s="93"/>
      <c r="VKA17" s="88"/>
      <c r="VKB17" s="88"/>
      <c r="VKC17" s="90"/>
      <c r="VKD17" s="148"/>
      <c r="VKE17" s="88"/>
      <c r="VKF17" s="88"/>
      <c r="VKG17" s="90"/>
      <c r="VKH17" s="93"/>
      <c r="VKI17" s="88"/>
      <c r="VKJ17" s="88"/>
      <c r="VKK17" s="91"/>
      <c r="VKL17" s="93"/>
      <c r="VKM17" s="93"/>
      <c r="VKN17" s="88"/>
      <c r="VKO17" s="88"/>
      <c r="VKP17" s="90"/>
      <c r="VKQ17" s="148"/>
      <c r="VKR17" s="88"/>
      <c r="VKS17" s="88"/>
      <c r="VKT17" s="90"/>
      <c r="VKU17" s="93"/>
      <c r="VKV17" s="88"/>
      <c r="VKW17" s="88"/>
      <c r="VKX17" s="91"/>
      <c r="VKY17" s="93"/>
      <c r="VKZ17" s="93"/>
      <c r="VLA17" s="88"/>
      <c r="VLB17" s="88"/>
      <c r="VLC17" s="90"/>
      <c r="VLD17" s="148"/>
      <c r="VLE17" s="88"/>
      <c r="VLF17" s="88"/>
      <c r="VLG17" s="90"/>
      <c r="VLH17" s="93"/>
      <c r="VLI17" s="88"/>
      <c r="VLJ17" s="88"/>
      <c r="VLK17" s="91"/>
      <c r="VLL17" s="93"/>
      <c r="VLM17" s="93"/>
      <c r="VLN17" s="88"/>
      <c r="VLO17" s="88"/>
      <c r="VLP17" s="90"/>
      <c r="VLQ17" s="148"/>
      <c r="VLR17" s="88"/>
      <c r="VLS17" s="88"/>
      <c r="VLT17" s="90"/>
      <c r="VLU17" s="93"/>
      <c r="VLV17" s="88"/>
      <c r="VLW17" s="88"/>
      <c r="VLX17" s="91"/>
      <c r="VLY17" s="93"/>
      <c r="VLZ17" s="93"/>
      <c r="VMA17" s="88"/>
      <c r="VMB17" s="88"/>
      <c r="VMC17" s="90"/>
      <c r="VMD17" s="148"/>
      <c r="VME17" s="88"/>
      <c r="VMF17" s="88"/>
      <c r="VMG17" s="90"/>
      <c r="VMH17" s="93"/>
      <c r="VMI17" s="88"/>
      <c r="VMJ17" s="88"/>
      <c r="VMK17" s="91"/>
      <c r="VML17" s="93"/>
      <c r="VMM17" s="93"/>
      <c r="VMN17" s="88"/>
      <c r="VMO17" s="88"/>
      <c r="VMP17" s="90"/>
      <c r="VMQ17" s="148"/>
      <c r="VMR17" s="88"/>
      <c r="VMS17" s="88"/>
      <c r="VMT17" s="90"/>
      <c r="VMU17" s="93"/>
      <c r="VMV17" s="88"/>
      <c r="VMW17" s="88"/>
      <c r="VMX17" s="91"/>
      <c r="VMY17" s="93"/>
      <c r="VMZ17" s="93"/>
      <c r="VNA17" s="88"/>
      <c r="VNB17" s="88"/>
      <c r="VNC17" s="90"/>
      <c r="VND17" s="148"/>
      <c r="VNE17" s="88"/>
      <c r="VNF17" s="88"/>
      <c r="VNG17" s="90"/>
      <c r="VNH17" s="93"/>
      <c r="VNI17" s="88"/>
      <c r="VNJ17" s="88"/>
      <c r="VNK17" s="91"/>
      <c r="VNL17" s="93"/>
      <c r="VNM17" s="93"/>
      <c r="VNN17" s="88"/>
      <c r="VNO17" s="88"/>
      <c r="VNP17" s="90"/>
      <c r="VNQ17" s="148"/>
      <c r="VNR17" s="88"/>
      <c r="VNS17" s="88"/>
      <c r="VNT17" s="90"/>
      <c r="VNU17" s="93"/>
      <c r="VNV17" s="88"/>
      <c r="VNW17" s="88"/>
      <c r="VNX17" s="91"/>
      <c r="VNY17" s="93"/>
      <c r="VNZ17" s="93"/>
      <c r="VOA17" s="88"/>
      <c r="VOB17" s="88"/>
      <c r="VOC17" s="90"/>
      <c r="VOD17" s="148"/>
      <c r="VOE17" s="88"/>
      <c r="VOF17" s="88"/>
      <c r="VOG17" s="90"/>
      <c r="VOH17" s="93"/>
      <c r="VOI17" s="88"/>
      <c r="VOJ17" s="88"/>
      <c r="VOK17" s="91"/>
      <c r="VOL17" s="93"/>
      <c r="VOM17" s="93"/>
      <c r="VON17" s="88"/>
      <c r="VOO17" s="88"/>
      <c r="VOP17" s="90"/>
      <c r="VOQ17" s="148"/>
      <c r="VOR17" s="88"/>
      <c r="VOS17" s="88"/>
      <c r="VOT17" s="90"/>
      <c r="VOU17" s="93"/>
      <c r="VOV17" s="88"/>
      <c r="VOW17" s="88"/>
      <c r="VOX17" s="91"/>
      <c r="VOY17" s="93"/>
      <c r="VOZ17" s="93"/>
      <c r="VPA17" s="88"/>
      <c r="VPB17" s="88"/>
      <c r="VPC17" s="90"/>
      <c r="VPD17" s="148"/>
      <c r="VPE17" s="88"/>
      <c r="VPF17" s="88"/>
      <c r="VPG17" s="90"/>
      <c r="VPH17" s="93"/>
      <c r="VPI17" s="88"/>
      <c r="VPJ17" s="88"/>
      <c r="VPK17" s="91"/>
      <c r="VPL17" s="93"/>
      <c r="VPM17" s="93"/>
      <c r="VPN17" s="88"/>
      <c r="VPO17" s="88"/>
      <c r="VPP17" s="90"/>
      <c r="VPQ17" s="148"/>
      <c r="VPR17" s="88"/>
      <c r="VPS17" s="88"/>
      <c r="VPT17" s="90"/>
      <c r="VPU17" s="93"/>
      <c r="VPV17" s="88"/>
      <c r="VPW17" s="88"/>
      <c r="VPX17" s="91"/>
      <c r="VPY17" s="93"/>
      <c r="VPZ17" s="93"/>
      <c r="VQA17" s="88"/>
      <c r="VQB17" s="88"/>
      <c r="VQC17" s="90"/>
      <c r="VQD17" s="148"/>
      <c r="VQE17" s="88"/>
      <c r="VQF17" s="88"/>
      <c r="VQG17" s="90"/>
      <c r="VQH17" s="93"/>
      <c r="VQI17" s="88"/>
      <c r="VQJ17" s="88"/>
      <c r="VQK17" s="91"/>
      <c r="VQL17" s="93"/>
      <c r="VQM17" s="93"/>
      <c r="VQN17" s="88"/>
      <c r="VQO17" s="88"/>
      <c r="VQP17" s="90"/>
      <c r="VQQ17" s="148"/>
      <c r="VQR17" s="88"/>
      <c r="VQS17" s="88"/>
      <c r="VQT17" s="90"/>
      <c r="VQU17" s="93"/>
      <c r="VQV17" s="88"/>
      <c r="VQW17" s="88"/>
      <c r="VQX17" s="91"/>
      <c r="VQY17" s="93"/>
      <c r="VQZ17" s="93"/>
      <c r="VRA17" s="88"/>
      <c r="VRB17" s="88"/>
      <c r="VRC17" s="90"/>
      <c r="VRD17" s="148"/>
      <c r="VRE17" s="88"/>
      <c r="VRF17" s="88"/>
      <c r="VRG17" s="90"/>
      <c r="VRH17" s="93"/>
      <c r="VRI17" s="88"/>
      <c r="VRJ17" s="88"/>
      <c r="VRK17" s="91"/>
      <c r="VRL17" s="93"/>
      <c r="VRM17" s="93"/>
      <c r="VRN17" s="88"/>
      <c r="VRO17" s="88"/>
      <c r="VRP17" s="90"/>
      <c r="VRQ17" s="148"/>
      <c r="VRR17" s="88"/>
      <c r="VRS17" s="88"/>
      <c r="VRT17" s="90"/>
      <c r="VRU17" s="93"/>
      <c r="VRV17" s="88"/>
      <c r="VRW17" s="88"/>
      <c r="VRX17" s="91"/>
      <c r="VRY17" s="93"/>
      <c r="VRZ17" s="93"/>
      <c r="VSA17" s="88"/>
      <c r="VSB17" s="88"/>
      <c r="VSC17" s="90"/>
      <c r="VSD17" s="148"/>
      <c r="VSE17" s="88"/>
      <c r="VSF17" s="88"/>
      <c r="VSG17" s="90"/>
      <c r="VSH17" s="93"/>
      <c r="VSI17" s="88"/>
      <c r="VSJ17" s="88"/>
      <c r="VSK17" s="91"/>
      <c r="VSL17" s="93"/>
      <c r="VSM17" s="93"/>
      <c r="VSN17" s="88"/>
      <c r="VSO17" s="88"/>
      <c r="VSP17" s="90"/>
      <c r="VSQ17" s="148"/>
      <c r="VSR17" s="88"/>
      <c r="VSS17" s="88"/>
      <c r="VST17" s="90"/>
      <c r="VSU17" s="93"/>
      <c r="VSV17" s="88"/>
      <c r="VSW17" s="88"/>
      <c r="VSX17" s="91"/>
      <c r="VSY17" s="93"/>
      <c r="VSZ17" s="93"/>
      <c r="VTA17" s="88"/>
      <c r="VTB17" s="88"/>
      <c r="VTC17" s="90"/>
      <c r="VTD17" s="148"/>
      <c r="VTE17" s="88"/>
      <c r="VTF17" s="88"/>
      <c r="VTG17" s="90"/>
      <c r="VTH17" s="93"/>
      <c r="VTI17" s="88"/>
      <c r="VTJ17" s="88"/>
      <c r="VTK17" s="91"/>
      <c r="VTL17" s="93"/>
      <c r="VTM17" s="93"/>
      <c r="VTN17" s="88"/>
      <c r="VTO17" s="88"/>
      <c r="VTP17" s="90"/>
      <c r="VTQ17" s="148"/>
      <c r="VTR17" s="88"/>
      <c r="VTS17" s="88"/>
      <c r="VTT17" s="90"/>
      <c r="VTU17" s="93"/>
      <c r="VTV17" s="88"/>
      <c r="VTW17" s="88"/>
      <c r="VTX17" s="91"/>
      <c r="VTY17" s="93"/>
      <c r="VTZ17" s="93"/>
      <c r="VUA17" s="88"/>
      <c r="VUB17" s="88"/>
      <c r="VUC17" s="90"/>
      <c r="VUD17" s="148"/>
      <c r="VUE17" s="88"/>
      <c r="VUF17" s="88"/>
      <c r="VUG17" s="90"/>
      <c r="VUH17" s="93"/>
      <c r="VUI17" s="88"/>
      <c r="VUJ17" s="88"/>
      <c r="VUK17" s="91"/>
      <c r="VUL17" s="93"/>
      <c r="VUM17" s="93"/>
      <c r="VUN17" s="88"/>
      <c r="VUO17" s="88"/>
      <c r="VUP17" s="90"/>
      <c r="VUQ17" s="148"/>
      <c r="VUR17" s="88"/>
      <c r="VUS17" s="88"/>
      <c r="VUT17" s="90"/>
      <c r="VUU17" s="93"/>
      <c r="VUV17" s="88"/>
      <c r="VUW17" s="88"/>
      <c r="VUX17" s="91"/>
      <c r="VUY17" s="93"/>
      <c r="VUZ17" s="93"/>
      <c r="VVA17" s="88"/>
      <c r="VVB17" s="88"/>
      <c r="VVC17" s="90"/>
      <c r="VVD17" s="148"/>
      <c r="VVE17" s="88"/>
      <c r="VVF17" s="88"/>
      <c r="VVG17" s="90"/>
      <c r="VVH17" s="93"/>
      <c r="VVI17" s="88"/>
      <c r="VVJ17" s="88"/>
      <c r="VVK17" s="91"/>
      <c r="VVL17" s="93"/>
      <c r="VVM17" s="93"/>
      <c r="VVN17" s="88"/>
      <c r="VVO17" s="88"/>
      <c r="VVP17" s="90"/>
      <c r="VVQ17" s="148"/>
      <c r="VVR17" s="88"/>
      <c r="VVS17" s="88"/>
      <c r="VVT17" s="90"/>
      <c r="VVU17" s="93"/>
      <c r="VVV17" s="88"/>
      <c r="VVW17" s="88"/>
      <c r="VVX17" s="91"/>
      <c r="VVY17" s="93"/>
      <c r="VVZ17" s="93"/>
      <c r="VWA17" s="88"/>
      <c r="VWB17" s="88"/>
      <c r="VWC17" s="90"/>
      <c r="VWD17" s="148"/>
      <c r="VWE17" s="88"/>
      <c r="VWF17" s="88"/>
      <c r="VWG17" s="90"/>
      <c r="VWH17" s="93"/>
      <c r="VWI17" s="88"/>
      <c r="VWJ17" s="88"/>
      <c r="VWK17" s="91"/>
      <c r="VWL17" s="93"/>
      <c r="VWM17" s="93"/>
      <c r="VWN17" s="88"/>
      <c r="VWO17" s="88"/>
      <c r="VWP17" s="90"/>
      <c r="VWQ17" s="148"/>
      <c r="VWR17" s="88"/>
      <c r="VWS17" s="88"/>
      <c r="VWT17" s="90"/>
      <c r="VWU17" s="93"/>
      <c r="VWV17" s="88"/>
      <c r="VWW17" s="88"/>
      <c r="VWX17" s="91"/>
      <c r="VWY17" s="93"/>
      <c r="VWZ17" s="93"/>
      <c r="VXA17" s="88"/>
      <c r="VXB17" s="88"/>
      <c r="VXC17" s="90"/>
      <c r="VXD17" s="148"/>
      <c r="VXE17" s="88"/>
      <c r="VXF17" s="88"/>
      <c r="VXG17" s="90"/>
      <c r="VXH17" s="93"/>
      <c r="VXI17" s="88"/>
      <c r="VXJ17" s="88"/>
      <c r="VXK17" s="91"/>
      <c r="VXL17" s="93"/>
      <c r="VXM17" s="93"/>
      <c r="VXN17" s="88"/>
      <c r="VXO17" s="88"/>
      <c r="VXP17" s="90"/>
      <c r="VXQ17" s="148"/>
      <c r="VXR17" s="88"/>
      <c r="VXS17" s="88"/>
      <c r="VXT17" s="90"/>
      <c r="VXU17" s="93"/>
      <c r="VXV17" s="88"/>
      <c r="VXW17" s="88"/>
      <c r="VXX17" s="91"/>
      <c r="VXY17" s="93"/>
      <c r="VXZ17" s="93"/>
      <c r="VYA17" s="88"/>
      <c r="VYB17" s="88"/>
      <c r="VYC17" s="90"/>
      <c r="VYD17" s="148"/>
      <c r="VYE17" s="88"/>
      <c r="VYF17" s="88"/>
      <c r="VYG17" s="90"/>
      <c r="VYH17" s="93"/>
      <c r="VYI17" s="88"/>
      <c r="VYJ17" s="88"/>
      <c r="VYK17" s="91"/>
      <c r="VYL17" s="93"/>
      <c r="VYM17" s="93"/>
      <c r="VYN17" s="88"/>
      <c r="VYO17" s="88"/>
      <c r="VYP17" s="90"/>
      <c r="VYQ17" s="148"/>
      <c r="VYR17" s="88"/>
      <c r="VYS17" s="88"/>
      <c r="VYT17" s="90"/>
      <c r="VYU17" s="93"/>
      <c r="VYV17" s="88"/>
      <c r="VYW17" s="88"/>
      <c r="VYX17" s="91"/>
      <c r="VYY17" s="93"/>
      <c r="VYZ17" s="93"/>
      <c r="VZA17" s="88"/>
      <c r="VZB17" s="88"/>
      <c r="VZC17" s="90"/>
      <c r="VZD17" s="148"/>
      <c r="VZE17" s="88"/>
      <c r="VZF17" s="88"/>
      <c r="VZG17" s="90"/>
      <c r="VZH17" s="93"/>
      <c r="VZI17" s="88"/>
      <c r="VZJ17" s="88"/>
      <c r="VZK17" s="91"/>
      <c r="VZL17" s="93"/>
      <c r="VZM17" s="93"/>
      <c r="VZN17" s="88"/>
      <c r="VZO17" s="88"/>
      <c r="VZP17" s="90"/>
      <c r="VZQ17" s="148"/>
      <c r="VZR17" s="88"/>
      <c r="VZS17" s="88"/>
      <c r="VZT17" s="90"/>
      <c r="VZU17" s="93"/>
      <c r="VZV17" s="88"/>
      <c r="VZW17" s="88"/>
      <c r="VZX17" s="91"/>
      <c r="VZY17" s="93"/>
      <c r="VZZ17" s="93"/>
      <c r="WAA17" s="88"/>
      <c r="WAB17" s="88"/>
      <c r="WAC17" s="90"/>
      <c r="WAD17" s="148"/>
      <c r="WAE17" s="88"/>
      <c r="WAF17" s="88"/>
      <c r="WAG17" s="90"/>
      <c r="WAH17" s="93"/>
      <c r="WAI17" s="88"/>
      <c r="WAJ17" s="88"/>
      <c r="WAK17" s="91"/>
      <c r="WAL17" s="93"/>
      <c r="WAM17" s="93"/>
      <c r="WAN17" s="88"/>
      <c r="WAO17" s="88"/>
      <c r="WAP17" s="90"/>
      <c r="WAQ17" s="148"/>
      <c r="WAR17" s="88"/>
      <c r="WAS17" s="88"/>
      <c r="WAT17" s="90"/>
      <c r="WAU17" s="93"/>
      <c r="WAV17" s="88"/>
      <c r="WAW17" s="88"/>
      <c r="WAX17" s="91"/>
      <c r="WAY17" s="93"/>
      <c r="WAZ17" s="93"/>
      <c r="WBA17" s="88"/>
      <c r="WBB17" s="88"/>
      <c r="WBC17" s="90"/>
      <c r="WBD17" s="148"/>
      <c r="WBE17" s="88"/>
      <c r="WBF17" s="88"/>
      <c r="WBG17" s="90"/>
      <c r="WBH17" s="93"/>
      <c r="WBI17" s="88"/>
      <c r="WBJ17" s="88"/>
      <c r="WBK17" s="91"/>
      <c r="WBL17" s="93"/>
      <c r="WBM17" s="93"/>
      <c r="WBN17" s="88"/>
      <c r="WBO17" s="88"/>
      <c r="WBP17" s="90"/>
      <c r="WBQ17" s="148"/>
      <c r="WBR17" s="88"/>
      <c r="WBS17" s="88"/>
      <c r="WBT17" s="90"/>
      <c r="WBU17" s="93"/>
      <c r="WBV17" s="88"/>
      <c r="WBW17" s="88"/>
      <c r="WBX17" s="91"/>
      <c r="WBY17" s="93"/>
      <c r="WBZ17" s="93"/>
      <c r="WCA17" s="88"/>
      <c r="WCB17" s="88"/>
      <c r="WCC17" s="90"/>
      <c r="WCD17" s="148"/>
      <c r="WCE17" s="88"/>
      <c r="WCF17" s="88"/>
      <c r="WCG17" s="90"/>
      <c r="WCH17" s="93"/>
      <c r="WCI17" s="88"/>
      <c r="WCJ17" s="88"/>
      <c r="WCK17" s="91"/>
      <c r="WCL17" s="93"/>
      <c r="WCM17" s="93"/>
      <c r="WCN17" s="88"/>
      <c r="WCO17" s="88"/>
      <c r="WCP17" s="90"/>
      <c r="WCQ17" s="148"/>
      <c r="WCR17" s="88"/>
      <c r="WCS17" s="88"/>
      <c r="WCT17" s="90"/>
      <c r="WCU17" s="93"/>
      <c r="WCV17" s="88"/>
      <c r="WCW17" s="88"/>
      <c r="WCX17" s="91"/>
      <c r="WCY17" s="93"/>
      <c r="WCZ17" s="93"/>
      <c r="WDA17" s="88"/>
      <c r="WDB17" s="88"/>
      <c r="WDC17" s="90"/>
      <c r="WDD17" s="148"/>
      <c r="WDE17" s="88"/>
      <c r="WDF17" s="88"/>
      <c r="WDG17" s="90"/>
      <c r="WDH17" s="93"/>
      <c r="WDI17" s="88"/>
      <c r="WDJ17" s="88"/>
      <c r="WDK17" s="91"/>
      <c r="WDL17" s="93"/>
      <c r="WDM17" s="93"/>
      <c r="WDN17" s="88"/>
      <c r="WDO17" s="88"/>
      <c r="WDP17" s="90"/>
      <c r="WDQ17" s="148"/>
      <c r="WDR17" s="88"/>
      <c r="WDS17" s="88"/>
      <c r="WDT17" s="90"/>
      <c r="WDU17" s="93"/>
      <c r="WDV17" s="88"/>
      <c r="WDW17" s="88"/>
      <c r="WDX17" s="91"/>
      <c r="WDY17" s="93"/>
      <c r="WDZ17" s="93"/>
      <c r="WEA17" s="88"/>
      <c r="WEB17" s="88"/>
      <c r="WEC17" s="90"/>
      <c r="WED17" s="148"/>
      <c r="WEE17" s="88"/>
      <c r="WEF17" s="88"/>
      <c r="WEG17" s="90"/>
      <c r="WEH17" s="93"/>
      <c r="WEI17" s="88"/>
      <c r="WEJ17" s="88"/>
      <c r="WEK17" s="91"/>
      <c r="WEL17" s="93"/>
      <c r="WEM17" s="93"/>
      <c r="WEN17" s="88"/>
      <c r="WEO17" s="88"/>
      <c r="WEP17" s="90"/>
      <c r="WEQ17" s="148"/>
      <c r="WER17" s="88"/>
      <c r="WES17" s="88"/>
      <c r="WET17" s="90"/>
      <c r="WEU17" s="93"/>
      <c r="WEV17" s="88"/>
      <c r="WEW17" s="88"/>
      <c r="WEX17" s="91"/>
      <c r="WEY17" s="93"/>
      <c r="WEZ17" s="93"/>
      <c r="WFA17" s="88"/>
      <c r="WFB17" s="88"/>
      <c r="WFC17" s="90"/>
      <c r="WFD17" s="148"/>
      <c r="WFE17" s="88"/>
      <c r="WFF17" s="88"/>
      <c r="WFG17" s="90"/>
      <c r="WFH17" s="93"/>
      <c r="WFI17" s="88"/>
      <c r="WFJ17" s="88"/>
      <c r="WFK17" s="91"/>
      <c r="WFL17" s="93"/>
      <c r="WFM17" s="93"/>
      <c r="WFN17" s="88"/>
      <c r="WFO17" s="88"/>
      <c r="WFP17" s="90"/>
      <c r="WFQ17" s="148"/>
      <c r="WFR17" s="88"/>
      <c r="WFS17" s="88"/>
      <c r="WFT17" s="90"/>
      <c r="WFU17" s="93"/>
      <c r="WFV17" s="88"/>
      <c r="WFW17" s="88"/>
      <c r="WFX17" s="91"/>
      <c r="WFY17" s="93"/>
      <c r="WFZ17" s="93"/>
      <c r="WGA17" s="88"/>
      <c r="WGB17" s="88"/>
      <c r="WGC17" s="90"/>
      <c r="WGD17" s="148"/>
      <c r="WGE17" s="88"/>
      <c r="WGF17" s="88"/>
      <c r="WGG17" s="90"/>
      <c r="WGH17" s="93"/>
      <c r="WGI17" s="88"/>
      <c r="WGJ17" s="88"/>
      <c r="WGK17" s="91"/>
      <c r="WGL17" s="93"/>
      <c r="WGM17" s="93"/>
      <c r="WGN17" s="88"/>
      <c r="WGO17" s="88"/>
      <c r="WGP17" s="90"/>
      <c r="WGQ17" s="148"/>
      <c r="WGR17" s="88"/>
      <c r="WGS17" s="88"/>
      <c r="WGT17" s="90"/>
      <c r="WGU17" s="93"/>
      <c r="WGV17" s="88"/>
      <c r="WGW17" s="88"/>
      <c r="WGX17" s="91"/>
      <c r="WGY17" s="93"/>
      <c r="WGZ17" s="93"/>
      <c r="WHA17" s="88"/>
      <c r="WHB17" s="88"/>
      <c r="WHC17" s="90"/>
      <c r="WHD17" s="148"/>
      <c r="WHE17" s="88"/>
      <c r="WHF17" s="88"/>
      <c r="WHG17" s="90"/>
      <c r="WHH17" s="93"/>
      <c r="WHI17" s="88"/>
      <c r="WHJ17" s="88"/>
      <c r="WHK17" s="91"/>
      <c r="WHL17" s="93"/>
      <c r="WHM17" s="93"/>
      <c r="WHN17" s="88"/>
      <c r="WHO17" s="88"/>
      <c r="WHP17" s="90"/>
      <c r="WHQ17" s="148"/>
      <c r="WHR17" s="88"/>
      <c r="WHS17" s="88"/>
      <c r="WHT17" s="90"/>
      <c r="WHU17" s="93"/>
      <c r="WHV17" s="88"/>
      <c r="WHW17" s="88"/>
      <c r="WHX17" s="91"/>
      <c r="WHY17" s="93"/>
      <c r="WHZ17" s="93"/>
      <c r="WIA17" s="88"/>
      <c r="WIB17" s="88"/>
      <c r="WIC17" s="90"/>
      <c r="WID17" s="148"/>
      <c r="WIE17" s="88"/>
      <c r="WIF17" s="88"/>
      <c r="WIG17" s="90"/>
      <c r="WIH17" s="93"/>
      <c r="WII17" s="88"/>
      <c r="WIJ17" s="88"/>
      <c r="WIK17" s="91"/>
      <c r="WIL17" s="93"/>
      <c r="WIM17" s="93"/>
      <c r="WIN17" s="88"/>
      <c r="WIO17" s="88"/>
      <c r="WIP17" s="90"/>
      <c r="WIQ17" s="148"/>
      <c r="WIR17" s="88"/>
      <c r="WIS17" s="88"/>
      <c r="WIT17" s="90"/>
      <c r="WIU17" s="93"/>
      <c r="WIV17" s="88"/>
      <c r="WIW17" s="88"/>
      <c r="WIX17" s="91"/>
      <c r="WIY17" s="93"/>
      <c r="WIZ17" s="93"/>
      <c r="WJA17" s="88"/>
      <c r="WJB17" s="88"/>
      <c r="WJC17" s="90"/>
      <c r="WJD17" s="148"/>
      <c r="WJE17" s="88"/>
      <c r="WJF17" s="88"/>
      <c r="WJG17" s="90"/>
      <c r="WJH17" s="93"/>
      <c r="WJI17" s="88"/>
      <c r="WJJ17" s="88"/>
      <c r="WJK17" s="91"/>
      <c r="WJL17" s="93"/>
      <c r="WJM17" s="93"/>
      <c r="WJN17" s="88"/>
      <c r="WJO17" s="88"/>
      <c r="WJP17" s="90"/>
      <c r="WJQ17" s="148"/>
      <c r="WJR17" s="88"/>
      <c r="WJS17" s="88"/>
      <c r="WJT17" s="90"/>
      <c r="WJU17" s="93"/>
      <c r="WJV17" s="88"/>
      <c r="WJW17" s="88"/>
      <c r="WJX17" s="91"/>
      <c r="WJY17" s="93"/>
      <c r="WJZ17" s="93"/>
      <c r="WKA17" s="88"/>
      <c r="WKB17" s="88"/>
      <c r="WKC17" s="90"/>
      <c r="WKD17" s="148"/>
      <c r="WKE17" s="88"/>
      <c r="WKF17" s="88"/>
      <c r="WKG17" s="90"/>
      <c r="WKH17" s="93"/>
      <c r="WKI17" s="88"/>
      <c r="WKJ17" s="88"/>
      <c r="WKK17" s="91"/>
      <c r="WKL17" s="93"/>
      <c r="WKM17" s="93"/>
      <c r="WKN17" s="88"/>
      <c r="WKO17" s="88"/>
      <c r="WKP17" s="90"/>
      <c r="WKQ17" s="148"/>
      <c r="WKR17" s="88"/>
      <c r="WKS17" s="88"/>
      <c r="WKT17" s="90"/>
      <c r="WKU17" s="93"/>
      <c r="WKV17" s="88"/>
      <c r="WKW17" s="88"/>
      <c r="WKX17" s="91"/>
      <c r="WKY17" s="93"/>
      <c r="WKZ17" s="93"/>
      <c r="WLA17" s="88"/>
      <c r="WLB17" s="88"/>
      <c r="WLC17" s="90"/>
      <c r="WLD17" s="148"/>
      <c r="WLE17" s="88"/>
      <c r="WLF17" s="88"/>
      <c r="WLG17" s="90"/>
      <c r="WLH17" s="93"/>
      <c r="WLI17" s="88"/>
      <c r="WLJ17" s="88"/>
      <c r="WLK17" s="91"/>
      <c r="WLL17" s="93"/>
      <c r="WLM17" s="93"/>
      <c r="WLN17" s="88"/>
      <c r="WLO17" s="88"/>
      <c r="WLP17" s="90"/>
      <c r="WLQ17" s="148"/>
      <c r="WLR17" s="88"/>
      <c r="WLS17" s="88"/>
      <c r="WLT17" s="90"/>
      <c r="WLU17" s="93"/>
      <c r="WLV17" s="88"/>
      <c r="WLW17" s="88"/>
      <c r="WLX17" s="91"/>
      <c r="WLY17" s="93"/>
      <c r="WLZ17" s="93"/>
      <c r="WMA17" s="88"/>
      <c r="WMB17" s="88"/>
      <c r="WMC17" s="90"/>
      <c r="WMD17" s="148"/>
      <c r="WME17" s="88"/>
      <c r="WMF17" s="88"/>
      <c r="WMG17" s="90"/>
      <c r="WMH17" s="93"/>
      <c r="WMI17" s="88"/>
      <c r="WMJ17" s="88"/>
      <c r="WMK17" s="91"/>
      <c r="WML17" s="93"/>
      <c r="WMM17" s="93"/>
      <c r="WMN17" s="88"/>
      <c r="WMO17" s="88"/>
      <c r="WMP17" s="90"/>
      <c r="WMQ17" s="148"/>
      <c r="WMR17" s="88"/>
      <c r="WMS17" s="88"/>
      <c r="WMT17" s="90"/>
      <c r="WMU17" s="93"/>
      <c r="WMV17" s="88"/>
      <c r="WMW17" s="88"/>
      <c r="WMX17" s="91"/>
      <c r="WMY17" s="93"/>
      <c r="WMZ17" s="93"/>
      <c r="WNA17" s="88"/>
      <c r="WNB17" s="88"/>
      <c r="WNC17" s="90"/>
      <c r="WND17" s="148"/>
      <c r="WNE17" s="88"/>
      <c r="WNF17" s="88"/>
      <c r="WNG17" s="90"/>
      <c r="WNH17" s="93"/>
      <c r="WNI17" s="88"/>
      <c r="WNJ17" s="88"/>
      <c r="WNK17" s="91"/>
      <c r="WNL17" s="93"/>
      <c r="WNM17" s="93"/>
      <c r="WNN17" s="88"/>
      <c r="WNO17" s="88"/>
      <c r="WNP17" s="90"/>
      <c r="WNQ17" s="148"/>
      <c r="WNR17" s="88"/>
      <c r="WNS17" s="88"/>
      <c r="WNT17" s="90"/>
      <c r="WNU17" s="93"/>
      <c r="WNV17" s="88"/>
      <c r="WNW17" s="88"/>
      <c r="WNX17" s="91"/>
      <c r="WNY17" s="93"/>
      <c r="WNZ17" s="93"/>
      <c r="WOA17" s="88"/>
      <c r="WOB17" s="88"/>
      <c r="WOC17" s="90"/>
      <c r="WOD17" s="148"/>
      <c r="WOE17" s="88"/>
      <c r="WOF17" s="88"/>
      <c r="WOG17" s="90"/>
      <c r="WOH17" s="93"/>
      <c r="WOI17" s="88"/>
      <c r="WOJ17" s="88"/>
      <c r="WOK17" s="91"/>
      <c r="WOL17" s="93"/>
      <c r="WOM17" s="93"/>
      <c r="WON17" s="88"/>
      <c r="WOO17" s="88"/>
      <c r="WOP17" s="90"/>
      <c r="WOQ17" s="148"/>
      <c r="WOR17" s="88"/>
      <c r="WOS17" s="88"/>
      <c r="WOT17" s="90"/>
      <c r="WOU17" s="93"/>
      <c r="WOV17" s="88"/>
      <c r="WOW17" s="88"/>
      <c r="WOX17" s="91"/>
      <c r="WOY17" s="93"/>
      <c r="WOZ17" s="93"/>
      <c r="WPA17" s="88"/>
      <c r="WPB17" s="88"/>
      <c r="WPC17" s="90"/>
      <c r="WPD17" s="148"/>
      <c r="WPE17" s="88"/>
      <c r="WPF17" s="88"/>
      <c r="WPG17" s="90"/>
      <c r="WPH17" s="93"/>
      <c r="WPI17" s="88"/>
      <c r="WPJ17" s="88"/>
      <c r="WPK17" s="91"/>
      <c r="WPL17" s="93"/>
      <c r="WPM17" s="93"/>
      <c r="WPN17" s="88"/>
      <c r="WPO17" s="88"/>
      <c r="WPP17" s="90"/>
      <c r="WPQ17" s="148"/>
      <c r="WPR17" s="88"/>
      <c r="WPS17" s="88"/>
      <c r="WPT17" s="90"/>
      <c r="WPU17" s="93"/>
      <c r="WPV17" s="88"/>
      <c r="WPW17" s="88"/>
      <c r="WPX17" s="91"/>
      <c r="WPY17" s="93"/>
      <c r="WPZ17" s="93"/>
      <c r="WQA17" s="88"/>
      <c r="WQB17" s="88"/>
      <c r="WQC17" s="90"/>
      <c r="WQD17" s="148"/>
      <c r="WQE17" s="88"/>
      <c r="WQF17" s="88"/>
      <c r="WQG17" s="90"/>
      <c r="WQH17" s="93"/>
      <c r="WQI17" s="88"/>
      <c r="WQJ17" s="88"/>
      <c r="WQK17" s="91"/>
      <c r="WQL17" s="93"/>
      <c r="WQM17" s="93"/>
      <c r="WQN17" s="88"/>
      <c r="WQO17" s="88"/>
      <c r="WQP17" s="90"/>
      <c r="WQQ17" s="148"/>
      <c r="WQR17" s="88"/>
      <c r="WQS17" s="88"/>
      <c r="WQT17" s="90"/>
      <c r="WQU17" s="93"/>
      <c r="WQV17" s="88"/>
      <c r="WQW17" s="88"/>
      <c r="WQX17" s="91"/>
      <c r="WQY17" s="93"/>
      <c r="WQZ17" s="93"/>
      <c r="WRA17" s="88"/>
      <c r="WRB17" s="88"/>
      <c r="WRC17" s="90"/>
      <c r="WRD17" s="148"/>
      <c r="WRE17" s="88"/>
      <c r="WRF17" s="88"/>
      <c r="WRG17" s="90"/>
      <c r="WRH17" s="93"/>
      <c r="WRI17" s="88"/>
      <c r="WRJ17" s="88"/>
      <c r="WRK17" s="91"/>
      <c r="WRL17" s="93"/>
      <c r="WRM17" s="93"/>
      <c r="WRN17" s="88"/>
      <c r="WRO17" s="88"/>
      <c r="WRP17" s="90"/>
      <c r="WRQ17" s="148"/>
      <c r="WRR17" s="88"/>
      <c r="WRS17" s="88"/>
      <c r="WRT17" s="90"/>
      <c r="WRU17" s="93"/>
      <c r="WRV17" s="88"/>
      <c r="WRW17" s="88"/>
      <c r="WRX17" s="91"/>
      <c r="WRY17" s="93"/>
      <c r="WRZ17" s="93"/>
      <c r="WSA17" s="88"/>
      <c r="WSB17" s="88"/>
      <c r="WSC17" s="90"/>
      <c r="WSD17" s="148"/>
      <c r="WSE17" s="88"/>
      <c r="WSF17" s="88"/>
      <c r="WSG17" s="90"/>
      <c r="WSH17" s="93"/>
      <c r="WSI17" s="88"/>
      <c r="WSJ17" s="88"/>
      <c r="WSK17" s="91"/>
      <c r="WSL17" s="93"/>
      <c r="WSM17" s="93"/>
      <c r="WSN17" s="88"/>
      <c r="WSO17" s="88"/>
      <c r="WSP17" s="90"/>
      <c r="WSQ17" s="148"/>
      <c r="WSR17" s="88"/>
      <c r="WSS17" s="88"/>
      <c r="WST17" s="90"/>
      <c r="WSU17" s="93"/>
      <c r="WSV17" s="88"/>
      <c r="WSW17" s="88"/>
      <c r="WSX17" s="91"/>
      <c r="WSY17" s="93"/>
      <c r="WSZ17" s="93"/>
      <c r="WTA17" s="88"/>
      <c r="WTB17" s="88"/>
      <c r="WTC17" s="90"/>
      <c r="WTD17" s="148"/>
      <c r="WTE17" s="88"/>
      <c r="WTF17" s="88"/>
      <c r="WTG17" s="90"/>
      <c r="WTH17" s="93"/>
      <c r="WTI17" s="88"/>
      <c r="WTJ17" s="88"/>
      <c r="WTK17" s="91"/>
      <c r="WTL17" s="93"/>
      <c r="WTM17" s="93"/>
      <c r="WTN17" s="88"/>
      <c r="WTO17" s="88"/>
      <c r="WTP17" s="90"/>
      <c r="WTQ17" s="148"/>
      <c r="WTR17" s="88"/>
      <c r="WTS17" s="88"/>
      <c r="WTT17" s="90"/>
      <c r="WTU17" s="93"/>
      <c r="WTV17" s="88"/>
      <c r="WTW17" s="88"/>
      <c r="WTX17" s="91"/>
      <c r="WTY17" s="93"/>
      <c r="WTZ17" s="93"/>
      <c r="WUA17" s="88"/>
      <c r="WUB17" s="88"/>
      <c r="WUC17" s="90"/>
      <c r="WUD17" s="148"/>
      <c r="WUE17" s="88"/>
      <c r="WUF17" s="88"/>
      <c r="WUG17" s="90"/>
      <c r="WUH17" s="93"/>
      <c r="WUI17" s="88"/>
      <c r="WUJ17" s="88"/>
      <c r="WUK17" s="91"/>
      <c r="WUL17" s="93"/>
      <c r="WUM17" s="93"/>
      <c r="WUN17" s="88"/>
      <c r="WUO17" s="88"/>
      <c r="WUP17" s="90"/>
      <c r="WUQ17" s="148"/>
      <c r="WUR17" s="88"/>
      <c r="WUS17" s="88"/>
      <c r="WUT17" s="90"/>
      <c r="WUU17" s="93"/>
      <c r="WUV17" s="88"/>
      <c r="WUW17" s="88"/>
      <c r="WUX17" s="91"/>
      <c r="WUY17" s="93"/>
      <c r="WUZ17" s="93"/>
      <c r="WVA17" s="88"/>
      <c r="WVB17" s="88"/>
      <c r="WVC17" s="90"/>
      <c r="WVD17" s="148"/>
      <c r="WVE17" s="88"/>
      <c r="WVF17" s="88"/>
      <c r="WVG17" s="90"/>
      <c r="WVH17" s="93"/>
      <c r="WVI17" s="88"/>
      <c r="WVJ17" s="88"/>
      <c r="WVK17" s="91"/>
      <c r="WVL17" s="93"/>
      <c r="WVM17" s="93"/>
      <c r="WVN17" s="88"/>
      <c r="WVO17" s="88"/>
      <c r="WVP17" s="90"/>
      <c r="WVQ17" s="148"/>
      <c r="WVR17" s="88"/>
      <c r="WVS17" s="88"/>
      <c r="WVT17" s="90"/>
      <c r="WVU17" s="93"/>
      <c r="WVV17" s="88"/>
      <c r="WVW17" s="88"/>
      <c r="WVX17" s="91"/>
      <c r="WVY17" s="93"/>
      <c r="WVZ17" s="93"/>
      <c r="WWA17" s="88"/>
      <c r="WWB17" s="88"/>
      <c r="WWC17" s="90"/>
      <c r="WWD17" s="148"/>
      <c r="WWE17" s="88"/>
      <c r="WWF17" s="88"/>
      <c r="WWG17" s="90"/>
      <c r="WWH17" s="93"/>
      <c r="WWI17" s="88"/>
      <c r="WWJ17" s="88"/>
      <c r="WWK17" s="91"/>
      <c r="WWL17" s="93"/>
      <c r="WWM17" s="93"/>
      <c r="WWN17" s="88"/>
      <c r="WWO17" s="88"/>
      <c r="WWP17" s="90"/>
      <c r="WWQ17" s="148"/>
      <c r="WWR17" s="88"/>
      <c r="WWS17" s="88"/>
      <c r="WWT17" s="90"/>
      <c r="WWU17" s="93"/>
      <c r="WWV17" s="88"/>
      <c r="WWW17" s="88"/>
      <c r="WWX17" s="91"/>
      <c r="WWY17" s="93"/>
      <c r="WWZ17" s="93"/>
      <c r="WXA17" s="88"/>
      <c r="WXB17" s="88"/>
      <c r="WXC17" s="90"/>
      <c r="WXD17" s="148"/>
      <c r="WXE17" s="88"/>
      <c r="WXF17" s="88"/>
      <c r="WXG17" s="90"/>
      <c r="WXH17" s="93"/>
      <c r="WXI17" s="88"/>
      <c r="WXJ17" s="88"/>
      <c r="WXK17" s="91"/>
      <c r="WXL17" s="93"/>
      <c r="WXM17" s="93"/>
      <c r="WXN17" s="88"/>
      <c r="WXO17" s="88"/>
      <c r="WXP17" s="90"/>
      <c r="WXQ17" s="148"/>
      <c r="WXR17" s="88"/>
      <c r="WXS17" s="88"/>
      <c r="WXT17" s="90"/>
      <c r="WXU17" s="93"/>
      <c r="WXV17" s="88"/>
      <c r="WXW17" s="88"/>
      <c r="WXX17" s="91"/>
      <c r="WXY17" s="93"/>
      <c r="WXZ17" s="93"/>
      <c r="WYA17" s="88"/>
      <c r="WYB17" s="88"/>
      <c r="WYC17" s="90"/>
      <c r="WYD17" s="148"/>
      <c r="WYE17" s="88"/>
      <c r="WYF17" s="88"/>
      <c r="WYG17" s="90"/>
      <c r="WYH17" s="93"/>
      <c r="WYI17" s="88"/>
      <c r="WYJ17" s="88"/>
      <c r="WYK17" s="91"/>
      <c r="WYL17" s="93"/>
      <c r="WYM17" s="93"/>
      <c r="WYN17" s="88"/>
      <c r="WYO17" s="88"/>
      <c r="WYP17" s="90"/>
      <c r="WYQ17" s="148"/>
      <c r="WYR17" s="88"/>
      <c r="WYS17" s="88"/>
      <c r="WYT17" s="90"/>
      <c r="WYU17" s="93"/>
      <c r="WYV17" s="88"/>
      <c r="WYW17" s="88"/>
      <c r="WYX17" s="91"/>
      <c r="WYY17" s="93"/>
      <c r="WYZ17" s="93"/>
      <c r="WZA17" s="88"/>
      <c r="WZB17" s="88"/>
      <c r="WZC17" s="90"/>
      <c r="WZD17" s="148"/>
      <c r="WZE17" s="88"/>
      <c r="WZF17" s="88"/>
      <c r="WZG17" s="90"/>
      <c r="WZH17" s="93"/>
      <c r="WZI17" s="88"/>
      <c r="WZJ17" s="88"/>
      <c r="WZK17" s="91"/>
      <c r="WZL17" s="93"/>
      <c r="WZM17" s="93"/>
      <c r="WZN17" s="88"/>
      <c r="WZO17" s="88"/>
      <c r="WZP17" s="90"/>
      <c r="WZQ17" s="148"/>
      <c r="WZR17" s="88"/>
      <c r="WZS17" s="88"/>
      <c r="WZT17" s="90"/>
      <c r="WZU17" s="93"/>
      <c r="WZV17" s="88"/>
      <c r="WZW17" s="88"/>
      <c r="WZX17" s="91"/>
      <c r="WZY17" s="93"/>
      <c r="WZZ17" s="93"/>
      <c r="XAA17" s="88"/>
      <c r="XAB17" s="88"/>
      <c r="XAC17" s="90"/>
      <c r="XAD17" s="148"/>
      <c r="XAE17" s="88"/>
      <c r="XAF17" s="88"/>
      <c r="XAG17" s="90"/>
      <c r="XAH17" s="93"/>
      <c r="XAI17" s="88"/>
      <c r="XAJ17" s="88"/>
      <c r="XAK17" s="91"/>
      <c r="XAL17" s="93"/>
      <c r="XAM17" s="93"/>
      <c r="XAN17" s="88"/>
      <c r="XAO17" s="88"/>
      <c r="XAP17" s="90"/>
      <c r="XAQ17" s="148"/>
      <c r="XAR17" s="88"/>
      <c r="XAS17" s="88"/>
      <c r="XAT17" s="90"/>
      <c r="XAU17" s="93"/>
      <c r="XAV17" s="88"/>
      <c r="XAW17" s="88"/>
      <c r="XAX17" s="91"/>
      <c r="XAY17" s="93"/>
      <c r="XAZ17" s="93"/>
      <c r="XBA17" s="88"/>
      <c r="XBB17" s="88"/>
      <c r="XBC17" s="90"/>
      <c r="XBD17" s="148"/>
      <c r="XBE17" s="88"/>
      <c r="XBF17" s="88"/>
      <c r="XBG17" s="90"/>
      <c r="XBH17" s="93"/>
      <c r="XBI17" s="88"/>
      <c r="XBJ17" s="88"/>
      <c r="XBK17" s="91"/>
      <c r="XBL17" s="93"/>
      <c r="XBM17" s="93"/>
      <c r="XBN17" s="88"/>
      <c r="XBO17" s="88"/>
      <c r="XBP17" s="90"/>
      <c r="XBQ17" s="148"/>
      <c r="XBR17" s="88"/>
      <c r="XBS17" s="88"/>
      <c r="XBT17" s="90"/>
      <c r="XBU17" s="93"/>
      <c r="XBV17" s="88"/>
      <c r="XBW17" s="88"/>
      <c r="XBX17" s="91"/>
      <c r="XBY17" s="93"/>
      <c r="XBZ17" s="93"/>
      <c r="XCA17" s="88"/>
      <c r="XCB17" s="88"/>
      <c r="XCC17" s="90"/>
      <c r="XCD17" s="148"/>
      <c r="XCE17" s="88"/>
      <c r="XCF17" s="88"/>
      <c r="XCG17" s="90"/>
      <c r="XCH17" s="93"/>
      <c r="XCI17" s="88"/>
      <c r="XCJ17" s="88"/>
      <c r="XCK17" s="91"/>
      <c r="XCL17" s="93"/>
      <c r="XCM17" s="93"/>
      <c r="XCN17" s="88"/>
      <c r="XCO17" s="88"/>
      <c r="XCP17" s="90"/>
      <c r="XCQ17" s="148"/>
      <c r="XCR17" s="88"/>
      <c r="XCS17" s="88"/>
      <c r="XCT17" s="90"/>
      <c r="XCU17" s="93"/>
      <c r="XCV17" s="88"/>
      <c r="XCW17" s="88"/>
      <c r="XCX17" s="91"/>
      <c r="XCY17" s="93"/>
      <c r="XCZ17" s="93"/>
      <c r="XDA17" s="88"/>
      <c r="XDB17" s="88"/>
      <c r="XDC17" s="90"/>
      <c r="XDD17" s="148"/>
      <c r="XDE17" s="88"/>
      <c r="XDF17" s="88"/>
      <c r="XDG17" s="90"/>
      <c r="XDH17" s="93"/>
      <c r="XDI17" s="88"/>
      <c r="XDJ17" s="88"/>
      <c r="XDK17" s="91"/>
      <c r="XDL17" s="93"/>
      <c r="XDM17" s="93"/>
      <c r="XDN17" s="88"/>
      <c r="XDO17" s="88"/>
      <c r="XDP17" s="90"/>
      <c r="XDQ17" s="148"/>
      <c r="XDR17" s="88"/>
      <c r="XDS17" s="88"/>
      <c r="XDT17" s="90"/>
      <c r="XDU17" s="93"/>
      <c r="XDV17" s="88"/>
      <c r="XDW17" s="88"/>
      <c r="XDX17" s="91"/>
      <c r="XDY17" s="93"/>
      <c r="XDZ17" s="93"/>
      <c r="XEA17" s="88"/>
      <c r="XEB17" s="88"/>
      <c r="XEC17" s="90"/>
      <c r="XED17" s="148"/>
      <c r="XEE17" s="88"/>
      <c r="XEF17" s="88"/>
      <c r="XEG17" s="90"/>
      <c r="XEH17" s="93"/>
      <c r="XEI17" s="88"/>
      <c r="XEJ17" s="88"/>
      <c r="XEK17" s="91"/>
      <c r="XEL17" s="93"/>
      <c r="XEM17" s="93"/>
      <c r="XEN17" s="88"/>
      <c r="XEO17" s="88"/>
      <c r="XEP17" s="90"/>
      <c r="XEQ17" s="148"/>
      <c r="XER17" s="88"/>
      <c r="XES17" s="88"/>
      <c r="XET17" s="90"/>
      <c r="XEU17" s="93"/>
      <c r="XEV17" s="88"/>
      <c r="XEW17" s="88"/>
      <c r="XEX17" s="91"/>
      <c r="XEY17" s="93"/>
      <c r="XEZ17" s="93"/>
      <c r="XFA17" s="88"/>
      <c r="XFB17" s="88"/>
      <c r="XFC17" s="90"/>
      <c r="XFD17" s="148"/>
    </row>
    <row r="18" spans="1:16384" ht="87" customHeight="1" x14ac:dyDescent="0.25">
      <c r="A18" s="88" t="s">
        <v>810</v>
      </c>
      <c r="B18" s="88" t="s">
        <v>854</v>
      </c>
      <c r="C18" s="90">
        <v>46258</v>
      </c>
      <c r="D18" s="148">
        <v>46261</v>
      </c>
      <c r="E18" s="88" t="s">
        <v>223</v>
      </c>
      <c r="F18" s="88" t="str">
        <f t="shared" ca="1" si="0"/>
        <v>-</v>
      </c>
      <c r="G18" s="90">
        <v>46261</v>
      </c>
      <c r="H18" s="93" t="s">
        <v>852</v>
      </c>
      <c r="I18" s="88" t="s">
        <v>27</v>
      </c>
      <c r="J18" s="88" t="s">
        <v>75</v>
      </c>
      <c r="K18" s="91" t="s">
        <v>855</v>
      </c>
      <c r="L18" s="93"/>
      <c r="M18" s="93" t="s">
        <v>229</v>
      </c>
      <c r="N18" s="159"/>
      <c r="O18" s="159"/>
      <c r="P18" s="159"/>
      <c r="Q18" s="159"/>
      <c r="R18" s="159"/>
      <c r="S18" s="88"/>
      <c r="T18" s="90"/>
      <c r="U18" s="93"/>
      <c r="V18" s="88"/>
      <c r="W18" s="88"/>
      <c r="X18" s="91"/>
      <c r="Y18" s="93"/>
      <c r="Z18" s="93"/>
      <c r="AA18" s="88"/>
      <c r="AB18" s="88"/>
      <c r="AC18" s="90"/>
      <c r="AD18" s="93"/>
      <c r="AE18" s="88"/>
      <c r="AF18" s="88"/>
      <c r="AG18" s="90"/>
      <c r="AH18" s="93"/>
      <c r="AI18" s="88"/>
      <c r="AJ18" s="88"/>
      <c r="AK18" s="91"/>
      <c r="AL18" s="93"/>
      <c r="AM18" s="93"/>
      <c r="AN18" s="88"/>
      <c r="AO18" s="88"/>
      <c r="AP18" s="90"/>
      <c r="AQ18" s="93"/>
      <c r="AR18" s="88"/>
      <c r="AS18" s="88"/>
      <c r="AT18" s="90"/>
      <c r="AU18" s="93"/>
      <c r="AV18" s="88"/>
      <c r="AW18" s="88"/>
      <c r="AX18" s="91"/>
      <c r="AY18" s="93"/>
      <c r="AZ18" s="93"/>
      <c r="BA18" s="88"/>
      <c r="BB18" s="88"/>
      <c r="BC18" s="90"/>
      <c r="BD18" s="93"/>
      <c r="BE18" s="88"/>
      <c r="BF18" s="88"/>
      <c r="BG18" s="90"/>
      <c r="BH18" s="93"/>
      <c r="BI18" s="88"/>
      <c r="BJ18" s="88"/>
      <c r="BK18" s="91"/>
      <c r="BL18" s="93"/>
      <c r="BM18" s="93"/>
      <c r="BN18" s="88"/>
      <c r="BO18" s="88"/>
      <c r="BP18" s="90"/>
      <c r="BQ18" s="93"/>
      <c r="BR18" s="88"/>
      <c r="BS18" s="88"/>
      <c r="BT18" s="90"/>
      <c r="BU18" s="93"/>
      <c r="BV18" s="88"/>
      <c r="BW18" s="88"/>
      <c r="BX18" s="91"/>
      <c r="BY18" s="93"/>
      <c r="BZ18" s="93"/>
      <c r="CA18" s="88"/>
      <c r="CB18" s="88"/>
      <c r="CC18" s="90"/>
      <c r="CD18" s="93"/>
      <c r="CE18" s="88"/>
      <c r="CF18" s="88"/>
      <c r="CG18" s="90"/>
      <c r="CH18" s="93"/>
      <c r="CI18" s="88"/>
      <c r="CJ18" s="88"/>
      <c r="CK18" s="91"/>
      <c r="CL18" s="93"/>
      <c r="CM18" s="93"/>
      <c r="CN18" s="88"/>
      <c r="CO18" s="88"/>
      <c r="CP18" s="90"/>
      <c r="CQ18" s="93"/>
      <c r="CR18" s="88"/>
      <c r="CS18" s="88"/>
      <c r="CT18" s="90"/>
      <c r="CU18" s="93"/>
      <c r="CV18" s="88"/>
      <c r="CW18" s="88"/>
      <c r="CX18" s="91"/>
      <c r="CY18" s="93"/>
      <c r="CZ18" s="93"/>
      <c r="DA18" s="88"/>
      <c r="DB18" s="88"/>
      <c r="DC18" s="90"/>
      <c r="DD18" s="93"/>
      <c r="DE18" s="88"/>
      <c r="DF18" s="88"/>
      <c r="DG18" s="90"/>
      <c r="DH18" s="93"/>
      <c r="DI18" s="88"/>
      <c r="DJ18" s="88"/>
      <c r="DK18" s="91"/>
      <c r="DL18" s="93"/>
      <c r="DM18" s="93"/>
      <c r="DN18" s="88"/>
      <c r="DO18" s="88"/>
      <c r="DP18" s="90"/>
      <c r="DQ18" s="93"/>
      <c r="DR18" s="88"/>
      <c r="DS18" s="88"/>
      <c r="DT18" s="90"/>
      <c r="DU18" s="93"/>
      <c r="DV18" s="88"/>
      <c r="DW18" s="88"/>
      <c r="DX18" s="91"/>
      <c r="DY18" s="93"/>
      <c r="DZ18" s="93"/>
      <c r="EA18" s="88"/>
      <c r="EB18" s="88"/>
      <c r="EC18" s="90"/>
      <c r="ED18" s="93"/>
      <c r="EE18" s="88"/>
      <c r="EF18" s="88"/>
      <c r="EG18" s="90"/>
      <c r="EH18" s="93"/>
      <c r="EI18" s="88"/>
      <c r="EJ18" s="88"/>
      <c r="EK18" s="91"/>
      <c r="EL18" s="93"/>
      <c r="EM18" s="93"/>
      <c r="EN18" s="88"/>
      <c r="EO18" s="88"/>
      <c r="EP18" s="90"/>
      <c r="EQ18" s="93"/>
      <c r="ER18" s="88"/>
      <c r="ES18" s="88"/>
      <c r="ET18" s="90"/>
      <c r="EU18" s="93"/>
      <c r="EV18" s="88"/>
      <c r="EW18" s="88"/>
      <c r="EX18" s="91"/>
      <c r="EY18" s="93"/>
      <c r="EZ18" s="93"/>
      <c r="FA18" s="88"/>
      <c r="FB18" s="88"/>
      <c r="FC18" s="90"/>
      <c r="FD18" s="93"/>
      <c r="FE18" s="88"/>
      <c r="FF18" s="88"/>
      <c r="FG18" s="90"/>
      <c r="FH18" s="93"/>
      <c r="FI18" s="88"/>
      <c r="FJ18" s="88"/>
      <c r="FK18" s="91"/>
      <c r="FL18" s="93"/>
      <c r="FM18" s="93"/>
      <c r="FN18" s="88"/>
      <c r="FO18" s="88"/>
      <c r="FP18" s="90"/>
      <c r="FQ18" s="93"/>
      <c r="FR18" s="88"/>
      <c r="FS18" s="88"/>
      <c r="FT18" s="90"/>
      <c r="FU18" s="93"/>
      <c r="FV18" s="88"/>
      <c r="FW18" s="88"/>
      <c r="FX18" s="91"/>
      <c r="FY18" s="93"/>
      <c r="FZ18" s="93"/>
      <c r="GA18" s="88"/>
      <c r="GB18" s="88"/>
      <c r="GC18" s="90"/>
      <c r="GD18" s="93"/>
      <c r="GE18" s="88"/>
      <c r="GF18" s="88"/>
      <c r="GG18" s="90"/>
      <c r="GH18" s="93"/>
      <c r="GI18" s="88"/>
      <c r="GJ18" s="88"/>
      <c r="GK18" s="91"/>
      <c r="GL18" s="93"/>
      <c r="GM18" s="93"/>
      <c r="GN18" s="88"/>
      <c r="GO18" s="88"/>
      <c r="GP18" s="90"/>
      <c r="GQ18" s="93"/>
      <c r="GR18" s="88"/>
      <c r="GS18" s="88"/>
      <c r="GT18" s="90"/>
      <c r="GU18" s="93"/>
      <c r="GV18" s="88"/>
      <c r="GW18" s="88"/>
      <c r="GX18" s="91"/>
      <c r="GY18" s="93"/>
      <c r="GZ18" s="93"/>
      <c r="HA18" s="88"/>
      <c r="HB18" s="88"/>
      <c r="HC18" s="90"/>
      <c r="HD18" s="93"/>
      <c r="HE18" s="88"/>
      <c r="HF18" s="88"/>
      <c r="HG18" s="90"/>
      <c r="HH18" s="93"/>
      <c r="HI18" s="88"/>
      <c r="HJ18" s="88"/>
      <c r="HK18" s="91"/>
      <c r="HL18" s="93"/>
      <c r="HM18" s="93"/>
      <c r="HN18" s="88"/>
      <c r="HO18" s="88"/>
      <c r="HP18" s="90"/>
      <c r="HQ18" s="93"/>
      <c r="HR18" s="88"/>
      <c r="HS18" s="88"/>
      <c r="HT18" s="90"/>
      <c r="HU18" s="93"/>
      <c r="HV18" s="88"/>
      <c r="HW18" s="88"/>
      <c r="HX18" s="91"/>
      <c r="HY18" s="93"/>
      <c r="HZ18" s="93"/>
      <c r="IA18" s="88"/>
      <c r="IB18" s="88"/>
      <c r="IC18" s="90"/>
      <c r="ID18" s="93"/>
      <c r="IE18" s="88"/>
      <c r="IF18" s="88"/>
      <c r="IG18" s="90"/>
      <c r="IH18" s="93"/>
      <c r="II18" s="88"/>
      <c r="IJ18" s="88"/>
      <c r="IK18" s="91"/>
      <c r="IL18" s="93"/>
      <c r="IM18" s="93"/>
      <c r="IN18" s="88"/>
      <c r="IO18" s="88"/>
      <c r="IP18" s="90"/>
      <c r="IQ18" s="93"/>
      <c r="IR18" s="88"/>
      <c r="IS18" s="88"/>
      <c r="IT18" s="90"/>
      <c r="IU18" s="93"/>
      <c r="IV18" s="88"/>
      <c r="IW18" s="88"/>
      <c r="IX18" s="91"/>
      <c r="IY18" s="93"/>
      <c r="IZ18" s="93"/>
      <c r="JA18" s="88"/>
      <c r="JB18" s="88"/>
      <c r="JC18" s="90"/>
      <c r="JD18" s="93"/>
      <c r="JE18" s="88"/>
      <c r="JF18" s="88"/>
      <c r="JG18" s="90"/>
      <c r="JH18" s="93"/>
      <c r="JI18" s="88"/>
      <c r="JJ18" s="88"/>
      <c r="JK18" s="91"/>
      <c r="JL18" s="93"/>
      <c r="JM18" s="93"/>
      <c r="JN18" s="88"/>
      <c r="JO18" s="88"/>
      <c r="JP18" s="90"/>
      <c r="JQ18" s="93"/>
      <c r="JR18" s="88"/>
      <c r="JS18" s="88"/>
      <c r="JT18" s="90"/>
      <c r="JU18" s="93"/>
      <c r="JV18" s="88"/>
      <c r="JW18" s="88"/>
      <c r="JX18" s="91"/>
      <c r="JY18" s="93"/>
      <c r="JZ18" s="93"/>
      <c r="KA18" s="88"/>
      <c r="KB18" s="88"/>
      <c r="KC18" s="90"/>
      <c r="KD18" s="93"/>
      <c r="KE18" s="88"/>
      <c r="KF18" s="88"/>
      <c r="KG18" s="90"/>
      <c r="KH18" s="93"/>
      <c r="KI18" s="88"/>
      <c r="KJ18" s="88"/>
      <c r="KK18" s="91"/>
      <c r="KL18" s="93"/>
      <c r="KM18" s="93"/>
      <c r="KN18" s="88"/>
      <c r="KO18" s="88"/>
      <c r="KP18" s="90"/>
      <c r="KQ18" s="93"/>
      <c r="KR18" s="88"/>
      <c r="KS18" s="88"/>
      <c r="KT18" s="90"/>
      <c r="KU18" s="93"/>
      <c r="KV18" s="88"/>
      <c r="KW18" s="88"/>
      <c r="KX18" s="91"/>
      <c r="KY18" s="93"/>
      <c r="KZ18" s="93"/>
      <c r="LA18" s="88"/>
      <c r="LB18" s="88"/>
      <c r="LC18" s="90"/>
      <c r="LD18" s="93"/>
      <c r="LE18" s="88"/>
      <c r="LF18" s="88"/>
      <c r="LG18" s="90"/>
      <c r="LH18" s="93"/>
      <c r="LI18" s="88"/>
      <c r="LJ18" s="88"/>
      <c r="LK18" s="91"/>
      <c r="LL18" s="93"/>
      <c r="LM18" s="93"/>
      <c r="LN18" s="88"/>
      <c r="LO18" s="88"/>
      <c r="LP18" s="90"/>
      <c r="LQ18" s="93"/>
      <c r="LR18" s="88"/>
      <c r="LS18" s="88"/>
      <c r="LT18" s="90"/>
      <c r="LU18" s="93"/>
      <c r="LV18" s="88"/>
      <c r="LW18" s="88"/>
      <c r="LX18" s="91"/>
      <c r="LY18" s="93"/>
      <c r="LZ18" s="93"/>
      <c r="MA18" s="88"/>
      <c r="MB18" s="88"/>
      <c r="MC18" s="90"/>
      <c r="MD18" s="93"/>
      <c r="ME18" s="88"/>
      <c r="MF18" s="88"/>
      <c r="MG18" s="90"/>
      <c r="MH18" s="93"/>
      <c r="MI18" s="88"/>
      <c r="MJ18" s="88"/>
      <c r="MK18" s="91"/>
      <c r="ML18" s="93"/>
      <c r="MM18" s="93"/>
      <c r="MN18" s="88"/>
      <c r="MO18" s="88"/>
      <c r="MP18" s="90"/>
      <c r="MQ18" s="93"/>
      <c r="MR18" s="88"/>
      <c r="MS18" s="88"/>
      <c r="MT18" s="90"/>
      <c r="MU18" s="93"/>
      <c r="MV18" s="88"/>
      <c r="MW18" s="88"/>
      <c r="MX18" s="91"/>
      <c r="MY18" s="93"/>
      <c r="MZ18" s="93"/>
      <c r="NA18" s="88"/>
      <c r="NB18" s="88"/>
      <c r="NC18" s="90"/>
      <c r="ND18" s="93"/>
      <c r="NE18" s="88"/>
      <c r="NF18" s="88"/>
      <c r="NG18" s="90"/>
      <c r="NH18" s="93"/>
      <c r="NI18" s="88"/>
      <c r="NJ18" s="88"/>
      <c r="NK18" s="91"/>
      <c r="NL18" s="93"/>
      <c r="NM18" s="93"/>
      <c r="NN18" s="88"/>
      <c r="NO18" s="88"/>
      <c r="NP18" s="90"/>
      <c r="NQ18" s="93"/>
      <c r="NR18" s="88"/>
      <c r="NS18" s="88"/>
      <c r="NT18" s="90"/>
      <c r="NU18" s="93"/>
      <c r="NV18" s="88"/>
      <c r="NW18" s="88"/>
      <c r="NX18" s="91"/>
      <c r="NY18" s="93"/>
      <c r="NZ18" s="93"/>
      <c r="OA18" s="88"/>
      <c r="OB18" s="88"/>
      <c r="OC18" s="90"/>
      <c r="OD18" s="93"/>
      <c r="OE18" s="88"/>
      <c r="OF18" s="88"/>
      <c r="OG18" s="90"/>
      <c r="OH18" s="93"/>
      <c r="OI18" s="88"/>
      <c r="OJ18" s="88"/>
      <c r="OK18" s="91"/>
      <c r="OL18" s="93"/>
      <c r="OM18" s="93"/>
      <c r="ON18" s="88"/>
      <c r="OO18" s="88"/>
      <c r="OP18" s="90"/>
      <c r="OQ18" s="93"/>
      <c r="OR18" s="88"/>
      <c r="OS18" s="88"/>
      <c r="OT18" s="90"/>
      <c r="OU18" s="93"/>
      <c r="OV18" s="88"/>
      <c r="OW18" s="88"/>
      <c r="OX18" s="91"/>
      <c r="OY18" s="93"/>
      <c r="OZ18" s="93"/>
      <c r="PA18" s="88"/>
      <c r="PB18" s="88"/>
      <c r="PC18" s="90"/>
      <c r="PD18" s="93"/>
      <c r="PE18" s="88"/>
      <c r="PF18" s="88"/>
      <c r="PG18" s="90"/>
      <c r="PH18" s="93"/>
      <c r="PI18" s="88"/>
      <c r="PJ18" s="88"/>
      <c r="PK18" s="91"/>
      <c r="PL18" s="93"/>
      <c r="PM18" s="93"/>
      <c r="PN18" s="88"/>
      <c r="PO18" s="88"/>
      <c r="PP18" s="90"/>
      <c r="PQ18" s="93"/>
      <c r="PR18" s="88"/>
      <c r="PS18" s="88"/>
      <c r="PT18" s="90"/>
      <c r="PU18" s="93"/>
      <c r="PV18" s="88"/>
      <c r="PW18" s="88"/>
      <c r="PX18" s="91"/>
      <c r="PY18" s="93"/>
      <c r="PZ18" s="93"/>
      <c r="QA18" s="88"/>
      <c r="QB18" s="88"/>
      <c r="QC18" s="90"/>
      <c r="QD18" s="93"/>
      <c r="QE18" s="88"/>
      <c r="QF18" s="88"/>
      <c r="QG18" s="90"/>
      <c r="QH18" s="93"/>
      <c r="QI18" s="88"/>
      <c r="QJ18" s="88"/>
      <c r="QK18" s="91"/>
      <c r="QL18" s="93"/>
      <c r="QM18" s="93"/>
      <c r="QN18" s="88"/>
      <c r="QO18" s="88"/>
      <c r="QP18" s="90"/>
      <c r="QQ18" s="93"/>
      <c r="QR18" s="88"/>
      <c r="QS18" s="88"/>
      <c r="QT18" s="90"/>
      <c r="QU18" s="93"/>
      <c r="QV18" s="88"/>
      <c r="QW18" s="88"/>
      <c r="QX18" s="91"/>
      <c r="QY18" s="93"/>
      <c r="QZ18" s="93"/>
      <c r="RA18" s="88"/>
      <c r="RB18" s="88"/>
      <c r="RC18" s="90"/>
      <c r="RD18" s="93"/>
      <c r="RE18" s="88"/>
      <c r="RF18" s="88"/>
      <c r="RG18" s="90"/>
      <c r="RH18" s="93"/>
      <c r="RI18" s="88"/>
      <c r="RJ18" s="88"/>
      <c r="RK18" s="91"/>
      <c r="RL18" s="93"/>
      <c r="RM18" s="93"/>
      <c r="RN18" s="88"/>
      <c r="RO18" s="88"/>
      <c r="RP18" s="90"/>
      <c r="RQ18" s="93"/>
      <c r="RR18" s="88"/>
      <c r="RS18" s="88"/>
      <c r="RT18" s="90"/>
      <c r="RU18" s="93"/>
      <c r="RV18" s="88"/>
      <c r="RW18" s="88"/>
      <c r="RX18" s="91"/>
      <c r="RY18" s="93"/>
      <c r="RZ18" s="93"/>
      <c r="SA18" s="88"/>
      <c r="SB18" s="88"/>
      <c r="SC18" s="90"/>
      <c r="SD18" s="93"/>
      <c r="SE18" s="88"/>
      <c r="SF18" s="88"/>
      <c r="SG18" s="90"/>
      <c r="SH18" s="93"/>
      <c r="SI18" s="88"/>
      <c r="SJ18" s="88"/>
      <c r="SK18" s="91"/>
      <c r="SL18" s="93"/>
      <c r="SM18" s="93"/>
      <c r="SN18" s="88"/>
      <c r="SO18" s="88"/>
      <c r="SP18" s="90"/>
      <c r="SQ18" s="93"/>
      <c r="SR18" s="88"/>
      <c r="SS18" s="88"/>
      <c r="ST18" s="90"/>
      <c r="SU18" s="93"/>
      <c r="SV18" s="88"/>
      <c r="SW18" s="88"/>
      <c r="SX18" s="91"/>
      <c r="SY18" s="93"/>
      <c r="SZ18" s="93"/>
      <c r="TA18" s="88"/>
      <c r="TB18" s="88"/>
      <c r="TC18" s="90"/>
      <c r="TD18" s="93"/>
      <c r="TE18" s="88"/>
      <c r="TF18" s="88"/>
      <c r="TG18" s="90"/>
      <c r="TH18" s="93"/>
      <c r="TI18" s="88"/>
      <c r="TJ18" s="88"/>
      <c r="TK18" s="91"/>
      <c r="TL18" s="93"/>
      <c r="TM18" s="93"/>
      <c r="TN18" s="88"/>
      <c r="TO18" s="88"/>
      <c r="TP18" s="90"/>
      <c r="TQ18" s="93"/>
      <c r="TR18" s="88"/>
      <c r="TS18" s="88"/>
      <c r="TT18" s="90"/>
      <c r="TU18" s="93"/>
      <c r="TV18" s="88"/>
      <c r="TW18" s="88"/>
      <c r="TX18" s="91"/>
      <c r="TY18" s="93"/>
      <c r="TZ18" s="93"/>
      <c r="UA18" s="88"/>
      <c r="UB18" s="88"/>
      <c r="UC18" s="90"/>
      <c r="UD18" s="93"/>
      <c r="UE18" s="88"/>
      <c r="UF18" s="88"/>
      <c r="UG18" s="90"/>
      <c r="UH18" s="93"/>
      <c r="UI18" s="88"/>
      <c r="UJ18" s="88"/>
      <c r="UK18" s="91"/>
      <c r="UL18" s="93"/>
      <c r="UM18" s="93"/>
      <c r="UN18" s="88"/>
      <c r="UO18" s="88"/>
      <c r="UP18" s="90"/>
      <c r="UQ18" s="93"/>
      <c r="UR18" s="88"/>
      <c r="US18" s="88"/>
      <c r="UT18" s="90"/>
      <c r="UU18" s="93"/>
      <c r="UV18" s="88"/>
      <c r="UW18" s="88"/>
      <c r="UX18" s="91"/>
      <c r="UY18" s="93"/>
      <c r="UZ18" s="93"/>
      <c r="VA18" s="88"/>
      <c r="VB18" s="88"/>
      <c r="VC18" s="90"/>
      <c r="VD18" s="93"/>
      <c r="VE18" s="88"/>
      <c r="VF18" s="88"/>
      <c r="VG18" s="90"/>
      <c r="VH18" s="93"/>
      <c r="VI18" s="88"/>
      <c r="VJ18" s="88"/>
      <c r="VK18" s="91"/>
      <c r="VL18" s="93"/>
      <c r="VM18" s="93"/>
      <c r="VN18" s="88"/>
      <c r="VO18" s="88"/>
      <c r="VP18" s="90"/>
      <c r="VQ18" s="93"/>
      <c r="VR18" s="88"/>
      <c r="VS18" s="88"/>
      <c r="VT18" s="90"/>
      <c r="VU18" s="93"/>
      <c r="VV18" s="88"/>
      <c r="VW18" s="88"/>
      <c r="VX18" s="91"/>
      <c r="VY18" s="93"/>
      <c r="VZ18" s="93"/>
      <c r="WA18" s="88"/>
      <c r="WB18" s="88"/>
      <c r="WC18" s="90"/>
      <c r="WD18" s="93"/>
      <c r="WE18" s="88"/>
      <c r="WF18" s="88"/>
      <c r="WG18" s="90"/>
      <c r="WH18" s="93"/>
      <c r="WI18" s="88"/>
      <c r="WJ18" s="88"/>
      <c r="WK18" s="91"/>
      <c r="WL18" s="93"/>
      <c r="WM18" s="93"/>
      <c r="WN18" s="88"/>
      <c r="WO18" s="88"/>
      <c r="WP18" s="90"/>
      <c r="WQ18" s="93"/>
      <c r="WR18" s="88"/>
      <c r="WS18" s="88"/>
      <c r="WT18" s="90"/>
      <c r="WU18" s="93"/>
      <c r="WV18" s="88"/>
      <c r="WW18" s="88"/>
      <c r="WX18" s="91"/>
      <c r="WY18" s="93"/>
      <c r="WZ18" s="93"/>
      <c r="XA18" s="88"/>
      <c r="XB18" s="88"/>
      <c r="XC18" s="90"/>
      <c r="XD18" s="93"/>
      <c r="XE18" s="88"/>
      <c r="XF18" s="88"/>
      <c r="XG18" s="90"/>
      <c r="XH18" s="93"/>
      <c r="XI18" s="88"/>
      <c r="XJ18" s="88"/>
      <c r="XK18" s="91"/>
      <c r="XL18" s="93"/>
      <c r="XM18" s="93"/>
      <c r="XN18" s="88"/>
      <c r="XO18" s="88"/>
      <c r="XP18" s="90"/>
      <c r="XQ18" s="93"/>
      <c r="XR18" s="88"/>
      <c r="XS18" s="88"/>
      <c r="XT18" s="90"/>
      <c r="XU18" s="93"/>
      <c r="XV18" s="88"/>
      <c r="XW18" s="88"/>
      <c r="XX18" s="91"/>
      <c r="XY18" s="93"/>
      <c r="XZ18" s="93"/>
      <c r="YA18" s="88"/>
      <c r="YB18" s="88"/>
      <c r="YC18" s="90"/>
      <c r="YD18" s="93"/>
      <c r="YE18" s="88"/>
      <c r="YF18" s="88"/>
      <c r="YG18" s="90"/>
      <c r="YH18" s="93"/>
      <c r="YI18" s="88"/>
      <c r="YJ18" s="88"/>
      <c r="YK18" s="91"/>
      <c r="YL18" s="93"/>
      <c r="YM18" s="93"/>
      <c r="YN18" s="88"/>
      <c r="YO18" s="88"/>
      <c r="YP18" s="90"/>
      <c r="YQ18" s="93"/>
      <c r="YR18" s="88"/>
      <c r="YS18" s="88"/>
      <c r="YT18" s="90"/>
      <c r="YU18" s="93"/>
      <c r="YV18" s="88"/>
      <c r="YW18" s="88"/>
      <c r="YX18" s="91"/>
      <c r="YY18" s="93"/>
      <c r="YZ18" s="93"/>
      <c r="ZA18" s="88"/>
      <c r="ZB18" s="88"/>
      <c r="ZC18" s="90"/>
      <c r="ZD18" s="93"/>
      <c r="ZE18" s="88"/>
      <c r="ZF18" s="88"/>
      <c r="ZG18" s="90"/>
      <c r="ZH18" s="93"/>
      <c r="ZI18" s="88"/>
      <c r="ZJ18" s="88"/>
      <c r="ZK18" s="91"/>
      <c r="ZL18" s="93"/>
      <c r="ZM18" s="93"/>
      <c r="ZN18" s="88"/>
      <c r="ZO18" s="88"/>
      <c r="ZP18" s="90"/>
      <c r="ZQ18" s="93"/>
      <c r="ZR18" s="88"/>
      <c r="ZS18" s="88"/>
      <c r="ZT18" s="90"/>
      <c r="ZU18" s="93"/>
      <c r="ZV18" s="88"/>
      <c r="ZW18" s="88"/>
      <c r="ZX18" s="91"/>
      <c r="ZY18" s="93"/>
      <c r="ZZ18" s="93"/>
      <c r="AAA18" s="88"/>
      <c r="AAB18" s="88"/>
      <c r="AAC18" s="90"/>
      <c r="AAD18" s="93"/>
      <c r="AAE18" s="88"/>
      <c r="AAF18" s="88"/>
      <c r="AAG18" s="90"/>
      <c r="AAH18" s="93"/>
      <c r="AAI18" s="88"/>
      <c r="AAJ18" s="88"/>
      <c r="AAK18" s="91"/>
      <c r="AAL18" s="93"/>
      <c r="AAM18" s="93"/>
      <c r="AAN18" s="88"/>
      <c r="AAO18" s="88"/>
      <c r="AAP18" s="90"/>
      <c r="AAQ18" s="93"/>
      <c r="AAR18" s="88"/>
      <c r="AAS18" s="88"/>
      <c r="AAT18" s="90"/>
      <c r="AAU18" s="93"/>
      <c r="AAV18" s="88"/>
      <c r="AAW18" s="88"/>
      <c r="AAX18" s="91"/>
      <c r="AAY18" s="93"/>
      <c r="AAZ18" s="93"/>
      <c r="ABA18" s="88"/>
      <c r="ABB18" s="88"/>
      <c r="ABC18" s="90"/>
      <c r="ABD18" s="93"/>
      <c r="ABE18" s="88"/>
      <c r="ABF18" s="88"/>
      <c r="ABG18" s="90"/>
      <c r="ABH18" s="93"/>
      <c r="ABI18" s="88"/>
      <c r="ABJ18" s="88"/>
      <c r="ABK18" s="91"/>
      <c r="ABL18" s="93"/>
      <c r="ABM18" s="93"/>
      <c r="ABN18" s="88"/>
      <c r="ABO18" s="88"/>
      <c r="ABP18" s="90"/>
      <c r="ABQ18" s="93"/>
      <c r="ABR18" s="88"/>
      <c r="ABS18" s="88"/>
      <c r="ABT18" s="90"/>
      <c r="ABU18" s="93"/>
      <c r="ABV18" s="88"/>
      <c r="ABW18" s="88"/>
      <c r="ABX18" s="91"/>
      <c r="ABY18" s="93"/>
      <c r="ABZ18" s="93"/>
      <c r="ACA18" s="88"/>
      <c r="ACB18" s="88"/>
      <c r="ACC18" s="90"/>
      <c r="ACD18" s="93"/>
      <c r="ACE18" s="88"/>
      <c r="ACF18" s="88"/>
      <c r="ACG18" s="90"/>
      <c r="ACH18" s="93"/>
      <c r="ACI18" s="88"/>
      <c r="ACJ18" s="88"/>
      <c r="ACK18" s="91"/>
      <c r="ACL18" s="93"/>
      <c r="ACM18" s="93"/>
      <c r="ACN18" s="88"/>
      <c r="ACO18" s="88"/>
      <c r="ACP18" s="90"/>
      <c r="ACQ18" s="93"/>
      <c r="ACR18" s="88"/>
      <c r="ACS18" s="88"/>
      <c r="ACT18" s="90"/>
      <c r="ACU18" s="93"/>
      <c r="ACV18" s="88"/>
      <c r="ACW18" s="88"/>
      <c r="ACX18" s="91"/>
      <c r="ACY18" s="93"/>
      <c r="ACZ18" s="93"/>
      <c r="ADA18" s="88"/>
      <c r="ADB18" s="88"/>
      <c r="ADC18" s="90"/>
      <c r="ADD18" s="93"/>
      <c r="ADE18" s="88"/>
      <c r="ADF18" s="88"/>
      <c r="ADG18" s="90"/>
      <c r="ADH18" s="93"/>
      <c r="ADI18" s="88"/>
      <c r="ADJ18" s="88"/>
      <c r="ADK18" s="91"/>
      <c r="ADL18" s="93"/>
      <c r="ADM18" s="93"/>
      <c r="ADN18" s="88"/>
      <c r="ADO18" s="88"/>
      <c r="ADP18" s="90"/>
      <c r="ADQ18" s="93"/>
      <c r="ADR18" s="88"/>
      <c r="ADS18" s="88"/>
      <c r="ADT18" s="90"/>
      <c r="ADU18" s="93"/>
      <c r="ADV18" s="88"/>
      <c r="ADW18" s="88"/>
      <c r="ADX18" s="91"/>
      <c r="ADY18" s="93"/>
      <c r="ADZ18" s="93"/>
      <c r="AEA18" s="88"/>
      <c r="AEB18" s="88"/>
      <c r="AEC18" s="90"/>
      <c r="AED18" s="93"/>
      <c r="AEE18" s="88"/>
      <c r="AEF18" s="88"/>
      <c r="AEG18" s="90"/>
      <c r="AEH18" s="93"/>
      <c r="AEI18" s="88"/>
      <c r="AEJ18" s="88"/>
      <c r="AEK18" s="91"/>
      <c r="AEL18" s="93"/>
      <c r="AEM18" s="93"/>
      <c r="AEN18" s="88"/>
      <c r="AEO18" s="88"/>
      <c r="AEP18" s="90"/>
      <c r="AEQ18" s="93"/>
      <c r="AER18" s="88"/>
      <c r="AES18" s="88"/>
      <c r="AET18" s="90"/>
      <c r="AEU18" s="93"/>
      <c r="AEV18" s="88"/>
      <c r="AEW18" s="88"/>
      <c r="AEX18" s="91"/>
      <c r="AEY18" s="93"/>
      <c r="AEZ18" s="93"/>
      <c r="AFA18" s="88"/>
      <c r="AFB18" s="88"/>
      <c r="AFC18" s="90"/>
      <c r="AFD18" s="93"/>
      <c r="AFE18" s="88"/>
      <c r="AFF18" s="88"/>
      <c r="AFG18" s="90"/>
      <c r="AFH18" s="93"/>
      <c r="AFI18" s="88"/>
      <c r="AFJ18" s="88"/>
      <c r="AFK18" s="91"/>
      <c r="AFL18" s="93"/>
      <c r="AFM18" s="93"/>
      <c r="AFN18" s="88"/>
      <c r="AFO18" s="88"/>
      <c r="AFP18" s="90"/>
      <c r="AFQ18" s="93"/>
      <c r="AFR18" s="88"/>
      <c r="AFS18" s="88"/>
      <c r="AFT18" s="90"/>
      <c r="AFU18" s="93"/>
      <c r="AFV18" s="88"/>
      <c r="AFW18" s="88"/>
      <c r="AFX18" s="91"/>
      <c r="AFY18" s="93"/>
      <c r="AFZ18" s="93"/>
      <c r="AGA18" s="88"/>
      <c r="AGB18" s="88"/>
      <c r="AGC18" s="90"/>
      <c r="AGD18" s="93"/>
      <c r="AGE18" s="88"/>
      <c r="AGF18" s="88"/>
      <c r="AGG18" s="90"/>
      <c r="AGH18" s="93"/>
      <c r="AGI18" s="88"/>
      <c r="AGJ18" s="88"/>
      <c r="AGK18" s="91"/>
      <c r="AGL18" s="93"/>
      <c r="AGM18" s="93"/>
      <c r="AGN18" s="88"/>
      <c r="AGO18" s="88"/>
      <c r="AGP18" s="90"/>
      <c r="AGQ18" s="93"/>
      <c r="AGR18" s="88"/>
      <c r="AGS18" s="88"/>
      <c r="AGT18" s="90"/>
      <c r="AGU18" s="93"/>
      <c r="AGV18" s="88"/>
      <c r="AGW18" s="88"/>
      <c r="AGX18" s="91"/>
      <c r="AGY18" s="93"/>
      <c r="AGZ18" s="93"/>
      <c r="AHA18" s="88"/>
      <c r="AHB18" s="88"/>
      <c r="AHC18" s="90"/>
      <c r="AHD18" s="93"/>
      <c r="AHE18" s="88"/>
      <c r="AHF18" s="88"/>
      <c r="AHG18" s="90"/>
      <c r="AHH18" s="93"/>
      <c r="AHI18" s="88"/>
      <c r="AHJ18" s="88"/>
      <c r="AHK18" s="91"/>
      <c r="AHL18" s="93"/>
      <c r="AHM18" s="93"/>
      <c r="AHN18" s="88"/>
      <c r="AHO18" s="88"/>
      <c r="AHP18" s="90"/>
      <c r="AHQ18" s="93"/>
      <c r="AHR18" s="88"/>
      <c r="AHS18" s="88"/>
      <c r="AHT18" s="90"/>
      <c r="AHU18" s="93"/>
      <c r="AHV18" s="88"/>
      <c r="AHW18" s="88"/>
      <c r="AHX18" s="91"/>
      <c r="AHY18" s="93"/>
      <c r="AHZ18" s="93"/>
      <c r="AIA18" s="88"/>
      <c r="AIB18" s="88"/>
      <c r="AIC18" s="90"/>
      <c r="AID18" s="93"/>
      <c r="AIE18" s="88"/>
      <c r="AIF18" s="88"/>
      <c r="AIG18" s="90"/>
      <c r="AIH18" s="93"/>
      <c r="AII18" s="88"/>
      <c r="AIJ18" s="88"/>
      <c r="AIK18" s="91"/>
      <c r="AIL18" s="93"/>
      <c r="AIM18" s="93"/>
      <c r="AIN18" s="88"/>
      <c r="AIO18" s="88"/>
      <c r="AIP18" s="90"/>
      <c r="AIQ18" s="93"/>
      <c r="AIR18" s="88"/>
      <c r="AIS18" s="88"/>
      <c r="AIT18" s="90"/>
      <c r="AIU18" s="93"/>
      <c r="AIV18" s="88"/>
      <c r="AIW18" s="88"/>
      <c r="AIX18" s="91"/>
      <c r="AIY18" s="93"/>
      <c r="AIZ18" s="93"/>
      <c r="AJA18" s="88"/>
      <c r="AJB18" s="88"/>
      <c r="AJC18" s="90"/>
      <c r="AJD18" s="93"/>
      <c r="AJE18" s="88"/>
      <c r="AJF18" s="88"/>
      <c r="AJG18" s="90"/>
      <c r="AJH18" s="93"/>
      <c r="AJI18" s="88"/>
      <c r="AJJ18" s="88"/>
      <c r="AJK18" s="91"/>
      <c r="AJL18" s="93"/>
      <c r="AJM18" s="93"/>
      <c r="AJN18" s="88"/>
      <c r="AJO18" s="88"/>
      <c r="AJP18" s="90"/>
      <c r="AJQ18" s="93"/>
      <c r="AJR18" s="88"/>
      <c r="AJS18" s="88"/>
      <c r="AJT18" s="90"/>
      <c r="AJU18" s="93"/>
      <c r="AJV18" s="88"/>
      <c r="AJW18" s="88"/>
      <c r="AJX18" s="91"/>
      <c r="AJY18" s="93"/>
      <c r="AJZ18" s="93"/>
      <c r="AKA18" s="88"/>
      <c r="AKB18" s="88"/>
      <c r="AKC18" s="90"/>
      <c r="AKD18" s="93"/>
      <c r="AKE18" s="88"/>
      <c r="AKF18" s="88"/>
      <c r="AKG18" s="90"/>
      <c r="AKH18" s="93"/>
      <c r="AKI18" s="88"/>
      <c r="AKJ18" s="88"/>
      <c r="AKK18" s="91"/>
      <c r="AKL18" s="93"/>
      <c r="AKM18" s="93"/>
      <c r="AKN18" s="88"/>
      <c r="AKO18" s="88"/>
      <c r="AKP18" s="90"/>
      <c r="AKQ18" s="93"/>
      <c r="AKR18" s="88"/>
      <c r="AKS18" s="88"/>
      <c r="AKT18" s="90"/>
      <c r="AKU18" s="93"/>
      <c r="AKV18" s="88"/>
      <c r="AKW18" s="88"/>
      <c r="AKX18" s="91"/>
      <c r="AKY18" s="93"/>
      <c r="AKZ18" s="93"/>
      <c r="ALA18" s="88"/>
      <c r="ALB18" s="88"/>
      <c r="ALC18" s="90"/>
      <c r="ALD18" s="93"/>
      <c r="ALE18" s="88"/>
      <c r="ALF18" s="88"/>
      <c r="ALG18" s="90"/>
      <c r="ALH18" s="93"/>
      <c r="ALI18" s="88"/>
      <c r="ALJ18" s="88"/>
      <c r="ALK18" s="91"/>
      <c r="ALL18" s="93"/>
      <c r="ALM18" s="93"/>
      <c r="ALN18" s="88"/>
      <c r="ALO18" s="88"/>
      <c r="ALP18" s="90"/>
      <c r="ALQ18" s="93"/>
      <c r="ALR18" s="88"/>
      <c r="ALS18" s="88"/>
      <c r="ALT18" s="90"/>
      <c r="ALU18" s="93"/>
      <c r="ALV18" s="88"/>
      <c r="ALW18" s="88"/>
      <c r="ALX18" s="91"/>
      <c r="ALY18" s="93"/>
      <c r="ALZ18" s="93"/>
      <c r="AMA18" s="88"/>
      <c r="AMB18" s="88"/>
      <c r="AMC18" s="90"/>
      <c r="AMD18" s="93"/>
      <c r="AME18" s="88"/>
      <c r="AMF18" s="88"/>
      <c r="AMG18" s="90"/>
      <c r="AMH18" s="93"/>
      <c r="AMI18" s="88"/>
      <c r="AMJ18" s="88"/>
      <c r="AMK18" s="91"/>
      <c r="AML18" s="93"/>
      <c r="AMM18" s="93"/>
      <c r="AMN18" s="88"/>
      <c r="AMO18" s="88"/>
      <c r="AMP18" s="90"/>
      <c r="AMQ18" s="93"/>
      <c r="AMR18" s="88"/>
      <c r="AMS18" s="88"/>
      <c r="AMT18" s="90"/>
      <c r="AMU18" s="93"/>
      <c r="AMV18" s="88"/>
      <c r="AMW18" s="88"/>
      <c r="AMX18" s="91"/>
      <c r="AMY18" s="93"/>
      <c r="AMZ18" s="93"/>
      <c r="ANA18" s="88"/>
      <c r="ANB18" s="88"/>
      <c r="ANC18" s="90"/>
      <c r="AND18" s="93"/>
      <c r="ANE18" s="88"/>
      <c r="ANF18" s="88"/>
      <c r="ANG18" s="90"/>
      <c r="ANH18" s="93"/>
      <c r="ANI18" s="88"/>
      <c r="ANJ18" s="88"/>
      <c r="ANK18" s="91"/>
      <c r="ANL18" s="93"/>
      <c r="ANM18" s="93"/>
      <c r="ANN18" s="88"/>
      <c r="ANO18" s="88"/>
      <c r="ANP18" s="90"/>
      <c r="ANQ18" s="93"/>
      <c r="ANR18" s="88"/>
      <c r="ANS18" s="88"/>
      <c r="ANT18" s="90"/>
      <c r="ANU18" s="93"/>
      <c r="ANV18" s="88"/>
      <c r="ANW18" s="88"/>
      <c r="ANX18" s="91"/>
      <c r="ANY18" s="93"/>
      <c r="ANZ18" s="93"/>
      <c r="AOA18" s="88"/>
      <c r="AOB18" s="88"/>
      <c r="AOC18" s="90"/>
      <c r="AOD18" s="93"/>
      <c r="AOE18" s="88"/>
      <c r="AOF18" s="88"/>
      <c r="AOG18" s="90"/>
      <c r="AOH18" s="93"/>
      <c r="AOI18" s="88"/>
      <c r="AOJ18" s="88"/>
      <c r="AOK18" s="91"/>
      <c r="AOL18" s="93"/>
      <c r="AOM18" s="93"/>
      <c r="AON18" s="88"/>
      <c r="AOO18" s="88"/>
      <c r="AOP18" s="90"/>
      <c r="AOQ18" s="93"/>
      <c r="AOR18" s="88"/>
      <c r="AOS18" s="88"/>
      <c r="AOT18" s="90"/>
      <c r="AOU18" s="93"/>
      <c r="AOV18" s="88"/>
      <c r="AOW18" s="88"/>
      <c r="AOX18" s="91"/>
      <c r="AOY18" s="93"/>
      <c r="AOZ18" s="93"/>
      <c r="APA18" s="88"/>
      <c r="APB18" s="88"/>
      <c r="APC18" s="90"/>
      <c r="APD18" s="93"/>
      <c r="APE18" s="88"/>
      <c r="APF18" s="88"/>
      <c r="APG18" s="90"/>
      <c r="APH18" s="93"/>
      <c r="API18" s="88"/>
      <c r="APJ18" s="88"/>
      <c r="APK18" s="91"/>
      <c r="APL18" s="93"/>
      <c r="APM18" s="93"/>
      <c r="APN18" s="88"/>
      <c r="APO18" s="88"/>
      <c r="APP18" s="90"/>
      <c r="APQ18" s="93"/>
      <c r="APR18" s="88"/>
      <c r="APS18" s="88"/>
      <c r="APT18" s="90"/>
      <c r="APU18" s="93"/>
      <c r="APV18" s="88"/>
      <c r="APW18" s="88"/>
      <c r="APX18" s="91"/>
      <c r="APY18" s="93"/>
      <c r="APZ18" s="93"/>
      <c r="AQA18" s="88"/>
      <c r="AQB18" s="88"/>
      <c r="AQC18" s="90"/>
      <c r="AQD18" s="93"/>
      <c r="AQE18" s="88"/>
      <c r="AQF18" s="88"/>
      <c r="AQG18" s="90"/>
      <c r="AQH18" s="93"/>
      <c r="AQI18" s="88"/>
      <c r="AQJ18" s="88"/>
      <c r="AQK18" s="91"/>
      <c r="AQL18" s="93"/>
      <c r="AQM18" s="93"/>
      <c r="AQN18" s="88"/>
      <c r="AQO18" s="88"/>
      <c r="AQP18" s="90"/>
      <c r="AQQ18" s="93"/>
      <c r="AQR18" s="88"/>
      <c r="AQS18" s="88"/>
      <c r="AQT18" s="90"/>
      <c r="AQU18" s="93"/>
      <c r="AQV18" s="88"/>
      <c r="AQW18" s="88"/>
      <c r="AQX18" s="91"/>
      <c r="AQY18" s="93"/>
      <c r="AQZ18" s="93"/>
      <c r="ARA18" s="88"/>
      <c r="ARB18" s="88"/>
      <c r="ARC18" s="90"/>
      <c r="ARD18" s="93"/>
      <c r="ARE18" s="88"/>
      <c r="ARF18" s="88"/>
      <c r="ARG18" s="90"/>
      <c r="ARH18" s="93"/>
      <c r="ARI18" s="88"/>
      <c r="ARJ18" s="88"/>
      <c r="ARK18" s="91"/>
      <c r="ARL18" s="93"/>
      <c r="ARM18" s="93"/>
      <c r="ARN18" s="88"/>
      <c r="ARO18" s="88"/>
      <c r="ARP18" s="90"/>
      <c r="ARQ18" s="93"/>
      <c r="ARR18" s="88"/>
      <c r="ARS18" s="88"/>
      <c r="ART18" s="90"/>
      <c r="ARU18" s="93"/>
      <c r="ARV18" s="88"/>
      <c r="ARW18" s="88"/>
      <c r="ARX18" s="91"/>
      <c r="ARY18" s="93"/>
      <c r="ARZ18" s="93"/>
      <c r="ASA18" s="88"/>
      <c r="ASB18" s="88"/>
      <c r="ASC18" s="90"/>
      <c r="ASD18" s="93"/>
      <c r="ASE18" s="88"/>
      <c r="ASF18" s="88"/>
      <c r="ASG18" s="90"/>
      <c r="ASH18" s="93"/>
      <c r="ASI18" s="88"/>
      <c r="ASJ18" s="88"/>
      <c r="ASK18" s="91"/>
      <c r="ASL18" s="93"/>
      <c r="ASM18" s="93"/>
      <c r="ASN18" s="88"/>
      <c r="ASO18" s="88"/>
      <c r="ASP18" s="90"/>
      <c r="ASQ18" s="93"/>
      <c r="ASR18" s="88"/>
      <c r="ASS18" s="88"/>
      <c r="AST18" s="90"/>
      <c r="ASU18" s="93"/>
      <c r="ASV18" s="88"/>
      <c r="ASW18" s="88"/>
      <c r="ASX18" s="91"/>
      <c r="ASY18" s="93"/>
      <c r="ASZ18" s="93"/>
      <c r="ATA18" s="88"/>
      <c r="ATB18" s="88"/>
      <c r="ATC18" s="90"/>
      <c r="ATD18" s="93"/>
      <c r="ATE18" s="88"/>
      <c r="ATF18" s="88"/>
      <c r="ATG18" s="90"/>
      <c r="ATH18" s="93"/>
      <c r="ATI18" s="88"/>
      <c r="ATJ18" s="88"/>
      <c r="ATK18" s="91"/>
      <c r="ATL18" s="93"/>
      <c r="ATM18" s="93"/>
      <c r="ATN18" s="88"/>
      <c r="ATO18" s="88"/>
      <c r="ATP18" s="90"/>
      <c r="ATQ18" s="93"/>
      <c r="ATR18" s="88"/>
      <c r="ATS18" s="88"/>
      <c r="ATT18" s="90"/>
      <c r="ATU18" s="93"/>
      <c r="ATV18" s="88"/>
      <c r="ATW18" s="88"/>
      <c r="ATX18" s="91"/>
      <c r="ATY18" s="93"/>
      <c r="ATZ18" s="93"/>
      <c r="AUA18" s="88"/>
      <c r="AUB18" s="88"/>
      <c r="AUC18" s="90"/>
      <c r="AUD18" s="93"/>
      <c r="AUE18" s="88"/>
      <c r="AUF18" s="88"/>
      <c r="AUG18" s="90"/>
      <c r="AUH18" s="93"/>
      <c r="AUI18" s="88"/>
      <c r="AUJ18" s="88"/>
      <c r="AUK18" s="91"/>
      <c r="AUL18" s="93"/>
      <c r="AUM18" s="93"/>
      <c r="AUN18" s="88"/>
      <c r="AUO18" s="88"/>
      <c r="AUP18" s="90"/>
      <c r="AUQ18" s="93"/>
      <c r="AUR18" s="88"/>
      <c r="AUS18" s="88"/>
      <c r="AUT18" s="90"/>
      <c r="AUU18" s="93"/>
      <c r="AUV18" s="88"/>
      <c r="AUW18" s="88"/>
      <c r="AUX18" s="91"/>
      <c r="AUY18" s="93"/>
      <c r="AUZ18" s="93"/>
      <c r="AVA18" s="88"/>
      <c r="AVB18" s="88"/>
      <c r="AVC18" s="90"/>
      <c r="AVD18" s="93"/>
      <c r="AVE18" s="88"/>
      <c r="AVF18" s="88"/>
      <c r="AVG18" s="90"/>
      <c r="AVH18" s="93"/>
      <c r="AVI18" s="88"/>
      <c r="AVJ18" s="88"/>
      <c r="AVK18" s="91"/>
      <c r="AVL18" s="93"/>
      <c r="AVM18" s="93"/>
      <c r="AVN18" s="88"/>
      <c r="AVO18" s="88"/>
      <c r="AVP18" s="90"/>
      <c r="AVQ18" s="93"/>
      <c r="AVR18" s="88"/>
      <c r="AVS18" s="88"/>
      <c r="AVT18" s="90"/>
      <c r="AVU18" s="93"/>
      <c r="AVV18" s="88"/>
      <c r="AVW18" s="88"/>
      <c r="AVX18" s="91"/>
      <c r="AVY18" s="93"/>
      <c r="AVZ18" s="93"/>
      <c r="AWA18" s="88"/>
      <c r="AWB18" s="88"/>
      <c r="AWC18" s="90"/>
      <c r="AWD18" s="93"/>
      <c r="AWE18" s="88"/>
      <c r="AWF18" s="88"/>
      <c r="AWG18" s="90"/>
      <c r="AWH18" s="93"/>
      <c r="AWI18" s="88"/>
      <c r="AWJ18" s="88"/>
      <c r="AWK18" s="91"/>
      <c r="AWL18" s="93"/>
      <c r="AWM18" s="93"/>
      <c r="AWN18" s="88"/>
      <c r="AWO18" s="88"/>
      <c r="AWP18" s="90"/>
      <c r="AWQ18" s="93"/>
      <c r="AWR18" s="88"/>
      <c r="AWS18" s="88"/>
      <c r="AWT18" s="90"/>
      <c r="AWU18" s="93"/>
      <c r="AWV18" s="88"/>
      <c r="AWW18" s="88"/>
      <c r="AWX18" s="91"/>
      <c r="AWY18" s="93"/>
      <c r="AWZ18" s="93"/>
      <c r="AXA18" s="88"/>
      <c r="AXB18" s="88"/>
      <c r="AXC18" s="90"/>
      <c r="AXD18" s="93"/>
      <c r="AXE18" s="88"/>
      <c r="AXF18" s="88"/>
      <c r="AXG18" s="90"/>
      <c r="AXH18" s="93"/>
      <c r="AXI18" s="88"/>
      <c r="AXJ18" s="88"/>
      <c r="AXK18" s="91"/>
      <c r="AXL18" s="93"/>
      <c r="AXM18" s="93"/>
      <c r="AXN18" s="88"/>
      <c r="AXO18" s="88"/>
      <c r="AXP18" s="90"/>
      <c r="AXQ18" s="93"/>
      <c r="AXR18" s="88"/>
      <c r="AXS18" s="88"/>
      <c r="AXT18" s="90"/>
      <c r="AXU18" s="93"/>
      <c r="AXV18" s="88"/>
      <c r="AXW18" s="88"/>
      <c r="AXX18" s="91"/>
      <c r="AXY18" s="93"/>
      <c r="AXZ18" s="93"/>
      <c r="AYA18" s="88"/>
      <c r="AYB18" s="88"/>
      <c r="AYC18" s="90"/>
      <c r="AYD18" s="93"/>
      <c r="AYE18" s="88"/>
      <c r="AYF18" s="88"/>
      <c r="AYG18" s="90"/>
      <c r="AYH18" s="93"/>
      <c r="AYI18" s="88"/>
      <c r="AYJ18" s="88"/>
      <c r="AYK18" s="91"/>
      <c r="AYL18" s="93"/>
      <c r="AYM18" s="93"/>
      <c r="AYN18" s="88"/>
      <c r="AYO18" s="88"/>
      <c r="AYP18" s="90"/>
      <c r="AYQ18" s="93"/>
      <c r="AYR18" s="88"/>
      <c r="AYS18" s="88"/>
      <c r="AYT18" s="90"/>
      <c r="AYU18" s="93"/>
      <c r="AYV18" s="88"/>
      <c r="AYW18" s="88"/>
      <c r="AYX18" s="91"/>
      <c r="AYY18" s="93"/>
      <c r="AYZ18" s="93"/>
      <c r="AZA18" s="88"/>
      <c r="AZB18" s="88"/>
      <c r="AZC18" s="90"/>
      <c r="AZD18" s="93"/>
      <c r="AZE18" s="88"/>
      <c r="AZF18" s="88"/>
      <c r="AZG18" s="90"/>
      <c r="AZH18" s="93"/>
      <c r="AZI18" s="88"/>
      <c r="AZJ18" s="88"/>
      <c r="AZK18" s="91"/>
      <c r="AZL18" s="93"/>
      <c r="AZM18" s="93"/>
      <c r="AZN18" s="88"/>
      <c r="AZO18" s="88"/>
      <c r="AZP18" s="90"/>
      <c r="AZQ18" s="93"/>
      <c r="AZR18" s="88"/>
      <c r="AZS18" s="88"/>
      <c r="AZT18" s="90"/>
      <c r="AZU18" s="93"/>
      <c r="AZV18" s="88"/>
      <c r="AZW18" s="88"/>
      <c r="AZX18" s="91"/>
      <c r="AZY18" s="93"/>
      <c r="AZZ18" s="93"/>
      <c r="BAA18" s="88"/>
      <c r="BAB18" s="88"/>
      <c r="BAC18" s="90"/>
      <c r="BAD18" s="93"/>
      <c r="BAE18" s="88"/>
      <c r="BAF18" s="88"/>
      <c r="BAG18" s="90"/>
      <c r="BAH18" s="93"/>
      <c r="BAI18" s="88"/>
      <c r="BAJ18" s="88"/>
      <c r="BAK18" s="91"/>
      <c r="BAL18" s="93"/>
      <c r="BAM18" s="93"/>
      <c r="BAN18" s="88"/>
      <c r="BAO18" s="88"/>
      <c r="BAP18" s="90"/>
      <c r="BAQ18" s="93"/>
      <c r="BAR18" s="88"/>
      <c r="BAS18" s="88"/>
      <c r="BAT18" s="90"/>
      <c r="BAU18" s="93"/>
      <c r="BAV18" s="88"/>
      <c r="BAW18" s="88"/>
      <c r="BAX18" s="91"/>
      <c r="BAY18" s="93"/>
      <c r="BAZ18" s="93"/>
      <c r="BBA18" s="88"/>
      <c r="BBB18" s="88"/>
      <c r="BBC18" s="90"/>
      <c r="BBD18" s="93"/>
      <c r="BBE18" s="88"/>
      <c r="BBF18" s="88"/>
      <c r="BBG18" s="90"/>
      <c r="BBH18" s="93"/>
      <c r="BBI18" s="88"/>
      <c r="BBJ18" s="88"/>
      <c r="BBK18" s="91"/>
      <c r="BBL18" s="93"/>
      <c r="BBM18" s="93"/>
      <c r="BBN18" s="88"/>
      <c r="BBO18" s="88"/>
      <c r="BBP18" s="90"/>
      <c r="BBQ18" s="93"/>
      <c r="BBR18" s="88"/>
      <c r="BBS18" s="88"/>
      <c r="BBT18" s="90"/>
      <c r="BBU18" s="93"/>
      <c r="BBV18" s="88"/>
      <c r="BBW18" s="88"/>
      <c r="BBX18" s="91"/>
      <c r="BBY18" s="93"/>
      <c r="BBZ18" s="93"/>
      <c r="BCA18" s="88"/>
      <c r="BCB18" s="88"/>
      <c r="BCC18" s="90"/>
      <c r="BCD18" s="93"/>
      <c r="BCE18" s="88"/>
      <c r="BCF18" s="88"/>
      <c r="BCG18" s="90"/>
      <c r="BCH18" s="93"/>
      <c r="BCI18" s="88"/>
      <c r="BCJ18" s="88"/>
      <c r="BCK18" s="91"/>
      <c r="BCL18" s="93"/>
      <c r="BCM18" s="93"/>
      <c r="BCN18" s="88"/>
      <c r="BCO18" s="88"/>
      <c r="BCP18" s="90"/>
      <c r="BCQ18" s="93"/>
      <c r="BCR18" s="88"/>
      <c r="BCS18" s="88"/>
      <c r="BCT18" s="90"/>
      <c r="BCU18" s="93"/>
      <c r="BCV18" s="88"/>
      <c r="BCW18" s="88"/>
      <c r="BCX18" s="91"/>
      <c r="BCY18" s="93"/>
      <c r="BCZ18" s="93"/>
      <c r="BDA18" s="88"/>
      <c r="BDB18" s="88"/>
      <c r="BDC18" s="90"/>
      <c r="BDD18" s="93"/>
      <c r="BDE18" s="88"/>
      <c r="BDF18" s="88"/>
      <c r="BDG18" s="90"/>
      <c r="BDH18" s="93"/>
      <c r="BDI18" s="88"/>
      <c r="BDJ18" s="88"/>
      <c r="BDK18" s="91"/>
      <c r="BDL18" s="93"/>
      <c r="BDM18" s="93"/>
      <c r="BDN18" s="88"/>
      <c r="BDO18" s="88"/>
      <c r="BDP18" s="90"/>
      <c r="BDQ18" s="93"/>
      <c r="BDR18" s="88"/>
      <c r="BDS18" s="88"/>
      <c r="BDT18" s="90"/>
      <c r="BDU18" s="93"/>
      <c r="BDV18" s="88"/>
      <c r="BDW18" s="88"/>
      <c r="BDX18" s="91"/>
      <c r="BDY18" s="93"/>
      <c r="BDZ18" s="93"/>
      <c r="BEA18" s="88"/>
      <c r="BEB18" s="88"/>
      <c r="BEC18" s="90"/>
      <c r="BED18" s="93"/>
      <c r="BEE18" s="88"/>
      <c r="BEF18" s="88"/>
      <c r="BEG18" s="90"/>
      <c r="BEH18" s="93"/>
      <c r="BEI18" s="88"/>
      <c r="BEJ18" s="88"/>
      <c r="BEK18" s="91"/>
      <c r="BEL18" s="93"/>
      <c r="BEM18" s="93"/>
      <c r="BEN18" s="88"/>
      <c r="BEO18" s="88"/>
      <c r="BEP18" s="90"/>
      <c r="BEQ18" s="93"/>
      <c r="BER18" s="88"/>
      <c r="BES18" s="88"/>
      <c r="BET18" s="90"/>
      <c r="BEU18" s="93"/>
      <c r="BEV18" s="88"/>
      <c r="BEW18" s="88"/>
      <c r="BEX18" s="91"/>
      <c r="BEY18" s="93"/>
      <c r="BEZ18" s="93"/>
      <c r="BFA18" s="88"/>
      <c r="BFB18" s="88"/>
      <c r="BFC18" s="90"/>
      <c r="BFD18" s="93"/>
      <c r="BFE18" s="88"/>
      <c r="BFF18" s="88"/>
      <c r="BFG18" s="90"/>
      <c r="BFH18" s="93"/>
      <c r="BFI18" s="88"/>
      <c r="BFJ18" s="88"/>
      <c r="BFK18" s="91"/>
      <c r="BFL18" s="93"/>
      <c r="BFM18" s="93"/>
      <c r="BFN18" s="88"/>
      <c r="BFO18" s="88"/>
      <c r="BFP18" s="90"/>
      <c r="BFQ18" s="93"/>
      <c r="BFR18" s="88"/>
      <c r="BFS18" s="88"/>
      <c r="BFT18" s="90"/>
      <c r="BFU18" s="93"/>
      <c r="BFV18" s="88"/>
      <c r="BFW18" s="88"/>
      <c r="BFX18" s="91"/>
      <c r="BFY18" s="93"/>
      <c r="BFZ18" s="93"/>
      <c r="BGA18" s="88"/>
      <c r="BGB18" s="88"/>
      <c r="BGC18" s="90"/>
      <c r="BGD18" s="93"/>
      <c r="BGE18" s="88"/>
      <c r="BGF18" s="88"/>
      <c r="BGG18" s="90"/>
      <c r="BGH18" s="93"/>
      <c r="BGI18" s="88"/>
      <c r="BGJ18" s="88"/>
      <c r="BGK18" s="91"/>
      <c r="BGL18" s="93"/>
      <c r="BGM18" s="93"/>
      <c r="BGN18" s="88"/>
      <c r="BGO18" s="88"/>
      <c r="BGP18" s="90"/>
      <c r="BGQ18" s="93"/>
      <c r="BGR18" s="88"/>
      <c r="BGS18" s="88"/>
      <c r="BGT18" s="90"/>
      <c r="BGU18" s="93"/>
      <c r="BGV18" s="88"/>
      <c r="BGW18" s="88"/>
      <c r="BGX18" s="91"/>
      <c r="BGY18" s="93"/>
      <c r="BGZ18" s="93"/>
      <c r="BHA18" s="88"/>
      <c r="BHB18" s="88"/>
      <c r="BHC18" s="90"/>
      <c r="BHD18" s="93"/>
      <c r="BHE18" s="88"/>
      <c r="BHF18" s="88"/>
      <c r="BHG18" s="90"/>
      <c r="BHH18" s="93"/>
      <c r="BHI18" s="88"/>
      <c r="BHJ18" s="88"/>
      <c r="BHK18" s="91"/>
      <c r="BHL18" s="93"/>
      <c r="BHM18" s="93"/>
      <c r="BHN18" s="88"/>
      <c r="BHO18" s="88"/>
      <c r="BHP18" s="90"/>
      <c r="BHQ18" s="93"/>
      <c r="BHR18" s="88"/>
      <c r="BHS18" s="88"/>
      <c r="BHT18" s="90"/>
      <c r="BHU18" s="93"/>
      <c r="BHV18" s="88"/>
      <c r="BHW18" s="88"/>
      <c r="BHX18" s="91"/>
      <c r="BHY18" s="93"/>
      <c r="BHZ18" s="93"/>
      <c r="BIA18" s="88"/>
      <c r="BIB18" s="88"/>
      <c r="BIC18" s="90"/>
      <c r="BID18" s="93"/>
      <c r="BIE18" s="88"/>
      <c r="BIF18" s="88"/>
      <c r="BIG18" s="90"/>
      <c r="BIH18" s="93"/>
      <c r="BII18" s="88"/>
      <c r="BIJ18" s="88"/>
      <c r="BIK18" s="91"/>
      <c r="BIL18" s="93"/>
      <c r="BIM18" s="93"/>
      <c r="BIN18" s="88"/>
      <c r="BIO18" s="88"/>
      <c r="BIP18" s="90"/>
      <c r="BIQ18" s="93"/>
      <c r="BIR18" s="88"/>
      <c r="BIS18" s="88"/>
      <c r="BIT18" s="90"/>
      <c r="BIU18" s="93"/>
      <c r="BIV18" s="88"/>
      <c r="BIW18" s="88"/>
      <c r="BIX18" s="91"/>
      <c r="BIY18" s="93"/>
      <c r="BIZ18" s="93"/>
      <c r="BJA18" s="88"/>
      <c r="BJB18" s="88"/>
      <c r="BJC18" s="90"/>
      <c r="BJD18" s="93"/>
      <c r="BJE18" s="88"/>
      <c r="BJF18" s="88"/>
      <c r="BJG18" s="90"/>
      <c r="BJH18" s="93"/>
      <c r="BJI18" s="88"/>
      <c r="BJJ18" s="88"/>
      <c r="BJK18" s="91"/>
      <c r="BJL18" s="93"/>
      <c r="BJM18" s="93"/>
      <c r="BJN18" s="88"/>
      <c r="BJO18" s="88"/>
      <c r="BJP18" s="90"/>
      <c r="BJQ18" s="93"/>
      <c r="BJR18" s="88"/>
      <c r="BJS18" s="88"/>
      <c r="BJT18" s="90"/>
      <c r="BJU18" s="93"/>
      <c r="BJV18" s="88"/>
      <c r="BJW18" s="88"/>
      <c r="BJX18" s="91"/>
      <c r="BJY18" s="93"/>
      <c r="BJZ18" s="93"/>
      <c r="BKA18" s="88"/>
      <c r="BKB18" s="88"/>
      <c r="BKC18" s="90"/>
      <c r="BKD18" s="93"/>
      <c r="BKE18" s="88"/>
      <c r="BKF18" s="88"/>
      <c r="BKG18" s="90"/>
      <c r="BKH18" s="93"/>
      <c r="BKI18" s="88"/>
      <c r="BKJ18" s="88"/>
      <c r="BKK18" s="91"/>
      <c r="BKL18" s="93"/>
      <c r="BKM18" s="93"/>
      <c r="BKN18" s="88"/>
      <c r="BKO18" s="88"/>
      <c r="BKP18" s="90"/>
      <c r="BKQ18" s="93"/>
      <c r="BKR18" s="88"/>
      <c r="BKS18" s="88"/>
      <c r="BKT18" s="90"/>
      <c r="BKU18" s="93"/>
      <c r="BKV18" s="88"/>
      <c r="BKW18" s="88"/>
      <c r="BKX18" s="91"/>
      <c r="BKY18" s="93"/>
      <c r="BKZ18" s="93"/>
      <c r="BLA18" s="88"/>
      <c r="BLB18" s="88"/>
      <c r="BLC18" s="90"/>
      <c r="BLD18" s="93"/>
      <c r="BLE18" s="88"/>
      <c r="BLF18" s="88"/>
      <c r="BLG18" s="90"/>
      <c r="BLH18" s="93"/>
      <c r="BLI18" s="88"/>
      <c r="BLJ18" s="88"/>
      <c r="BLK18" s="91"/>
      <c r="BLL18" s="93"/>
      <c r="BLM18" s="93"/>
      <c r="BLN18" s="88"/>
      <c r="BLO18" s="88"/>
      <c r="BLP18" s="90"/>
      <c r="BLQ18" s="93"/>
      <c r="BLR18" s="88"/>
      <c r="BLS18" s="88"/>
      <c r="BLT18" s="90"/>
      <c r="BLU18" s="93"/>
      <c r="BLV18" s="88"/>
      <c r="BLW18" s="88"/>
      <c r="BLX18" s="91"/>
      <c r="BLY18" s="93"/>
      <c r="BLZ18" s="93"/>
      <c r="BMA18" s="88"/>
      <c r="BMB18" s="88"/>
      <c r="BMC18" s="90"/>
      <c r="BMD18" s="93"/>
      <c r="BME18" s="88"/>
      <c r="BMF18" s="88"/>
      <c r="BMG18" s="90"/>
      <c r="BMH18" s="93"/>
      <c r="BMI18" s="88"/>
      <c r="BMJ18" s="88"/>
      <c r="BMK18" s="91"/>
      <c r="BML18" s="93"/>
      <c r="BMM18" s="93"/>
      <c r="BMN18" s="88"/>
      <c r="BMO18" s="88"/>
      <c r="BMP18" s="90"/>
      <c r="BMQ18" s="93"/>
      <c r="BMR18" s="88"/>
      <c r="BMS18" s="88"/>
      <c r="BMT18" s="90"/>
      <c r="BMU18" s="93"/>
      <c r="BMV18" s="88"/>
      <c r="BMW18" s="88"/>
      <c r="BMX18" s="91"/>
      <c r="BMY18" s="93"/>
      <c r="BMZ18" s="93"/>
      <c r="BNA18" s="88"/>
      <c r="BNB18" s="88"/>
      <c r="BNC18" s="90"/>
      <c r="BND18" s="93"/>
      <c r="BNE18" s="88"/>
      <c r="BNF18" s="88"/>
      <c r="BNG18" s="90"/>
      <c r="BNH18" s="93"/>
      <c r="BNI18" s="88"/>
      <c r="BNJ18" s="88"/>
      <c r="BNK18" s="91"/>
      <c r="BNL18" s="93"/>
      <c r="BNM18" s="93"/>
      <c r="BNN18" s="88"/>
      <c r="BNO18" s="88"/>
      <c r="BNP18" s="90"/>
      <c r="BNQ18" s="93"/>
      <c r="BNR18" s="88"/>
      <c r="BNS18" s="88"/>
      <c r="BNT18" s="90"/>
      <c r="BNU18" s="93"/>
      <c r="BNV18" s="88"/>
      <c r="BNW18" s="88"/>
      <c r="BNX18" s="91"/>
      <c r="BNY18" s="93"/>
      <c r="BNZ18" s="93"/>
      <c r="BOA18" s="88"/>
      <c r="BOB18" s="88"/>
      <c r="BOC18" s="90"/>
      <c r="BOD18" s="93"/>
      <c r="BOE18" s="88"/>
      <c r="BOF18" s="88"/>
      <c r="BOG18" s="90"/>
      <c r="BOH18" s="93"/>
      <c r="BOI18" s="88"/>
      <c r="BOJ18" s="88"/>
      <c r="BOK18" s="91"/>
      <c r="BOL18" s="93"/>
      <c r="BOM18" s="93"/>
      <c r="BON18" s="88"/>
      <c r="BOO18" s="88"/>
      <c r="BOP18" s="90"/>
      <c r="BOQ18" s="93"/>
      <c r="BOR18" s="88"/>
      <c r="BOS18" s="88"/>
      <c r="BOT18" s="90"/>
      <c r="BOU18" s="93"/>
      <c r="BOV18" s="88"/>
      <c r="BOW18" s="88"/>
      <c r="BOX18" s="91"/>
      <c r="BOY18" s="93"/>
      <c r="BOZ18" s="93"/>
      <c r="BPA18" s="88"/>
      <c r="BPB18" s="88"/>
      <c r="BPC18" s="90"/>
      <c r="BPD18" s="93"/>
      <c r="BPE18" s="88"/>
      <c r="BPF18" s="88"/>
      <c r="BPG18" s="90"/>
      <c r="BPH18" s="93"/>
      <c r="BPI18" s="88"/>
      <c r="BPJ18" s="88"/>
      <c r="BPK18" s="91"/>
      <c r="BPL18" s="93"/>
      <c r="BPM18" s="93"/>
      <c r="BPN18" s="88"/>
      <c r="BPO18" s="88"/>
      <c r="BPP18" s="90"/>
      <c r="BPQ18" s="93"/>
      <c r="BPR18" s="88"/>
      <c r="BPS18" s="88"/>
      <c r="BPT18" s="90"/>
      <c r="BPU18" s="93"/>
      <c r="BPV18" s="88"/>
      <c r="BPW18" s="88"/>
      <c r="BPX18" s="91"/>
      <c r="BPY18" s="93"/>
      <c r="BPZ18" s="93"/>
      <c r="BQA18" s="88"/>
      <c r="BQB18" s="88"/>
      <c r="BQC18" s="90"/>
      <c r="BQD18" s="93"/>
      <c r="BQE18" s="88"/>
      <c r="BQF18" s="88"/>
      <c r="BQG18" s="90"/>
      <c r="BQH18" s="93"/>
      <c r="BQI18" s="88"/>
      <c r="BQJ18" s="88"/>
      <c r="BQK18" s="91"/>
      <c r="BQL18" s="93"/>
      <c r="BQM18" s="93"/>
      <c r="BQN18" s="88"/>
      <c r="BQO18" s="88"/>
      <c r="BQP18" s="90"/>
      <c r="BQQ18" s="93"/>
      <c r="BQR18" s="88"/>
      <c r="BQS18" s="88"/>
      <c r="BQT18" s="90"/>
      <c r="BQU18" s="93"/>
      <c r="BQV18" s="88"/>
      <c r="BQW18" s="88"/>
      <c r="BQX18" s="91"/>
      <c r="BQY18" s="93"/>
      <c r="BQZ18" s="93"/>
      <c r="BRA18" s="88"/>
      <c r="BRB18" s="88"/>
      <c r="BRC18" s="90"/>
      <c r="BRD18" s="93"/>
      <c r="BRE18" s="88"/>
      <c r="BRF18" s="88"/>
      <c r="BRG18" s="90"/>
      <c r="BRH18" s="93"/>
      <c r="BRI18" s="88"/>
      <c r="BRJ18" s="88"/>
      <c r="BRK18" s="91"/>
      <c r="BRL18" s="93"/>
      <c r="BRM18" s="93"/>
      <c r="BRN18" s="88"/>
      <c r="BRO18" s="88"/>
      <c r="BRP18" s="90"/>
      <c r="BRQ18" s="93"/>
      <c r="BRR18" s="88"/>
      <c r="BRS18" s="88"/>
      <c r="BRT18" s="90"/>
      <c r="BRU18" s="93"/>
      <c r="BRV18" s="88"/>
      <c r="BRW18" s="88"/>
      <c r="BRX18" s="91"/>
      <c r="BRY18" s="93"/>
      <c r="BRZ18" s="93"/>
      <c r="BSA18" s="88"/>
      <c r="BSB18" s="88"/>
      <c r="BSC18" s="90"/>
      <c r="BSD18" s="93"/>
      <c r="BSE18" s="88"/>
      <c r="BSF18" s="88"/>
      <c r="BSG18" s="90"/>
      <c r="BSH18" s="93"/>
      <c r="BSI18" s="88"/>
      <c r="BSJ18" s="88"/>
      <c r="BSK18" s="91"/>
      <c r="BSL18" s="93"/>
      <c r="BSM18" s="93"/>
      <c r="BSN18" s="88"/>
      <c r="BSO18" s="88"/>
      <c r="BSP18" s="90"/>
      <c r="BSQ18" s="93"/>
      <c r="BSR18" s="88"/>
      <c r="BSS18" s="88"/>
      <c r="BST18" s="90"/>
      <c r="BSU18" s="93"/>
      <c r="BSV18" s="88"/>
      <c r="BSW18" s="88"/>
      <c r="BSX18" s="91"/>
      <c r="BSY18" s="93"/>
      <c r="BSZ18" s="93"/>
      <c r="BTA18" s="88"/>
      <c r="BTB18" s="88"/>
      <c r="BTC18" s="90"/>
      <c r="BTD18" s="93"/>
      <c r="BTE18" s="88"/>
      <c r="BTF18" s="88"/>
      <c r="BTG18" s="90"/>
      <c r="BTH18" s="93"/>
      <c r="BTI18" s="88"/>
      <c r="BTJ18" s="88"/>
      <c r="BTK18" s="91"/>
      <c r="BTL18" s="93"/>
      <c r="BTM18" s="93"/>
      <c r="BTN18" s="88"/>
      <c r="BTO18" s="88"/>
      <c r="BTP18" s="90"/>
      <c r="BTQ18" s="93"/>
      <c r="BTR18" s="88"/>
      <c r="BTS18" s="88"/>
      <c r="BTT18" s="90"/>
      <c r="BTU18" s="93"/>
      <c r="BTV18" s="88"/>
      <c r="BTW18" s="88"/>
      <c r="BTX18" s="91"/>
      <c r="BTY18" s="93"/>
      <c r="BTZ18" s="93"/>
      <c r="BUA18" s="88"/>
      <c r="BUB18" s="88"/>
      <c r="BUC18" s="90"/>
      <c r="BUD18" s="93"/>
      <c r="BUE18" s="88"/>
      <c r="BUF18" s="88"/>
      <c r="BUG18" s="90"/>
      <c r="BUH18" s="93"/>
      <c r="BUI18" s="88"/>
      <c r="BUJ18" s="88"/>
      <c r="BUK18" s="91"/>
      <c r="BUL18" s="93"/>
      <c r="BUM18" s="93"/>
      <c r="BUN18" s="88"/>
      <c r="BUO18" s="88"/>
      <c r="BUP18" s="90"/>
      <c r="BUQ18" s="93"/>
      <c r="BUR18" s="88"/>
      <c r="BUS18" s="88"/>
      <c r="BUT18" s="90"/>
      <c r="BUU18" s="93"/>
      <c r="BUV18" s="88"/>
      <c r="BUW18" s="88"/>
      <c r="BUX18" s="91"/>
      <c r="BUY18" s="93"/>
      <c r="BUZ18" s="93"/>
      <c r="BVA18" s="88"/>
      <c r="BVB18" s="88"/>
      <c r="BVC18" s="90"/>
      <c r="BVD18" s="93"/>
      <c r="BVE18" s="88"/>
      <c r="BVF18" s="88"/>
      <c r="BVG18" s="90"/>
      <c r="BVH18" s="93"/>
      <c r="BVI18" s="88"/>
      <c r="BVJ18" s="88"/>
      <c r="BVK18" s="91"/>
      <c r="BVL18" s="93"/>
      <c r="BVM18" s="93"/>
      <c r="BVN18" s="88"/>
      <c r="BVO18" s="88"/>
      <c r="BVP18" s="90"/>
      <c r="BVQ18" s="93"/>
      <c r="BVR18" s="88"/>
      <c r="BVS18" s="88"/>
      <c r="BVT18" s="90"/>
      <c r="BVU18" s="93"/>
      <c r="BVV18" s="88"/>
      <c r="BVW18" s="88"/>
      <c r="BVX18" s="91"/>
      <c r="BVY18" s="93"/>
      <c r="BVZ18" s="93"/>
      <c r="BWA18" s="88"/>
      <c r="BWB18" s="88"/>
      <c r="BWC18" s="90"/>
      <c r="BWD18" s="93"/>
      <c r="BWE18" s="88"/>
      <c r="BWF18" s="88"/>
      <c r="BWG18" s="90"/>
      <c r="BWH18" s="93"/>
      <c r="BWI18" s="88"/>
      <c r="BWJ18" s="88"/>
      <c r="BWK18" s="91"/>
      <c r="BWL18" s="93"/>
      <c r="BWM18" s="93"/>
      <c r="BWN18" s="88"/>
      <c r="BWO18" s="88"/>
      <c r="BWP18" s="90"/>
      <c r="BWQ18" s="93"/>
      <c r="BWR18" s="88"/>
      <c r="BWS18" s="88"/>
      <c r="BWT18" s="90"/>
      <c r="BWU18" s="93"/>
      <c r="BWV18" s="88"/>
      <c r="BWW18" s="88"/>
      <c r="BWX18" s="91"/>
      <c r="BWY18" s="93"/>
      <c r="BWZ18" s="93"/>
      <c r="BXA18" s="88"/>
      <c r="BXB18" s="88"/>
      <c r="BXC18" s="90"/>
      <c r="BXD18" s="93"/>
      <c r="BXE18" s="88"/>
      <c r="BXF18" s="88"/>
      <c r="BXG18" s="90"/>
      <c r="BXH18" s="93"/>
      <c r="BXI18" s="88"/>
      <c r="BXJ18" s="88"/>
      <c r="BXK18" s="91"/>
      <c r="BXL18" s="93"/>
      <c r="BXM18" s="93"/>
      <c r="BXN18" s="88"/>
      <c r="BXO18" s="88"/>
      <c r="BXP18" s="90"/>
      <c r="BXQ18" s="93"/>
      <c r="BXR18" s="88"/>
      <c r="BXS18" s="88"/>
      <c r="BXT18" s="90"/>
      <c r="BXU18" s="93"/>
      <c r="BXV18" s="88"/>
      <c r="BXW18" s="88"/>
      <c r="BXX18" s="91"/>
      <c r="BXY18" s="93"/>
      <c r="BXZ18" s="93"/>
      <c r="BYA18" s="88"/>
      <c r="BYB18" s="88"/>
      <c r="BYC18" s="90"/>
      <c r="BYD18" s="93"/>
      <c r="BYE18" s="88"/>
      <c r="BYF18" s="88"/>
      <c r="BYG18" s="90"/>
      <c r="BYH18" s="93"/>
      <c r="BYI18" s="88"/>
      <c r="BYJ18" s="88"/>
      <c r="BYK18" s="91"/>
      <c r="BYL18" s="93"/>
      <c r="BYM18" s="93"/>
      <c r="BYN18" s="88"/>
      <c r="BYO18" s="88"/>
      <c r="BYP18" s="90"/>
      <c r="BYQ18" s="93"/>
      <c r="BYR18" s="88"/>
      <c r="BYS18" s="88"/>
      <c r="BYT18" s="90"/>
      <c r="BYU18" s="93"/>
      <c r="BYV18" s="88"/>
      <c r="BYW18" s="88"/>
      <c r="BYX18" s="91"/>
      <c r="BYY18" s="93"/>
      <c r="BYZ18" s="93"/>
      <c r="BZA18" s="88"/>
      <c r="BZB18" s="88"/>
      <c r="BZC18" s="90"/>
      <c r="BZD18" s="93"/>
      <c r="BZE18" s="88"/>
      <c r="BZF18" s="88"/>
      <c r="BZG18" s="90"/>
      <c r="BZH18" s="93"/>
      <c r="BZI18" s="88"/>
      <c r="BZJ18" s="88"/>
      <c r="BZK18" s="91"/>
      <c r="BZL18" s="93"/>
      <c r="BZM18" s="93"/>
      <c r="BZN18" s="88"/>
      <c r="BZO18" s="88"/>
      <c r="BZP18" s="90"/>
      <c r="BZQ18" s="93"/>
      <c r="BZR18" s="88"/>
      <c r="BZS18" s="88"/>
      <c r="BZT18" s="90"/>
      <c r="BZU18" s="93"/>
      <c r="BZV18" s="88"/>
      <c r="BZW18" s="88"/>
      <c r="BZX18" s="91"/>
      <c r="BZY18" s="93"/>
      <c r="BZZ18" s="93"/>
      <c r="CAA18" s="88"/>
      <c r="CAB18" s="88"/>
      <c r="CAC18" s="90"/>
      <c r="CAD18" s="93"/>
      <c r="CAE18" s="88"/>
      <c r="CAF18" s="88"/>
      <c r="CAG18" s="90"/>
      <c r="CAH18" s="93"/>
      <c r="CAI18" s="88"/>
      <c r="CAJ18" s="88"/>
      <c r="CAK18" s="91"/>
      <c r="CAL18" s="93"/>
      <c r="CAM18" s="93"/>
      <c r="CAN18" s="88"/>
      <c r="CAO18" s="88"/>
      <c r="CAP18" s="90"/>
      <c r="CAQ18" s="93"/>
      <c r="CAR18" s="88"/>
      <c r="CAS18" s="88"/>
      <c r="CAT18" s="90"/>
      <c r="CAU18" s="93"/>
      <c r="CAV18" s="88"/>
      <c r="CAW18" s="88"/>
      <c r="CAX18" s="91"/>
      <c r="CAY18" s="93"/>
      <c r="CAZ18" s="93"/>
      <c r="CBA18" s="88"/>
      <c r="CBB18" s="88"/>
      <c r="CBC18" s="90"/>
      <c r="CBD18" s="93"/>
      <c r="CBE18" s="88"/>
      <c r="CBF18" s="88"/>
      <c r="CBG18" s="90"/>
      <c r="CBH18" s="93"/>
      <c r="CBI18" s="88"/>
      <c r="CBJ18" s="88"/>
      <c r="CBK18" s="91"/>
      <c r="CBL18" s="93"/>
      <c r="CBM18" s="93"/>
      <c r="CBN18" s="88"/>
      <c r="CBO18" s="88"/>
      <c r="CBP18" s="90"/>
      <c r="CBQ18" s="93"/>
      <c r="CBR18" s="88"/>
      <c r="CBS18" s="88"/>
      <c r="CBT18" s="90"/>
      <c r="CBU18" s="93"/>
      <c r="CBV18" s="88"/>
      <c r="CBW18" s="88"/>
      <c r="CBX18" s="91"/>
      <c r="CBY18" s="93"/>
      <c r="CBZ18" s="93"/>
      <c r="CCA18" s="88"/>
      <c r="CCB18" s="88"/>
      <c r="CCC18" s="90"/>
      <c r="CCD18" s="93"/>
      <c r="CCE18" s="88"/>
      <c r="CCF18" s="88"/>
      <c r="CCG18" s="90"/>
      <c r="CCH18" s="93"/>
      <c r="CCI18" s="88"/>
      <c r="CCJ18" s="88"/>
      <c r="CCK18" s="91"/>
      <c r="CCL18" s="93"/>
      <c r="CCM18" s="93"/>
      <c r="CCN18" s="88"/>
      <c r="CCO18" s="88"/>
      <c r="CCP18" s="90"/>
      <c r="CCQ18" s="93"/>
      <c r="CCR18" s="88"/>
      <c r="CCS18" s="88"/>
      <c r="CCT18" s="90"/>
      <c r="CCU18" s="93"/>
      <c r="CCV18" s="88"/>
      <c r="CCW18" s="88"/>
      <c r="CCX18" s="91"/>
      <c r="CCY18" s="93"/>
      <c r="CCZ18" s="93"/>
      <c r="CDA18" s="88"/>
      <c r="CDB18" s="88"/>
      <c r="CDC18" s="90"/>
      <c r="CDD18" s="93"/>
      <c r="CDE18" s="88"/>
      <c r="CDF18" s="88"/>
      <c r="CDG18" s="90"/>
      <c r="CDH18" s="93"/>
      <c r="CDI18" s="88"/>
      <c r="CDJ18" s="88"/>
      <c r="CDK18" s="91"/>
      <c r="CDL18" s="93"/>
      <c r="CDM18" s="93"/>
      <c r="CDN18" s="88"/>
      <c r="CDO18" s="88"/>
      <c r="CDP18" s="90"/>
      <c r="CDQ18" s="93"/>
      <c r="CDR18" s="88"/>
      <c r="CDS18" s="88"/>
      <c r="CDT18" s="90"/>
      <c r="CDU18" s="93"/>
      <c r="CDV18" s="88"/>
      <c r="CDW18" s="88"/>
      <c r="CDX18" s="91"/>
      <c r="CDY18" s="93"/>
      <c r="CDZ18" s="93"/>
      <c r="CEA18" s="88"/>
      <c r="CEB18" s="88"/>
      <c r="CEC18" s="90"/>
      <c r="CED18" s="93"/>
      <c r="CEE18" s="88"/>
      <c r="CEF18" s="88"/>
      <c r="CEG18" s="90"/>
      <c r="CEH18" s="93"/>
      <c r="CEI18" s="88"/>
      <c r="CEJ18" s="88"/>
      <c r="CEK18" s="91"/>
      <c r="CEL18" s="93"/>
      <c r="CEM18" s="93"/>
      <c r="CEN18" s="88"/>
      <c r="CEO18" s="88"/>
      <c r="CEP18" s="90"/>
      <c r="CEQ18" s="93"/>
      <c r="CER18" s="88"/>
      <c r="CES18" s="88"/>
      <c r="CET18" s="90"/>
      <c r="CEU18" s="93"/>
      <c r="CEV18" s="88"/>
      <c r="CEW18" s="88"/>
      <c r="CEX18" s="91"/>
      <c r="CEY18" s="93"/>
      <c r="CEZ18" s="93"/>
      <c r="CFA18" s="88"/>
      <c r="CFB18" s="88"/>
      <c r="CFC18" s="90"/>
      <c r="CFD18" s="93"/>
      <c r="CFE18" s="88"/>
      <c r="CFF18" s="88"/>
      <c r="CFG18" s="90"/>
      <c r="CFH18" s="93"/>
      <c r="CFI18" s="88"/>
      <c r="CFJ18" s="88"/>
      <c r="CFK18" s="91"/>
      <c r="CFL18" s="93"/>
      <c r="CFM18" s="93"/>
      <c r="CFN18" s="88"/>
      <c r="CFO18" s="88"/>
      <c r="CFP18" s="90"/>
      <c r="CFQ18" s="93"/>
      <c r="CFR18" s="88"/>
      <c r="CFS18" s="88"/>
      <c r="CFT18" s="90"/>
      <c r="CFU18" s="93"/>
      <c r="CFV18" s="88"/>
      <c r="CFW18" s="88"/>
      <c r="CFX18" s="91"/>
      <c r="CFY18" s="93"/>
      <c r="CFZ18" s="93"/>
      <c r="CGA18" s="88"/>
      <c r="CGB18" s="88"/>
      <c r="CGC18" s="90"/>
      <c r="CGD18" s="93"/>
      <c r="CGE18" s="88"/>
      <c r="CGF18" s="88"/>
      <c r="CGG18" s="90"/>
      <c r="CGH18" s="93"/>
      <c r="CGI18" s="88"/>
      <c r="CGJ18" s="88"/>
      <c r="CGK18" s="91"/>
      <c r="CGL18" s="93"/>
      <c r="CGM18" s="93"/>
      <c r="CGN18" s="88"/>
      <c r="CGO18" s="88"/>
      <c r="CGP18" s="90"/>
      <c r="CGQ18" s="93"/>
      <c r="CGR18" s="88"/>
      <c r="CGS18" s="88"/>
      <c r="CGT18" s="90"/>
      <c r="CGU18" s="93"/>
      <c r="CGV18" s="88"/>
      <c r="CGW18" s="88"/>
      <c r="CGX18" s="91"/>
      <c r="CGY18" s="93"/>
      <c r="CGZ18" s="93"/>
      <c r="CHA18" s="88"/>
      <c r="CHB18" s="88"/>
      <c r="CHC18" s="90"/>
      <c r="CHD18" s="93"/>
      <c r="CHE18" s="88"/>
      <c r="CHF18" s="88"/>
      <c r="CHG18" s="90"/>
      <c r="CHH18" s="93"/>
      <c r="CHI18" s="88"/>
      <c r="CHJ18" s="88"/>
      <c r="CHK18" s="91"/>
      <c r="CHL18" s="93"/>
      <c r="CHM18" s="93"/>
      <c r="CHN18" s="88"/>
      <c r="CHO18" s="88"/>
      <c r="CHP18" s="90"/>
      <c r="CHQ18" s="93"/>
      <c r="CHR18" s="88"/>
      <c r="CHS18" s="88"/>
      <c r="CHT18" s="90"/>
      <c r="CHU18" s="93"/>
      <c r="CHV18" s="88"/>
      <c r="CHW18" s="88"/>
      <c r="CHX18" s="91"/>
      <c r="CHY18" s="93"/>
      <c r="CHZ18" s="93"/>
      <c r="CIA18" s="88"/>
      <c r="CIB18" s="88"/>
      <c r="CIC18" s="90"/>
      <c r="CID18" s="93"/>
      <c r="CIE18" s="88"/>
      <c r="CIF18" s="88"/>
      <c r="CIG18" s="90"/>
      <c r="CIH18" s="93"/>
      <c r="CII18" s="88"/>
      <c r="CIJ18" s="88"/>
      <c r="CIK18" s="91"/>
      <c r="CIL18" s="93"/>
      <c r="CIM18" s="93"/>
      <c r="CIN18" s="88"/>
      <c r="CIO18" s="88"/>
      <c r="CIP18" s="90"/>
      <c r="CIQ18" s="93"/>
      <c r="CIR18" s="88"/>
      <c r="CIS18" s="88"/>
      <c r="CIT18" s="90"/>
      <c r="CIU18" s="93"/>
      <c r="CIV18" s="88"/>
      <c r="CIW18" s="88"/>
      <c r="CIX18" s="91"/>
      <c r="CIY18" s="93"/>
      <c r="CIZ18" s="93"/>
      <c r="CJA18" s="88"/>
      <c r="CJB18" s="88"/>
      <c r="CJC18" s="90"/>
      <c r="CJD18" s="93"/>
      <c r="CJE18" s="88"/>
      <c r="CJF18" s="88"/>
      <c r="CJG18" s="90"/>
      <c r="CJH18" s="93"/>
      <c r="CJI18" s="88"/>
      <c r="CJJ18" s="88"/>
      <c r="CJK18" s="91"/>
      <c r="CJL18" s="93"/>
      <c r="CJM18" s="93"/>
      <c r="CJN18" s="88"/>
      <c r="CJO18" s="88"/>
      <c r="CJP18" s="90"/>
      <c r="CJQ18" s="93"/>
      <c r="CJR18" s="88"/>
      <c r="CJS18" s="88"/>
      <c r="CJT18" s="90"/>
      <c r="CJU18" s="93"/>
      <c r="CJV18" s="88"/>
      <c r="CJW18" s="88"/>
      <c r="CJX18" s="91"/>
      <c r="CJY18" s="93"/>
      <c r="CJZ18" s="93"/>
      <c r="CKA18" s="88"/>
      <c r="CKB18" s="88"/>
      <c r="CKC18" s="90"/>
      <c r="CKD18" s="93"/>
      <c r="CKE18" s="88"/>
      <c r="CKF18" s="88"/>
      <c r="CKG18" s="90"/>
      <c r="CKH18" s="93"/>
      <c r="CKI18" s="88"/>
      <c r="CKJ18" s="88"/>
      <c r="CKK18" s="91"/>
      <c r="CKL18" s="93"/>
      <c r="CKM18" s="93"/>
      <c r="CKN18" s="88"/>
      <c r="CKO18" s="88"/>
      <c r="CKP18" s="90"/>
      <c r="CKQ18" s="93"/>
      <c r="CKR18" s="88"/>
      <c r="CKS18" s="88"/>
      <c r="CKT18" s="90"/>
      <c r="CKU18" s="93"/>
      <c r="CKV18" s="88"/>
      <c r="CKW18" s="88"/>
      <c r="CKX18" s="91"/>
      <c r="CKY18" s="93"/>
      <c r="CKZ18" s="93"/>
      <c r="CLA18" s="88"/>
      <c r="CLB18" s="88"/>
      <c r="CLC18" s="90"/>
      <c r="CLD18" s="93"/>
      <c r="CLE18" s="88"/>
      <c r="CLF18" s="88"/>
      <c r="CLG18" s="90"/>
      <c r="CLH18" s="93"/>
      <c r="CLI18" s="88"/>
      <c r="CLJ18" s="88"/>
      <c r="CLK18" s="91"/>
      <c r="CLL18" s="93"/>
      <c r="CLM18" s="93"/>
      <c r="CLN18" s="88"/>
      <c r="CLO18" s="88"/>
      <c r="CLP18" s="90"/>
      <c r="CLQ18" s="93"/>
      <c r="CLR18" s="88"/>
      <c r="CLS18" s="88"/>
      <c r="CLT18" s="90"/>
      <c r="CLU18" s="93"/>
      <c r="CLV18" s="88"/>
      <c r="CLW18" s="88"/>
      <c r="CLX18" s="91"/>
      <c r="CLY18" s="93"/>
      <c r="CLZ18" s="93"/>
      <c r="CMA18" s="88"/>
      <c r="CMB18" s="88"/>
      <c r="CMC18" s="90"/>
      <c r="CMD18" s="93"/>
      <c r="CME18" s="88"/>
      <c r="CMF18" s="88"/>
      <c r="CMG18" s="90"/>
      <c r="CMH18" s="93"/>
      <c r="CMI18" s="88"/>
      <c r="CMJ18" s="88"/>
      <c r="CMK18" s="91"/>
      <c r="CML18" s="93"/>
      <c r="CMM18" s="93"/>
      <c r="CMN18" s="88"/>
      <c r="CMO18" s="88"/>
      <c r="CMP18" s="90"/>
      <c r="CMQ18" s="93"/>
      <c r="CMR18" s="88"/>
      <c r="CMS18" s="88"/>
      <c r="CMT18" s="90"/>
      <c r="CMU18" s="93"/>
      <c r="CMV18" s="88"/>
      <c r="CMW18" s="88"/>
      <c r="CMX18" s="91"/>
      <c r="CMY18" s="93"/>
      <c r="CMZ18" s="93"/>
      <c r="CNA18" s="88"/>
      <c r="CNB18" s="88"/>
      <c r="CNC18" s="90"/>
      <c r="CND18" s="93"/>
      <c r="CNE18" s="88"/>
      <c r="CNF18" s="88"/>
      <c r="CNG18" s="90"/>
      <c r="CNH18" s="93"/>
      <c r="CNI18" s="88"/>
      <c r="CNJ18" s="88"/>
      <c r="CNK18" s="91"/>
      <c r="CNL18" s="93"/>
      <c r="CNM18" s="93"/>
      <c r="CNN18" s="88"/>
      <c r="CNO18" s="88"/>
      <c r="CNP18" s="90"/>
      <c r="CNQ18" s="93"/>
      <c r="CNR18" s="88"/>
      <c r="CNS18" s="88"/>
      <c r="CNT18" s="90"/>
      <c r="CNU18" s="93"/>
      <c r="CNV18" s="88"/>
      <c r="CNW18" s="88"/>
      <c r="CNX18" s="91"/>
      <c r="CNY18" s="93"/>
      <c r="CNZ18" s="93"/>
      <c r="COA18" s="88"/>
      <c r="COB18" s="88"/>
      <c r="COC18" s="90"/>
      <c r="COD18" s="93"/>
      <c r="COE18" s="88"/>
      <c r="COF18" s="88"/>
      <c r="COG18" s="90"/>
      <c r="COH18" s="93"/>
      <c r="COI18" s="88"/>
      <c r="COJ18" s="88"/>
      <c r="COK18" s="91"/>
      <c r="COL18" s="93"/>
      <c r="COM18" s="93"/>
      <c r="CON18" s="88"/>
      <c r="COO18" s="88"/>
      <c r="COP18" s="90"/>
      <c r="COQ18" s="93"/>
      <c r="COR18" s="88"/>
      <c r="COS18" s="88"/>
      <c r="COT18" s="90"/>
      <c r="COU18" s="93"/>
      <c r="COV18" s="88"/>
      <c r="COW18" s="88"/>
      <c r="COX18" s="91"/>
      <c r="COY18" s="93"/>
      <c r="COZ18" s="93"/>
      <c r="CPA18" s="88"/>
      <c r="CPB18" s="88"/>
      <c r="CPC18" s="90"/>
      <c r="CPD18" s="93"/>
      <c r="CPE18" s="88"/>
      <c r="CPF18" s="88"/>
      <c r="CPG18" s="90"/>
      <c r="CPH18" s="93"/>
      <c r="CPI18" s="88"/>
      <c r="CPJ18" s="88"/>
      <c r="CPK18" s="91"/>
      <c r="CPL18" s="93"/>
      <c r="CPM18" s="93"/>
      <c r="CPN18" s="88"/>
      <c r="CPO18" s="88"/>
      <c r="CPP18" s="90"/>
      <c r="CPQ18" s="93"/>
      <c r="CPR18" s="88"/>
      <c r="CPS18" s="88"/>
      <c r="CPT18" s="90"/>
      <c r="CPU18" s="93"/>
      <c r="CPV18" s="88"/>
      <c r="CPW18" s="88"/>
      <c r="CPX18" s="91"/>
      <c r="CPY18" s="93"/>
      <c r="CPZ18" s="93"/>
      <c r="CQA18" s="88"/>
      <c r="CQB18" s="88"/>
      <c r="CQC18" s="90"/>
      <c r="CQD18" s="93"/>
      <c r="CQE18" s="88"/>
      <c r="CQF18" s="88"/>
      <c r="CQG18" s="90"/>
      <c r="CQH18" s="93"/>
      <c r="CQI18" s="88"/>
      <c r="CQJ18" s="88"/>
      <c r="CQK18" s="91"/>
      <c r="CQL18" s="93"/>
      <c r="CQM18" s="93"/>
      <c r="CQN18" s="88"/>
      <c r="CQO18" s="88"/>
      <c r="CQP18" s="90"/>
      <c r="CQQ18" s="93"/>
      <c r="CQR18" s="88"/>
      <c r="CQS18" s="88"/>
      <c r="CQT18" s="90"/>
      <c r="CQU18" s="93"/>
      <c r="CQV18" s="88"/>
      <c r="CQW18" s="88"/>
      <c r="CQX18" s="91"/>
      <c r="CQY18" s="93"/>
      <c r="CQZ18" s="93"/>
      <c r="CRA18" s="88"/>
      <c r="CRB18" s="88"/>
      <c r="CRC18" s="90"/>
      <c r="CRD18" s="93"/>
      <c r="CRE18" s="88"/>
      <c r="CRF18" s="88"/>
      <c r="CRG18" s="90"/>
      <c r="CRH18" s="93"/>
      <c r="CRI18" s="88"/>
      <c r="CRJ18" s="88"/>
      <c r="CRK18" s="91"/>
      <c r="CRL18" s="93"/>
      <c r="CRM18" s="93"/>
      <c r="CRN18" s="88"/>
      <c r="CRO18" s="88"/>
      <c r="CRP18" s="90"/>
      <c r="CRQ18" s="93"/>
      <c r="CRR18" s="88"/>
      <c r="CRS18" s="88"/>
      <c r="CRT18" s="90"/>
      <c r="CRU18" s="93"/>
      <c r="CRV18" s="88"/>
      <c r="CRW18" s="88"/>
      <c r="CRX18" s="91"/>
      <c r="CRY18" s="93"/>
      <c r="CRZ18" s="93"/>
      <c r="CSA18" s="88"/>
      <c r="CSB18" s="88"/>
      <c r="CSC18" s="90"/>
      <c r="CSD18" s="93"/>
      <c r="CSE18" s="88"/>
      <c r="CSF18" s="88"/>
      <c r="CSG18" s="90"/>
      <c r="CSH18" s="93"/>
      <c r="CSI18" s="88"/>
      <c r="CSJ18" s="88"/>
      <c r="CSK18" s="91"/>
      <c r="CSL18" s="93"/>
      <c r="CSM18" s="93"/>
      <c r="CSN18" s="88"/>
      <c r="CSO18" s="88"/>
      <c r="CSP18" s="90"/>
      <c r="CSQ18" s="93"/>
      <c r="CSR18" s="88"/>
      <c r="CSS18" s="88"/>
      <c r="CST18" s="90"/>
      <c r="CSU18" s="93"/>
      <c r="CSV18" s="88"/>
      <c r="CSW18" s="88"/>
      <c r="CSX18" s="91"/>
      <c r="CSY18" s="93"/>
      <c r="CSZ18" s="93"/>
      <c r="CTA18" s="88"/>
      <c r="CTB18" s="88"/>
      <c r="CTC18" s="90"/>
      <c r="CTD18" s="93"/>
      <c r="CTE18" s="88"/>
      <c r="CTF18" s="88"/>
      <c r="CTG18" s="90"/>
      <c r="CTH18" s="93"/>
      <c r="CTI18" s="88"/>
      <c r="CTJ18" s="88"/>
      <c r="CTK18" s="91"/>
      <c r="CTL18" s="93"/>
      <c r="CTM18" s="93"/>
      <c r="CTN18" s="88"/>
      <c r="CTO18" s="88"/>
      <c r="CTP18" s="90"/>
      <c r="CTQ18" s="93"/>
      <c r="CTR18" s="88"/>
      <c r="CTS18" s="88"/>
      <c r="CTT18" s="90"/>
      <c r="CTU18" s="93"/>
      <c r="CTV18" s="88"/>
      <c r="CTW18" s="88"/>
      <c r="CTX18" s="91"/>
      <c r="CTY18" s="93"/>
      <c r="CTZ18" s="93"/>
      <c r="CUA18" s="88"/>
      <c r="CUB18" s="88"/>
      <c r="CUC18" s="90"/>
      <c r="CUD18" s="93"/>
      <c r="CUE18" s="88"/>
      <c r="CUF18" s="88"/>
      <c r="CUG18" s="90"/>
      <c r="CUH18" s="93"/>
      <c r="CUI18" s="88"/>
      <c r="CUJ18" s="88"/>
      <c r="CUK18" s="91"/>
      <c r="CUL18" s="93"/>
      <c r="CUM18" s="93"/>
      <c r="CUN18" s="88"/>
      <c r="CUO18" s="88"/>
      <c r="CUP18" s="90"/>
      <c r="CUQ18" s="93"/>
      <c r="CUR18" s="88"/>
      <c r="CUS18" s="88"/>
      <c r="CUT18" s="90"/>
      <c r="CUU18" s="93"/>
      <c r="CUV18" s="88"/>
      <c r="CUW18" s="88"/>
      <c r="CUX18" s="91"/>
      <c r="CUY18" s="93"/>
      <c r="CUZ18" s="93"/>
      <c r="CVA18" s="88"/>
      <c r="CVB18" s="88"/>
      <c r="CVC18" s="90"/>
      <c r="CVD18" s="93"/>
      <c r="CVE18" s="88"/>
      <c r="CVF18" s="88"/>
      <c r="CVG18" s="90"/>
      <c r="CVH18" s="93"/>
      <c r="CVI18" s="88"/>
      <c r="CVJ18" s="88"/>
      <c r="CVK18" s="91"/>
      <c r="CVL18" s="93"/>
      <c r="CVM18" s="93"/>
      <c r="CVN18" s="88"/>
      <c r="CVO18" s="88"/>
      <c r="CVP18" s="90"/>
      <c r="CVQ18" s="93"/>
      <c r="CVR18" s="88"/>
      <c r="CVS18" s="88"/>
      <c r="CVT18" s="90"/>
      <c r="CVU18" s="93"/>
      <c r="CVV18" s="88"/>
      <c r="CVW18" s="88"/>
      <c r="CVX18" s="91"/>
      <c r="CVY18" s="93"/>
      <c r="CVZ18" s="93"/>
      <c r="CWA18" s="88"/>
      <c r="CWB18" s="88"/>
      <c r="CWC18" s="90"/>
      <c r="CWD18" s="93"/>
      <c r="CWE18" s="88"/>
      <c r="CWF18" s="88"/>
      <c r="CWG18" s="90"/>
      <c r="CWH18" s="93"/>
      <c r="CWI18" s="88"/>
      <c r="CWJ18" s="88"/>
      <c r="CWK18" s="91"/>
      <c r="CWL18" s="93"/>
      <c r="CWM18" s="93"/>
      <c r="CWN18" s="88"/>
      <c r="CWO18" s="88"/>
      <c r="CWP18" s="90"/>
      <c r="CWQ18" s="93"/>
      <c r="CWR18" s="88"/>
      <c r="CWS18" s="88"/>
      <c r="CWT18" s="90"/>
      <c r="CWU18" s="93"/>
      <c r="CWV18" s="88"/>
      <c r="CWW18" s="88"/>
      <c r="CWX18" s="91"/>
      <c r="CWY18" s="93"/>
      <c r="CWZ18" s="93"/>
      <c r="CXA18" s="88"/>
      <c r="CXB18" s="88"/>
      <c r="CXC18" s="90"/>
      <c r="CXD18" s="93"/>
      <c r="CXE18" s="88"/>
      <c r="CXF18" s="88"/>
      <c r="CXG18" s="90"/>
      <c r="CXH18" s="93"/>
      <c r="CXI18" s="88"/>
      <c r="CXJ18" s="88"/>
      <c r="CXK18" s="91"/>
      <c r="CXL18" s="93"/>
      <c r="CXM18" s="93"/>
      <c r="CXN18" s="88"/>
      <c r="CXO18" s="88"/>
      <c r="CXP18" s="90"/>
      <c r="CXQ18" s="93"/>
      <c r="CXR18" s="88"/>
      <c r="CXS18" s="88"/>
      <c r="CXT18" s="90"/>
      <c r="CXU18" s="93"/>
      <c r="CXV18" s="88"/>
      <c r="CXW18" s="88"/>
      <c r="CXX18" s="91"/>
      <c r="CXY18" s="93"/>
      <c r="CXZ18" s="93"/>
      <c r="CYA18" s="88"/>
      <c r="CYB18" s="88"/>
      <c r="CYC18" s="90"/>
      <c r="CYD18" s="93"/>
      <c r="CYE18" s="88"/>
      <c r="CYF18" s="88"/>
      <c r="CYG18" s="90"/>
      <c r="CYH18" s="93"/>
      <c r="CYI18" s="88"/>
      <c r="CYJ18" s="88"/>
      <c r="CYK18" s="91"/>
      <c r="CYL18" s="93"/>
      <c r="CYM18" s="93"/>
      <c r="CYN18" s="88"/>
      <c r="CYO18" s="88"/>
      <c r="CYP18" s="90"/>
      <c r="CYQ18" s="93"/>
      <c r="CYR18" s="88"/>
      <c r="CYS18" s="88"/>
      <c r="CYT18" s="90"/>
      <c r="CYU18" s="93"/>
      <c r="CYV18" s="88"/>
      <c r="CYW18" s="88"/>
      <c r="CYX18" s="91"/>
      <c r="CYY18" s="93"/>
      <c r="CYZ18" s="93"/>
      <c r="CZA18" s="88"/>
      <c r="CZB18" s="88"/>
      <c r="CZC18" s="90"/>
      <c r="CZD18" s="93"/>
      <c r="CZE18" s="88"/>
      <c r="CZF18" s="88"/>
      <c r="CZG18" s="90"/>
      <c r="CZH18" s="93"/>
      <c r="CZI18" s="88"/>
      <c r="CZJ18" s="88"/>
      <c r="CZK18" s="91"/>
      <c r="CZL18" s="93"/>
      <c r="CZM18" s="93"/>
      <c r="CZN18" s="88"/>
      <c r="CZO18" s="88"/>
      <c r="CZP18" s="90"/>
      <c r="CZQ18" s="93"/>
      <c r="CZR18" s="88"/>
      <c r="CZS18" s="88"/>
      <c r="CZT18" s="90"/>
      <c r="CZU18" s="93"/>
      <c r="CZV18" s="88"/>
      <c r="CZW18" s="88"/>
      <c r="CZX18" s="91"/>
      <c r="CZY18" s="93"/>
      <c r="CZZ18" s="93"/>
      <c r="DAA18" s="88"/>
      <c r="DAB18" s="88"/>
      <c r="DAC18" s="90"/>
      <c r="DAD18" s="93"/>
      <c r="DAE18" s="88"/>
      <c r="DAF18" s="88"/>
      <c r="DAG18" s="90"/>
      <c r="DAH18" s="93"/>
      <c r="DAI18" s="88"/>
      <c r="DAJ18" s="88"/>
      <c r="DAK18" s="91"/>
      <c r="DAL18" s="93"/>
      <c r="DAM18" s="93"/>
      <c r="DAN18" s="88"/>
      <c r="DAO18" s="88"/>
      <c r="DAP18" s="90"/>
      <c r="DAQ18" s="93"/>
      <c r="DAR18" s="88"/>
      <c r="DAS18" s="88"/>
      <c r="DAT18" s="90"/>
      <c r="DAU18" s="93"/>
      <c r="DAV18" s="88"/>
      <c r="DAW18" s="88"/>
      <c r="DAX18" s="91"/>
      <c r="DAY18" s="93"/>
      <c r="DAZ18" s="93"/>
      <c r="DBA18" s="88"/>
      <c r="DBB18" s="88"/>
      <c r="DBC18" s="90"/>
      <c r="DBD18" s="93"/>
      <c r="DBE18" s="88"/>
      <c r="DBF18" s="88"/>
      <c r="DBG18" s="90"/>
      <c r="DBH18" s="93"/>
      <c r="DBI18" s="88"/>
      <c r="DBJ18" s="88"/>
      <c r="DBK18" s="91"/>
      <c r="DBL18" s="93"/>
      <c r="DBM18" s="93"/>
      <c r="DBN18" s="88"/>
      <c r="DBO18" s="88"/>
      <c r="DBP18" s="90"/>
      <c r="DBQ18" s="93"/>
      <c r="DBR18" s="88"/>
      <c r="DBS18" s="88"/>
      <c r="DBT18" s="90"/>
      <c r="DBU18" s="93"/>
      <c r="DBV18" s="88"/>
      <c r="DBW18" s="88"/>
      <c r="DBX18" s="91"/>
      <c r="DBY18" s="93"/>
      <c r="DBZ18" s="93"/>
      <c r="DCA18" s="88"/>
      <c r="DCB18" s="88"/>
      <c r="DCC18" s="90"/>
      <c r="DCD18" s="93"/>
      <c r="DCE18" s="88"/>
      <c r="DCF18" s="88"/>
      <c r="DCG18" s="90"/>
      <c r="DCH18" s="93"/>
      <c r="DCI18" s="88"/>
      <c r="DCJ18" s="88"/>
      <c r="DCK18" s="91"/>
      <c r="DCL18" s="93"/>
      <c r="DCM18" s="93"/>
      <c r="DCN18" s="88"/>
      <c r="DCO18" s="88"/>
      <c r="DCP18" s="90"/>
      <c r="DCQ18" s="93"/>
      <c r="DCR18" s="88"/>
      <c r="DCS18" s="88"/>
      <c r="DCT18" s="90"/>
      <c r="DCU18" s="93"/>
      <c r="DCV18" s="88"/>
      <c r="DCW18" s="88"/>
      <c r="DCX18" s="91"/>
      <c r="DCY18" s="93"/>
      <c r="DCZ18" s="93"/>
      <c r="DDA18" s="88"/>
      <c r="DDB18" s="88"/>
      <c r="DDC18" s="90"/>
      <c r="DDD18" s="93"/>
      <c r="DDE18" s="88"/>
      <c r="DDF18" s="88"/>
      <c r="DDG18" s="90"/>
      <c r="DDH18" s="93"/>
      <c r="DDI18" s="88"/>
      <c r="DDJ18" s="88"/>
      <c r="DDK18" s="91"/>
      <c r="DDL18" s="93"/>
      <c r="DDM18" s="93"/>
      <c r="DDN18" s="88"/>
      <c r="DDO18" s="88"/>
      <c r="DDP18" s="90"/>
      <c r="DDQ18" s="93"/>
      <c r="DDR18" s="88"/>
      <c r="DDS18" s="88"/>
      <c r="DDT18" s="90"/>
      <c r="DDU18" s="93"/>
      <c r="DDV18" s="88"/>
      <c r="DDW18" s="88"/>
      <c r="DDX18" s="91"/>
      <c r="DDY18" s="93"/>
      <c r="DDZ18" s="93"/>
      <c r="DEA18" s="88"/>
      <c r="DEB18" s="88"/>
      <c r="DEC18" s="90"/>
      <c r="DED18" s="93"/>
      <c r="DEE18" s="88"/>
      <c r="DEF18" s="88"/>
      <c r="DEG18" s="90"/>
      <c r="DEH18" s="93"/>
      <c r="DEI18" s="88"/>
      <c r="DEJ18" s="88"/>
      <c r="DEK18" s="91"/>
      <c r="DEL18" s="93"/>
      <c r="DEM18" s="93"/>
      <c r="DEN18" s="88"/>
      <c r="DEO18" s="88"/>
      <c r="DEP18" s="90"/>
      <c r="DEQ18" s="93"/>
      <c r="DER18" s="88"/>
      <c r="DES18" s="88"/>
      <c r="DET18" s="90"/>
      <c r="DEU18" s="93"/>
      <c r="DEV18" s="88"/>
      <c r="DEW18" s="88"/>
      <c r="DEX18" s="91"/>
      <c r="DEY18" s="93"/>
      <c r="DEZ18" s="93"/>
      <c r="DFA18" s="88"/>
      <c r="DFB18" s="88"/>
      <c r="DFC18" s="90"/>
      <c r="DFD18" s="93"/>
      <c r="DFE18" s="88"/>
      <c r="DFF18" s="88"/>
      <c r="DFG18" s="90"/>
      <c r="DFH18" s="93"/>
      <c r="DFI18" s="88"/>
      <c r="DFJ18" s="88"/>
      <c r="DFK18" s="91"/>
      <c r="DFL18" s="93"/>
      <c r="DFM18" s="93"/>
      <c r="DFN18" s="88"/>
      <c r="DFO18" s="88"/>
      <c r="DFP18" s="90"/>
      <c r="DFQ18" s="93"/>
      <c r="DFR18" s="88"/>
      <c r="DFS18" s="88"/>
      <c r="DFT18" s="90"/>
      <c r="DFU18" s="93"/>
      <c r="DFV18" s="88"/>
      <c r="DFW18" s="88"/>
      <c r="DFX18" s="91"/>
      <c r="DFY18" s="93"/>
      <c r="DFZ18" s="93"/>
      <c r="DGA18" s="88"/>
      <c r="DGB18" s="88"/>
      <c r="DGC18" s="90"/>
      <c r="DGD18" s="93"/>
      <c r="DGE18" s="88"/>
      <c r="DGF18" s="88"/>
      <c r="DGG18" s="90"/>
      <c r="DGH18" s="93"/>
      <c r="DGI18" s="88"/>
      <c r="DGJ18" s="88"/>
      <c r="DGK18" s="91"/>
      <c r="DGL18" s="93"/>
      <c r="DGM18" s="93"/>
      <c r="DGN18" s="88"/>
      <c r="DGO18" s="88"/>
      <c r="DGP18" s="90"/>
      <c r="DGQ18" s="93"/>
      <c r="DGR18" s="88"/>
      <c r="DGS18" s="88"/>
      <c r="DGT18" s="90"/>
      <c r="DGU18" s="93"/>
      <c r="DGV18" s="88"/>
      <c r="DGW18" s="88"/>
      <c r="DGX18" s="91"/>
      <c r="DGY18" s="93"/>
      <c r="DGZ18" s="93"/>
      <c r="DHA18" s="88"/>
      <c r="DHB18" s="88"/>
      <c r="DHC18" s="90"/>
      <c r="DHD18" s="93"/>
      <c r="DHE18" s="88"/>
      <c r="DHF18" s="88"/>
      <c r="DHG18" s="90"/>
      <c r="DHH18" s="93"/>
      <c r="DHI18" s="88"/>
      <c r="DHJ18" s="88"/>
      <c r="DHK18" s="91"/>
      <c r="DHL18" s="93"/>
      <c r="DHM18" s="93"/>
      <c r="DHN18" s="88"/>
      <c r="DHO18" s="88"/>
      <c r="DHP18" s="90"/>
      <c r="DHQ18" s="93"/>
      <c r="DHR18" s="88"/>
      <c r="DHS18" s="88"/>
      <c r="DHT18" s="90"/>
      <c r="DHU18" s="93"/>
      <c r="DHV18" s="88"/>
      <c r="DHW18" s="88"/>
      <c r="DHX18" s="91"/>
      <c r="DHY18" s="93"/>
      <c r="DHZ18" s="93"/>
      <c r="DIA18" s="88"/>
      <c r="DIB18" s="88"/>
      <c r="DIC18" s="90"/>
      <c r="DID18" s="93"/>
      <c r="DIE18" s="88"/>
      <c r="DIF18" s="88"/>
      <c r="DIG18" s="90"/>
      <c r="DIH18" s="93"/>
      <c r="DII18" s="88"/>
      <c r="DIJ18" s="88"/>
      <c r="DIK18" s="91"/>
      <c r="DIL18" s="93"/>
      <c r="DIM18" s="93"/>
      <c r="DIN18" s="88"/>
      <c r="DIO18" s="88"/>
      <c r="DIP18" s="90"/>
      <c r="DIQ18" s="93"/>
      <c r="DIR18" s="88"/>
      <c r="DIS18" s="88"/>
      <c r="DIT18" s="90"/>
      <c r="DIU18" s="93"/>
      <c r="DIV18" s="88"/>
      <c r="DIW18" s="88"/>
      <c r="DIX18" s="91"/>
      <c r="DIY18" s="93"/>
      <c r="DIZ18" s="93"/>
      <c r="DJA18" s="88"/>
      <c r="DJB18" s="88"/>
      <c r="DJC18" s="90"/>
      <c r="DJD18" s="93"/>
      <c r="DJE18" s="88"/>
      <c r="DJF18" s="88"/>
      <c r="DJG18" s="90"/>
      <c r="DJH18" s="93"/>
      <c r="DJI18" s="88"/>
      <c r="DJJ18" s="88"/>
      <c r="DJK18" s="91"/>
      <c r="DJL18" s="93"/>
      <c r="DJM18" s="93"/>
      <c r="DJN18" s="88"/>
      <c r="DJO18" s="88"/>
      <c r="DJP18" s="90"/>
      <c r="DJQ18" s="93"/>
      <c r="DJR18" s="88"/>
      <c r="DJS18" s="88"/>
      <c r="DJT18" s="90"/>
      <c r="DJU18" s="93"/>
      <c r="DJV18" s="88"/>
      <c r="DJW18" s="88"/>
      <c r="DJX18" s="91"/>
      <c r="DJY18" s="93"/>
      <c r="DJZ18" s="93"/>
      <c r="DKA18" s="88"/>
      <c r="DKB18" s="88"/>
      <c r="DKC18" s="90"/>
      <c r="DKD18" s="93"/>
      <c r="DKE18" s="88"/>
      <c r="DKF18" s="88"/>
      <c r="DKG18" s="90"/>
      <c r="DKH18" s="93"/>
      <c r="DKI18" s="88"/>
      <c r="DKJ18" s="88"/>
      <c r="DKK18" s="91"/>
      <c r="DKL18" s="93"/>
      <c r="DKM18" s="93"/>
      <c r="DKN18" s="88"/>
      <c r="DKO18" s="88"/>
      <c r="DKP18" s="90"/>
      <c r="DKQ18" s="93"/>
      <c r="DKR18" s="88"/>
      <c r="DKS18" s="88"/>
      <c r="DKT18" s="90"/>
      <c r="DKU18" s="93"/>
      <c r="DKV18" s="88"/>
      <c r="DKW18" s="88"/>
      <c r="DKX18" s="91"/>
      <c r="DKY18" s="93"/>
      <c r="DKZ18" s="93"/>
      <c r="DLA18" s="88"/>
      <c r="DLB18" s="88"/>
      <c r="DLC18" s="90"/>
      <c r="DLD18" s="93"/>
      <c r="DLE18" s="88"/>
      <c r="DLF18" s="88"/>
      <c r="DLG18" s="90"/>
      <c r="DLH18" s="93"/>
      <c r="DLI18" s="88"/>
      <c r="DLJ18" s="88"/>
      <c r="DLK18" s="91"/>
      <c r="DLL18" s="93"/>
      <c r="DLM18" s="93"/>
      <c r="DLN18" s="88"/>
      <c r="DLO18" s="88"/>
      <c r="DLP18" s="90"/>
      <c r="DLQ18" s="93"/>
      <c r="DLR18" s="88"/>
      <c r="DLS18" s="88"/>
      <c r="DLT18" s="90"/>
      <c r="DLU18" s="93"/>
      <c r="DLV18" s="88"/>
      <c r="DLW18" s="88"/>
      <c r="DLX18" s="91"/>
      <c r="DLY18" s="93"/>
      <c r="DLZ18" s="93"/>
      <c r="DMA18" s="88"/>
      <c r="DMB18" s="88"/>
      <c r="DMC18" s="90"/>
      <c r="DMD18" s="93"/>
      <c r="DME18" s="88"/>
      <c r="DMF18" s="88"/>
      <c r="DMG18" s="90"/>
      <c r="DMH18" s="93"/>
      <c r="DMI18" s="88"/>
      <c r="DMJ18" s="88"/>
      <c r="DMK18" s="91"/>
      <c r="DML18" s="93"/>
      <c r="DMM18" s="93"/>
      <c r="DMN18" s="88"/>
      <c r="DMO18" s="88"/>
      <c r="DMP18" s="90"/>
      <c r="DMQ18" s="93"/>
      <c r="DMR18" s="88"/>
      <c r="DMS18" s="88"/>
      <c r="DMT18" s="90"/>
      <c r="DMU18" s="93"/>
      <c r="DMV18" s="88"/>
      <c r="DMW18" s="88"/>
      <c r="DMX18" s="91"/>
      <c r="DMY18" s="93"/>
      <c r="DMZ18" s="93"/>
      <c r="DNA18" s="88"/>
      <c r="DNB18" s="88"/>
      <c r="DNC18" s="90"/>
      <c r="DND18" s="93"/>
      <c r="DNE18" s="88"/>
      <c r="DNF18" s="88"/>
      <c r="DNG18" s="90"/>
      <c r="DNH18" s="93"/>
      <c r="DNI18" s="88"/>
      <c r="DNJ18" s="88"/>
      <c r="DNK18" s="91"/>
      <c r="DNL18" s="93"/>
      <c r="DNM18" s="93"/>
      <c r="DNN18" s="88"/>
      <c r="DNO18" s="88"/>
      <c r="DNP18" s="90"/>
      <c r="DNQ18" s="93"/>
      <c r="DNR18" s="88"/>
      <c r="DNS18" s="88"/>
      <c r="DNT18" s="90"/>
      <c r="DNU18" s="93"/>
      <c r="DNV18" s="88"/>
      <c r="DNW18" s="88"/>
      <c r="DNX18" s="91"/>
      <c r="DNY18" s="93"/>
      <c r="DNZ18" s="93"/>
      <c r="DOA18" s="88"/>
      <c r="DOB18" s="88"/>
      <c r="DOC18" s="90"/>
      <c r="DOD18" s="93"/>
      <c r="DOE18" s="88"/>
      <c r="DOF18" s="88"/>
      <c r="DOG18" s="90"/>
      <c r="DOH18" s="93"/>
      <c r="DOI18" s="88"/>
      <c r="DOJ18" s="88"/>
      <c r="DOK18" s="91"/>
      <c r="DOL18" s="93"/>
      <c r="DOM18" s="93"/>
      <c r="DON18" s="88"/>
      <c r="DOO18" s="88"/>
      <c r="DOP18" s="90"/>
      <c r="DOQ18" s="93"/>
      <c r="DOR18" s="88"/>
      <c r="DOS18" s="88"/>
      <c r="DOT18" s="90"/>
      <c r="DOU18" s="93"/>
      <c r="DOV18" s="88"/>
      <c r="DOW18" s="88"/>
      <c r="DOX18" s="91"/>
      <c r="DOY18" s="93"/>
      <c r="DOZ18" s="93"/>
      <c r="DPA18" s="88"/>
      <c r="DPB18" s="88"/>
      <c r="DPC18" s="90"/>
      <c r="DPD18" s="93"/>
      <c r="DPE18" s="88"/>
      <c r="DPF18" s="88"/>
      <c r="DPG18" s="90"/>
      <c r="DPH18" s="93"/>
      <c r="DPI18" s="88"/>
      <c r="DPJ18" s="88"/>
      <c r="DPK18" s="91"/>
      <c r="DPL18" s="93"/>
      <c r="DPM18" s="93"/>
      <c r="DPN18" s="88"/>
      <c r="DPO18" s="88"/>
      <c r="DPP18" s="90"/>
      <c r="DPQ18" s="93"/>
      <c r="DPR18" s="88"/>
      <c r="DPS18" s="88"/>
      <c r="DPT18" s="90"/>
      <c r="DPU18" s="93"/>
      <c r="DPV18" s="88"/>
      <c r="DPW18" s="88"/>
      <c r="DPX18" s="91"/>
      <c r="DPY18" s="93"/>
      <c r="DPZ18" s="93"/>
      <c r="DQA18" s="88"/>
      <c r="DQB18" s="88"/>
      <c r="DQC18" s="90"/>
      <c r="DQD18" s="93"/>
      <c r="DQE18" s="88"/>
      <c r="DQF18" s="88"/>
      <c r="DQG18" s="90"/>
      <c r="DQH18" s="93"/>
      <c r="DQI18" s="88"/>
      <c r="DQJ18" s="88"/>
      <c r="DQK18" s="91"/>
      <c r="DQL18" s="93"/>
      <c r="DQM18" s="93"/>
      <c r="DQN18" s="88"/>
      <c r="DQO18" s="88"/>
      <c r="DQP18" s="90"/>
      <c r="DQQ18" s="93"/>
      <c r="DQR18" s="88"/>
      <c r="DQS18" s="88"/>
      <c r="DQT18" s="90"/>
      <c r="DQU18" s="93"/>
      <c r="DQV18" s="88"/>
      <c r="DQW18" s="88"/>
      <c r="DQX18" s="91"/>
      <c r="DQY18" s="93"/>
      <c r="DQZ18" s="93"/>
      <c r="DRA18" s="88"/>
      <c r="DRB18" s="88"/>
      <c r="DRC18" s="90"/>
      <c r="DRD18" s="93"/>
      <c r="DRE18" s="88"/>
      <c r="DRF18" s="88"/>
      <c r="DRG18" s="90"/>
      <c r="DRH18" s="93"/>
      <c r="DRI18" s="88"/>
      <c r="DRJ18" s="88"/>
      <c r="DRK18" s="91"/>
      <c r="DRL18" s="93"/>
      <c r="DRM18" s="93"/>
      <c r="DRN18" s="88"/>
      <c r="DRO18" s="88"/>
      <c r="DRP18" s="90"/>
      <c r="DRQ18" s="93"/>
      <c r="DRR18" s="88"/>
      <c r="DRS18" s="88"/>
      <c r="DRT18" s="90"/>
      <c r="DRU18" s="93"/>
      <c r="DRV18" s="88"/>
      <c r="DRW18" s="88"/>
      <c r="DRX18" s="91"/>
      <c r="DRY18" s="93"/>
      <c r="DRZ18" s="93"/>
      <c r="DSA18" s="88"/>
      <c r="DSB18" s="88"/>
      <c r="DSC18" s="90"/>
      <c r="DSD18" s="93"/>
      <c r="DSE18" s="88"/>
      <c r="DSF18" s="88"/>
      <c r="DSG18" s="90"/>
      <c r="DSH18" s="93"/>
      <c r="DSI18" s="88"/>
      <c r="DSJ18" s="88"/>
      <c r="DSK18" s="91"/>
      <c r="DSL18" s="93"/>
      <c r="DSM18" s="93"/>
      <c r="DSN18" s="88"/>
      <c r="DSO18" s="88"/>
      <c r="DSP18" s="90"/>
      <c r="DSQ18" s="93"/>
      <c r="DSR18" s="88"/>
      <c r="DSS18" s="88"/>
      <c r="DST18" s="90"/>
      <c r="DSU18" s="93"/>
      <c r="DSV18" s="88"/>
      <c r="DSW18" s="88"/>
      <c r="DSX18" s="91"/>
      <c r="DSY18" s="93"/>
      <c r="DSZ18" s="93"/>
      <c r="DTA18" s="88"/>
      <c r="DTB18" s="88"/>
      <c r="DTC18" s="90"/>
      <c r="DTD18" s="93"/>
      <c r="DTE18" s="88"/>
      <c r="DTF18" s="88"/>
      <c r="DTG18" s="90"/>
      <c r="DTH18" s="93"/>
      <c r="DTI18" s="88"/>
      <c r="DTJ18" s="88"/>
      <c r="DTK18" s="91"/>
      <c r="DTL18" s="93"/>
      <c r="DTM18" s="93"/>
      <c r="DTN18" s="88"/>
      <c r="DTO18" s="88"/>
      <c r="DTP18" s="90"/>
      <c r="DTQ18" s="93"/>
      <c r="DTR18" s="88"/>
      <c r="DTS18" s="88"/>
      <c r="DTT18" s="90"/>
      <c r="DTU18" s="93"/>
      <c r="DTV18" s="88"/>
      <c r="DTW18" s="88"/>
      <c r="DTX18" s="91"/>
      <c r="DTY18" s="93"/>
      <c r="DTZ18" s="93"/>
      <c r="DUA18" s="88"/>
      <c r="DUB18" s="88"/>
      <c r="DUC18" s="90"/>
      <c r="DUD18" s="93"/>
      <c r="DUE18" s="88"/>
      <c r="DUF18" s="88"/>
      <c r="DUG18" s="90"/>
      <c r="DUH18" s="93"/>
      <c r="DUI18" s="88"/>
      <c r="DUJ18" s="88"/>
      <c r="DUK18" s="91"/>
      <c r="DUL18" s="93"/>
      <c r="DUM18" s="93"/>
      <c r="DUN18" s="88"/>
      <c r="DUO18" s="88"/>
      <c r="DUP18" s="90"/>
      <c r="DUQ18" s="93"/>
      <c r="DUR18" s="88"/>
      <c r="DUS18" s="88"/>
      <c r="DUT18" s="90"/>
      <c r="DUU18" s="93"/>
      <c r="DUV18" s="88"/>
      <c r="DUW18" s="88"/>
      <c r="DUX18" s="91"/>
      <c r="DUY18" s="93"/>
      <c r="DUZ18" s="93"/>
      <c r="DVA18" s="88"/>
      <c r="DVB18" s="88"/>
      <c r="DVC18" s="90"/>
      <c r="DVD18" s="93"/>
      <c r="DVE18" s="88"/>
      <c r="DVF18" s="88"/>
      <c r="DVG18" s="90"/>
      <c r="DVH18" s="93"/>
      <c r="DVI18" s="88"/>
      <c r="DVJ18" s="88"/>
      <c r="DVK18" s="91"/>
      <c r="DVL18" s="93"/>
      <c r="DVM18" s="93"/>
      <c r="DVN18" s="88"/>
      <c r="DVO18" s="88"/>
      <c r="DVP18" s="90"/>
      <c r="DVQ18" s="93"/>
      <c r="DVR18" s="88"/>
      <c r="DVS18" s="88"/>
      <c r="DVT18" s="90"/>
      <c r="DVU18" s="93"/>
      <c r="DVV18" s="88"/>
      <c r="DVW18" s="88"/>
      <c r="DVX18" s="91"/>
      <c r="DVY18" s="93"/>
      <c r="DVZ18" s="93"/>
      <c r="DWA18" s="88"/>
      <c r="DWB18" s="88"/>
      <c r="DWC18" s="90"/>
      <c r="DWD18" s="93"/>
      <c r="DWE18" s="88"/>
      <c r="DWF18" s="88"/>
      <c r="DWG18" s="90"/>
      <c r="DWH18" s="93"/>
      <c r="DWI18" s="88"/>
      <c r="DWJ18" s="88"/>
      <c r="DWK18" s="91"/>
      <c r="DWL18" s="93"/>
      <c r="DWM18" s="93"/>
      <c r="DWN18" s="88"/>
      <c r="DWO18" s="88"/>
      <c r="DWP18" s="90"/>
      <c r="DWQ18" s="93"/>
      <c r="DWR18" s="88"/>
      <c r="DWS18" s="88"/>
      <c r="DWT18" s="90"/>
      <c r="DWU18" s="93"/>
      <c r="DWV18" s="88"/>
      <c r="DWW18" s="88"/>
      <c r="DWX18" s="91"/>
      <c r="DWY18" s="93"/>
      <c r="DWZ18" s="93"/>
      <c r="DXA18" s="88"/>
      <c r="DXB18" s="88"/>
      <c r="DXC18" s="90"/>
      <c r="DXD18" s="93"/>
      <c r="DXE18" s="88"/>
      <c r="DXF18" s="88"/>
      <c r="DXG18" s="90"/>
      <c r="DXH18" s="93"/>
      <c r="DXI18" s="88"/>
      <c r="DXJ18" s="88"/>
      <c r="DXK18" s="91"/>
      <c r="DXL18" s="93"/>
      <c r="DXM18" s="93"/>
      <c r="DXN18" s="88"/>
      <c r="DXO18" s="88"/>
      <c r="DXP18" s="90"/>
      <c r="DXQ18" s="93"/>
      <c r="DXR18" s="88"/>
      <c r="DXS18" s="88"/>
      <c r="DXT18" s="90"/>
      <c r="DXU18" s="93"/>
      <c r="DXV18" s="88"/>
      <c r="DXW18" s="88"/>
      <c r="DXX18" s="91"/>
      <c r="DXY18" s="93"/>
      <c r="DXZ18" s="93"/>
      <c r="DYA18" s="88"/>
      <c r="DYB18" s="88"/>
      <c r="DYC18" s="90"/>
      <c r="DYD18" s="93"/>
      <c r="DYE18" s="88"/>
      <c r="DYF18" s="88"/>
      <c r="DYG18" s="90"/>
      <c r="DYH18" s="93"/>
      <c r="DYI18" s="88"/>
      <c r="DYJ18" s="88"/>
      <c r="DYK18" s="91"/>
      <c r="DYL18" s="93"/>
      <c r="DYM18" s="93"/>
      <c r="DYN18" s="88"/>
      <c r="DYO18" s="88"/>
      <c r="DYP18" s="90"/>
      <c r="DYQ18" s="93"/>
      <c r="DYR18" s="88"/>
      <c r="DYS18" s="88"/>
      <c r="DYT18" s="90"/>
      <c r="DYU18" s="93"/>
      <c r="DYV18" s="88"/>
      <c r="DYW18" s="88"/>
      <c r="DYX18" s="91"/>
      <c r="DYY18" s="93"/>
      <c r="DYZ18" s="93"/>
      <c r="DZA18" s="88"/>
      <c r="DZB18" s="88"/>
      <c r="DZC18" s="90"/>
      <c r="DZD18" s="93"/>
      <c r="DZE18" s="88"/>
      <c r="DZF18" s="88"/>
      <c r="DZG18" s="90"/>
      <c r="DZH18" s="93"/>
      <c r="DZI18" s="88"/>
      <c r="DZJ18" s="88"/>
      <c r="DZK18" s="91"/>
      <c r="DZL18" s="93"/>
      <c r="DZM18" s="93"/>
      <c r="DZN18" s="88"/>
      <c r="DZO18" s="88"/>
      <c r="DZP18" s="90"/>
      <c r="DZQ18" s="93"/>
      <c r="DZR18" s="88"/>
      <c r="DZS18" s="88"/>
      <c r="DZT18" s="90"/>
      <c r="DZU18" s="93"/>
      <c r="DZV18" s="88"/>
      <c r="DZW18" s="88"/>
      <c r="DZX18" s="91"/>
      <c r="DZY18" s="93"/>
      <c r="DZZ18" s="93"/>
      <c r="EAA18" s="88"/>
      <c r="EAB18" s="88"/>
      <c r="EAC18" s="90"/>
      <c r="EAD18" s="93"/>
      <c r="EAE18" s="88"/>
      <c r="EAF18" s="88"/>
      <c r="EAG18" s="90"/>
      <c r="EAH18" s="93"/>
      <c r="EAI18" s="88"/>
      <c r="EAJ18" s="88"/>
      <c r="EAK18" s="91"/>
      <c r="EAL18" s="93"/>
      <c r="EAM18" s="93"/>
      <c r="EAN18" s="88"/>
      <c r="EAO18" s="88"/>
      <c r="EAP18" s="90"/>
      <c r="EAQ18" s="93"/>
      <c r="EAR18" s="88"/>
      <c r="EAS18" s="88"/>
      <c r="EAT18" s="90"/>
      <c r="EAU18" s="93"/>
      <c r="EAV18" s="88"/>
      <c r="EAW18" s="88"/>
      <c r="EAX18" s="91"/>
      <c r="EAY18" s="93"/>
      <c r="EAZ18" s="93"/>
      <c r="EBA18" s="88"/>
      <c r="EBB18" s="88"/>
      <c r="EBC18" s="90"/>
      <c r="EBD18" s="93"/>
      <c r="EBE18" s="88"/>
      <c r="EBF18" s="88"/>
      <c r="EBG18" s="90"/>
      <c r="EBH18" s="93"/>
      <c r="EBI18" s="88"/>
      <c r="EBJ18" s="88"/>
      <c r="EBK18" s="91"/>
      <c r="EBL18" s="93"/>
      <c r="EBM18" s="93"/>
      <c r="EBN18" s="88"/>
      <c r="EBO18" s="88"/>
      <c r="EBP18" s="90"/>
      <c r="EBQ18" s="93"/>
      <c r="EBR18" s="88"/>
      <c r="EBS18" s="88"/>
      <c r="EBT18" s="90"/>
      <c r="EBU18" s="93"/>
      <c r="EBV18" s="88"/>
      <c r="EBW18" s="88"/>
      <c r="EBX18" s="91"/>
      <c r="EBY18" s="93"/>
      <c r="EBZ18" s="93"/>
      <c r="ECA18" s="88"/>
      <c r="ECB18" s="88"/>
      <c r="ECC18" s="90"/>
      <c r="ECD18" s="93"/>
      <c r="ECE18" s="88"/>
      <c r="ECF18" s="88"/>
      <c r="ECG18" s="90"/>
      <c r="ECH18" s="93"/>
      <c r="ECI18" s="88"/>
      <c r="ECJ18" s="88"/>
      <c r="ECK18" s="91"/>
      <c r="ECL18" s="93"/>
      <c r="ECM18" s="93"/>
      <c r="ECN18" s="88"/>
      <c r="ECO18" s="88"/>
      <c r="ECP18" s="90"/>
      <c r="ECQ18" s="93"/>
      <c r="ECR18" s="88"/>
      <c r="ECS18" s="88"/>
      <c r="ECT18" s="90"/>
      <c r="ECU18" s="93"/>
      <c r="ECV18" s="88"/>
      <c r="ECW18" s="88"/>
      <c r="ECX18" s="91"/>
      <c r="ECY18" s="93"/>
      <c r="ECZ18" s="93"/>
      <c r="EDA18" s="88"/>
      <c r="EDB18" s="88"/>
      <c r="EDC18" s="90"/>
      <c r="EDD18" s="93"/>
      <c r="EDE18" s="88"/>
      <c r="EDF18" s="88"/>
      <c r="EDG18" s="90"/>
      <c r="EDH18" s="93"/>
      <c r="EDI18" s="88"/>
      <c r="EDJ18" s="88"/>
      <c r="EDK18" s="91"/>
      <c r="EDL18" s="93"/>
      <c r="EDM18" s="93"/>
      <c r="EDN18" s="88"/>
      <c r="EDO18" s="88"/>
      <c r="EDP18" s="90"/>
      <c r="EDQ18" s="93"/>
      <c r="EDR18" s="88"/>
      <c r="EDS18" s="88"/>
      <c r="EDT18" s="90"/>
      <c r="EDU18" s="93"/>
      <c r="EDV18" s="88"/>
      <c r="EDW18" s="88"/>
      <c r="EDX18" s="91"/>
      <c r="EDY18" s="93"/>
      <c r="EDZ18" s="93"/>
      <c r="EEA18" s="88"/>
      <c r="EEB18" s="88"/>
      <c r="EEC18" s="90"/>
      <c r="EED18" s="93"/>
      <c r="EEE18" s="88"/>
      <c r="EEF18" s="88"/>
      <c r="EEG18" s="90"/>
      <c r="EEH18" s="93"/>
      <c r="EEI18" s="88"/>
      <c r="EEJ18" s="88"/>
      <c r="EEK18" s="91"/>
      <c r="EEL18" s="93"/>
      <c r="EEM18" s="93"/>
      <c r="EEN18" s="88"/>
      <c r="EEO18" s="88"/>
      <c r="EEP18" s="90"/>
      <c r="EEQ18" s="93"/>
      <c r="EER18" s="88"/>
      <c r="EES18" s="88"/>
      <c r="EET18" s="90"/>
      <c r="EEU18" s="93"/>
      <c r="EEV18" s="88"/>
      <c r="EEW18" s="88"/>
      <c r="EEX18" s="91"/>
      <c r="EEY18" s="93"/>
      <c r="EEZ18" s="93"/>
      <c r="EFA18" s="88"/>
      <c r="EFB18" s="88"/>
      <c r="EFC18" s="90"/>
      <c r="EFD18" s="93"/>
      <c r="EFE18" s="88"/>
      <c r="EFF18" s="88"/>
      <c r="EFG18" s="90"/>
      <c r="EFH18" s="93"/>
      <c r="EFI18" s="88"/>
      <c r="EFJ18" s="88"/>
      <c r="EFK18" s="91"/>
      <c r="EFL18" s="93"/>
      <c r="EFM18" s="93"/>
      <c r="EFN18" s="88"/>
      <c r="EFO18" s="88"/>
      <c r="EFP18" s="90"/>
      <c r="EFQ18" s="93"/>
      <c r="EFR18" s="88"/>
      <c r="EFS18" s="88"/>
      <c r="EFT18" s="90"/>
      <c r="EFU18" s="93"/>
      <c r="EFV18" s="88"/>
      <c r="EFW18" s="88"/>
      <c r="EFX18" s="91"/>
      <c r="EFY18" s="93"/>
      <c r="EFZ18" s="93"/>
      <c r="EGA18" s="88"/>
      <c r="EGB18" s="88"/>
      <c r="EGC18" s="90"/>
      <c r="EGD18" s="93"/>
      <c r="EGE18" s="88"/>
      <c r="EGF18" s="88"/>
      <c r="EGG18" s="90"/>
      <c r="EGH18" s="93"/>
      <c r="EGI18" s="88"/>
      <c r="EGJ18" s="88"/>
      <c r="EGK18" s="91"/>
      <c r="EGL18" s="93"/>
      <c r="EGM18" s="93"/>
      <c r="EGN18" s="88"/>
      <c r="EGO18" s="88"/>
      <c r="EGP18" s="90"/>
      <c r="EGQ18" s="93"/>
      <c r="EGR18" s="88"/>
      <c r="EGS18" s="88"/>
      <c r="EGT18" s="90"/>
      <c r="EGU18" s="93"/>
      <c r="EGV18" s="88"/>
      <c r="EGW18" s="88"/>
      <c r="EGX18" s="91"/>
      <c r="EGY18" s="93"/>
      <c r="EGZ18" s="93"/>
      <c r="EHA18" s="88"/>
      <c r="EHB18" s="88"/>
      <c r="EHC18" s="90"/>
      <c r="EHD18" s="93"/>
      <c r="EHE18" s="88"/>
      <c r="EHF18" s="88"/>
      <c r="EHG18" s="90"/>
      <c r="EHH18" s="93"/>
      <c r="EHI18" s="88"/>
      <c r="EHJ18" s="88"/>
      <c r="EHK18" s="91"/>
      <c r="EHL18" s="93"/>
      <c r="EHM18" s="93"/>
      <c r="EHN18" s="88"/>
      <c r="EHO18" s="88"/>
      <c r="EHP18" s="90"/>
      <c r="EHQ18" s="93"/>
      <c r="EHR18" s="88"/>
      <c r="EHS18" s="88"/>
      <c r="EHT18" s="90"/>
      <c r="EHU18" s="93"/>
      <c r="EHV18" s="88"/>
      <c r="EHW18" s="88"/>
      <c r="EHX18" s="91"/>
      <c r="EHY18" s="93"/>
      <c r="EHZ18" s="93"/>
      <c r="EIA18" s="88"/>
      <c r="EIB18" s="88"/>
      <c r="EIC18" s="90"/>
      <c r="EID18" s="93"/>
      <c r="EIE18" s="88"/>
      <c r="EIF18" s="88"/>
      <c r="EIG18" s="90"/>
      <c r="EIH18" s="93"/>
      <c r="EII18" s="88"/>
      <c r="EIJ18" s="88"/>
      <c r="EIK18" s="91"/>
      <c r="EIL18" s="93"/>
      <c r="EIM18" s="93"/>
      <c r="EIN18" s="88"/>
      <c r="EIO18" s="88"/>
      <c r="EIP18" s="90"/>
      <c r="EIQ18" s="93"/>
      <c r="EIR18" s="88"/>
      <c r="EIS18" s="88"/>
      <c r="EIT18" s="90"/>
      <c r="EIU18" s="93"/>
      <c r="EIV18" s="88"/>
      <c r="EIW18" s="88"/>
      <c r="EIX18" s="91"/>
      <c r="EIY18" s="93"/>
      <c r="EIZ18" s="93"/>
      <c r="EJA18" s="88"/>
      <c r="EJB18" s="88"/>
      <c r="EJC18" s="90"/>
      <c r="EJD18" s="93"/>
      <c r="EJE18" s="88"/>
      <c r="EJF18" s="88"/>
      <c r="EJG18" s="90"/>
      <c r="EJH18" s="93"/>
      <c r="EJI18" s="88"/>
      <c r="EJJ18" s="88"/>
      <c r="EJK18" s="91"/>
      <c r="EJL18" s="93"/>
      <c r="EJM18" s="93"/>
      <c r="EJN18" s="88"/>
      <c r="EJO18" s="88"/>
      <c r="EJP18" s="90"/>
      <c r="EJQ18" s="93"/>
      <c r="EJR18" s="88"/>
      <c r="EJS18" s="88"/>
      <c r="EJT18" s="90"/>
      <c r="EJU18" s="93"/>
      <c r="EJV18" s="88"/>
      <c r="EJW18" s="88"/>
      <c r="EJX18" s="91"/>
      <c r="EJY18" s="93"/>
      <c r="EJZ18" s="93"/>
      <c r="EKA18" s="88"/>
      <c r="EKB18" s="88"/>
      <c r="EKC18" s="90"/>
      <c r="EKD18" s="93"/>
      <c r="EKE18" s="88"/>
      <c r="EKF18" s="88"/>
      <c r="EKG18" s="90"/>
      <c r="EKH18" s="93"/>
      <c r="EKI18" s="88"/>
      <c r="EKJ18" s="88"/>
      <c r="EKK18" s="91"/>
      <c r="EKL18" s="93"/>
      <c r="EKM18" s="93"/>
      <c r="EKN18" s="88"/>
      <c r="EKO18" s="88"/>
      <c r="EKP18" s="90"/>
      <c r="EKQ18" s="93"/>
      <c r="EKR18" s="88"/>
      <c r="EKS18" s="88"/>
      <c r="EKT18" s="90"/>
      <c r="EKU18" s="93"/>
      <c r="EKV18" s="88"/>
      <c r="EKW18" s="88"/>
      <c r="EKX18" s="91"/>
      <c r="EKY18" s="93"/>
      <c r="EKZ18" s="93"/>
      <c r="ELA18" s="88"/>
      <c r="ELB18" s="88"/>
      <c r="ELC18" s="90"/>
      <c r="ELD18" s="93"/>
      <c r="ELE18" s="88"/>
      <c r="ELF18" s="88"/>
      <c r="ELG18" s="90"/>
      <c r="ELH18" s="93"/>
      <c r="ELI18" s="88"/>
      <c r="ELJ18" s="88"/>
      <c r="ELK18" s="91"/>
      <c r="ELL18" s="93"/>
      <c r="ELM18" s="93"/>
      <c r="ELN18" s="88"/>
      <c r="ELO18" s="88"/>
      <c r="ELP18" s="90"/>
      <c r="ELQ18" s="93"/>
      <c r="ELR18" s="88"/>
      <c r="ELS18" s="88"/>
      <c r="ELT18" s="90"/>
      <c r="ELU18" s="93"/>
      <c r="ELV18" s="88"/>
      <c r="ELW18" s="88"/>
      <c r="ELX18" s="91"/>
      <c r="ELY18" s="93"/>
      <c r="ELZ18" s="93"/>
      <c r="EMA18" s="88"/>
      <c r="EMB18" s="88"/>
      <c r="EMC18" s="90"/>
      <c r="EMD18" s="93"/>
      <c r="EME18" s="88"/>
      <c r="EMF18" s="88"/>
      <c r="EMG18" s="90"/>
      <c r="EMH18" s="93"/>
      <c r="EMI18" s="88"/>
      <c r="EMJ18" s="88"/>
      <c r="EMK18" s="91"/>
      <c r="EML18" s="93"/>
      <c r="EMM18" s="93"/>
      <c r="EMN18" s="88"/>
      <c r="EMO18" s="88"/>
      <c r="EMP18" s="90"/>
      <c r="EMQ18" s="93"/>
      <c r="EMR18" s="88"/>
      <c r="EMS18" s="88"/>
      <c r="EMT18" s="90"/>
      <c r="EMU18" s="93"/>
      <c r="EMV18" s="88"/>
      <c r="EMW18" s="88"/>
      <c r="EMX18" s="91"/>
      <c r="EMY18" s="93"/>
      <c r="EMZ18" s="93"/>
      <c r="ENA18" s="88"/>
      <c r="ENB18" s="88"/>
      <c r="ENC18" s="90"/>
      <c r="END18" s="93"/>
      <c r="ENE18" s="88"/>
      <c r="ENF18" s="88"/>
      <c r="ENG18" s="90"/>
      <c r="ENH18" s="93"/>
      <c r="ENI18" s="88"/>
      <c r="ENJ18" s="88"/>
      <c r="ENK18" s="91"/>
      <c r="ENL18" s="93"/>
      <c r="ENM18" s="93"/>
      <c r="ENN18" s="88"/>
      <c r="ENO18" s="88"/>
      <c r="ENP18" s="90"/>
      <c r="ENQ18" s="93"/>
      <c r="ENR18" s="88"/>
      <c r="ENS18" s="88"/>
      <c r="ENT18" s="90"/>
      <c r="ENU18" s="93"/>
      <c r="ENV18" s="88"/>
      <c r="ENW18" s="88"/>
      <c r="ENX18" s="91"/>
      <c r="ENY18" s="93"/>
      <c r="ENZ18" s="93"/>
      <c r="EOA18" s="88"/>
      <c r="EOB18" s="88"/>
      <c r="EOC18" s="90"/>
      <c r="EOD18" s="93"/>
      <c r="EOE18" s="88"/>
      <c r="EOF18" s="88"/>
      <c r="EOG18" s="90"/>
      <c r="EOH18" s="93"/>
      <c r="EOI18" s="88"/>
      <c r="EOJ18" s="88"/>
      <c r="EOK18" s="91"/>
      <c r="EOL18" s="93"/>
      <c r="EOM18" s="93"/>
      <c r="EON18" s="88"/>
      <c r="EOO18" s="88"/>
      <c r="EOP18" s="90"/>
      <c r="EOQ18" s="93"/>
      <c r="EOR18" s="88"/>
      <c r="EOS18" s="88"/>
      <c r="EOT18" s="90"/>
      <c r="EOU18" s="93"/>
      <c r="EOV18" s="88"/>
      <c r="EOW18" s="88"/>
      <c r="EOX18" s="91"/>
      <c r="EOY18" s="93"/>
      <c r="EOZ18" s="93"/>
      <c r="EPA18" s="88"/>
      <c r="EPB18" s="88"/>
      <c r="EPC18" s="90"/>
      <c r="EPD18" s="93"/>
      <c r="EPE18" s="88"/>
      <c r="EPF18" s="88"/>
      <c r="EPG18" s="90"/>
      <c r="EPH18" s="93"/>
      <c r="EPI18" s="88"/>
      <c r="EPJ18" s="88"/>
      <c r="EPK18" s="91"/>
      <c r="EPL18" s="93"/>
      <c r="EPM18" s="93"/>
      <c r="EPN18" s="88"/>
      <c r="EPO18" s="88"/>
      <c r="EPP18" s="90"/>
      <c r="EPQ18" s="93"/>
      <c r="EPR18" s="88"/>
      <c r="EPS18" s="88"/>
      <c r="EPT18" s="90"/>
      <c r="EPU18" s="93"/>
      <c r="EPV18" s="88"/>
      <c r="EPW18" s="88"/>
      <c r="EPX18" s="91"/>
      <c r="EPY18" s="93"/>
      <c r="EPZ18" s="93"/>
      <c r="EQA18" s="88"/>
      <c r="EQB18" s="88"/>
      <c r="EQC18" s="90"/>
      <c r="EQD18" s="93"/>
      <c r="EQE18" s="88"/>
      <c r="EQF18" s="88"/>
      <c r="EQG18" s="90"/>
      <c r="EQH18" s="93"/>
      <c r="EQI18" s="88"/>
      <c r="EQJ18" s="88"/>
      <c r="EQK18" s="91"/>
      <c r="EQL18" s="93"/>
      <c r="EQM18" s="93"/>
      <c r="EQN18" s="88"/>
      <c r="EQO18" s="88"/>
      <c r="EQP18" s="90"/>
      <c r="EQQ18" s="93"/>
      <c r="EQR18" s="88"/>
      <c r="EQS18" s="88"/>
      <c r="EQT18" s="90"/>
      <c r="EQU18" s="93"/>
      <c r="EQV18" s="88"/>
      <c r="EQW18" s="88"/>
      <c r="EQX18" s="91"/>
      <c r="EQY18" s="93"/>
      <c r="EQZ18" s="93"/>
      <c r="ERA18" s="88"/>
      <c r="ERB18" s="88"/>
      <c r="ERC18" s="90"/>
      <c r="ERD18" s="93"/>
      <c r="ERE18" s="88"/>
      <c r="ERF18" s="88"/>
      <c r="ERG18" s="90"/>
      <c r="ERH18" s="93"/>
      <c r="ERI18" s="88"/>
      <c r="ERJ18" s="88"/>
      <c r="ERK18" s="91"/>
      <c r="ERL18" s="93"/>
      <c r="ERM18" s="93"/>
      <c r="ERN18" s="88"/>
      <c r="ERO18" s="88"/>
      <c r="ERP18" s="90"/>
      <c r="ERQ18" s="93"/>
      <c r="ERR18" s="88"/>
      <c r="ERS18" s="88"/>
      <c r="ERT18" s="90"/>
      <c r="ERU18" s="93"/>
      <c r="ERV18" s="88"/>
      <c r="ERW18" s="88"/>
      <c r="ERX18" s="91"/>
      <c r="ERY18" s="93"/>
      <c r="ERZ18" s="93"/>
      <c r="ESA18" s="88"/>
      <c r="ESB18" s="88"/>
      <c r="ESC18" s="90"/>
      <c r="ESD18" s="93"/>
      <c r="ESE18" s="88"/>
      <c r="ESF18" s="88"/>
      <c r="ESG18" s="90"/>
      <c r="ESH18" s="93"/>
      <c r="ESI18" s="88"/>
      <c r="ESJ18" s="88"/>
      <c r="ESK18" s="91"/>
      <c r="ESL18" s="93"/>
      <c r="ESM18" s="93"/>
      <c r="ESN18" s="88"/>
      <c r="ESO18" s="88"/>
      <c r="ESP18" s="90"/>
      <c r="ESQ18" s="93"/>
      <c r="ESR18" s="88"/>
      <c r="ESS18" s="88"/>
      <c r="EST18" s="90"/>
      <c r="ESU18" s="93"/>
      <c r="ESV18" s="88"/>
      <c r="ESW18" s="88"/>
      <c r="ESX18" s="91"/>
      <c r="ESY18" s="93"/>
      <c r="ESZ18" s="93"/>
      <c r="ETA18" s="88"/>
      <c r="ETB18" s="88"/>
      <c r="ETC18" s="90"/>
      <c r="ETD18" s="93"/>
      <c r="ETE18" s="88"/>
      <c r="ETF18" s="88"/>
      <c r="ETG18" s="90"/>
      <c r="ETH18" s="93"/>
      <c r="ETI18" s="88"/>
      <c r="ETJ18" s="88"/>
      <c r="ETK18" s="91"/>
      <c r="ETL18" s="93"/>
      <c r="ETM18" s="93"/>
      <c r="ETN18" s="88"/>
      <c r="ETO18" s="88"/>
      <c r="ETP18" s="90"/>
      <c r="ETQ18" s="93"/>
      <c r="ETR18" s="88"/>
      <c r="ETS18" s="88"/>
      <c r="ETT18" s="90"/>
      <c r="ETU18" s="93"/>
      <c r="ETV18" s="88"/>
      <c r="ETW18" s="88"/>
      <c r="ETX18" s="91"/>
      <c r="ETY18" s="93"/>
      <c r="ETZ18" s="93"/>
      <c r="EUA18" s="88"/>
      <c r="EUB18" s="88"/>
      <c r="EUC18" s="90"/>
      <c r="EUD18" s="93"/>
      <c r="EUE18" s="88"/>
      <c r="EUF18" s="88"/>
      <c r="EUG18" s="90"/>
      <c r="EUH18" s="93"/>
      <c r="EUI18" s="88"/>
      <c r="EUJ18" s="88"/>
      <c r="EUK18" s="91"/>
      <c r="EUL18" s="93"/>
      <c r="EUM18" s="93"/>
      <c r="EUN18" s="88"/>
      <c r="EUO18" s="88"/>
      <c r="EUP18" s="90"/>
      <c r="EUQ18" s="93"/>
      <c r="EUR18" s="88"/>
      <c r="EUS18" s="88"/>
      <c r="EUT18" s="90"/>
      <c r="EUU18" s="93"/>
      <c r="EUV18" s="88"/>
      <c r="EUW18" s="88"/>
      <c r="EUX18" s="91"/>
      <c r="EUY18" s="93"/>
      <c r="EUZ18" s="93"/>
      <c r="EVA18" s="88"/>
      <c r="EVB18" s="88"/>
      <c r="EVC18" s="90"/>
      <c r="EVD18" s="93"/>
      <c r="EVE18" s="88"/>
      <c r="EVF18" s="88"/>
      <c r="EVG18" s="90"/>
      <c r="EVH18" s="93"/>
      <c r="EVI18" s="88"/>
      <c r="EVJ18" s="88"/>
      <c r="EVK18" s="91"/>
      <c r="EVL18" s="93"/>
      <c r="EVM18" s="93"/>
      <c r="EVN18" s="88"/>
      <c r="EVO18" s="88"/>
      <c r="EVP18" s="90"/>
      <c r="EVQ18" s="93"/>
      <c r="EVR18" s="88"/>
      <c r="EVS18" s="88"/>
      <c r="EVT18" s="90"/>
      <c r="EVU18" s="93"/>
      <c r="EVV18" s="88"/>
      <c r="EVW18" s="88"/>
      <c r="EVX18" s="91"/>
      <c r="EVY18" s="93"/>
      <c r="EVZ18" s="93"/>
      <c r="EWA18" s="88"/>
      <c r="EWB18" s="88"/>
      <c r="EWC18" s="90"/>
      <c r="EWD18" s="93"/>
      <c r="EWE18" s="88"/>
      <c r="EWF18" s="88"/>
      <c r="EWG18" s="90"/>
      <c r="EWH18" s="93"/>
      <c r="EWI18" s="88"/>
      <c r="EWJ18" s="88"/>
      <c r="EWK18" s="91"/>
      <c r="EWL18" s="93"/>
      <c r="EWM18" s="93"/>
      <c r="EWN18" s="88"/>
      <c r="EWO18" s="88"/>
      <c r="EWP18" s="90"/>
      <c r="EWQ18" s="93"/>
      <c r="EWR18" s="88"/>
      <c r="EWS18" s="88"/>
      <c r="EWT18" s="90"/>
      <c r="EWU18" s="93"/>
      <c r="EWV18" s="88"/>
      <c r="EWW18" s="88"/>
      <c r="EWX18" s="91"/>
      <c r="EWY18" s="93"/>
      <c r="EWZ18" s="93"/>
      <c r="EXA18" s="88"/>
      <c r="EXB18" s="88"/>
      <c r="EXC18" s="90"/>
      <c r="EXD18" s="93"/>
      <c r="EXE18" s="88"/>
      <c r="EXF18" s="88"/>
      <c r="EXG18" s="90"/>
      <c r="EXH18" s="93"/>
      <c r="EXI18" s="88"/>
      <c r="EXJ18" s="88"/>
      <c r="EXK18" s="91"/>
      <c r="EXL18" s="93"/>
      <c r="EXM18" s="93"/>
      <c r="EXN18" s="88"/>
      <c r="EXO18" s="88"/>
      <c r="EXP18" s="90"/>
      <c r="EXQ18" s="93"/>
      <c r="EXR18" s="88"/>
      <c r="EXS18" s="88"/>
      <c r="EXT18" s="90"/>
      <c r="EXU18" s="93"/>
      <c r="EXV18" s="88"/>
      <c r="EXW18" s="88"/>
      <c r="EXX18" s="91"/>
      <c r="EXY18" s="93"/>
      <c r="EXZ18" s="93"/>
      <c r="EYA18" s="88"/>
      <c r="EYB18" s="88"/>
      <c r="EYC18" s="90"/>
      <c r="EYD18" s="93"/>
      <c r="EYE18" s="88"/>
      <c r="EYF18" s="88"/>
      <c r="EYG18" s="90"/>
      <c r="EYH18" s="93"/>
      <c r="EYI18" s="88"/>
      <c r="EYJ18" s="88"/>
      <c r="EYK18" s="91"/>
      <c r="EYL18" s="93"/>
      <c r="EYM18" s="93"/>
      <c r="EYN18" s="88"/>
      <c r="EYO18" s="88"/>
      <c r="EYP18" s="90"/>
      <c r="EYQ18" s="93"/>
      <c r="EYR18" s="88"/>
      <c r="EYS18" s="88"/>
      <c r="EYT18" s="90"/>
      <c r="EYU18" s="93"/>
      <c r="EYV18" s="88"/>
      <c r="EYW18" s="88"/>
      <c r="EYX18" s="91"/>
      <c r="EYY18" s="93"/>
      <c r="EYZ18" s="93"/>
      <c r="EZA18" s="88"/>
      <c r="EZB18" s="88"/>
      <c r="EZC18" s="90"/>
      <c r="EZD18" s="93"/>
      <c r="EZE18" s="88"/>
      <c r="EZF18" s="88"/>
      <c r="EZG18" s="90"/>
      <c r="EZH18" s="93"/>
      <c r="EZI18" s="88"/>
      <c r="EZJ18" s="88"/>
      <c r="EZK18" s="91"/>
      <c r="EZL18" s="93"/>
      <c r="EZM18" s="93"/>
      <c r="EZN18" s="88"/>
      <c r="EZO18" s="88"/>
      <c r="EZP18" s="90"/>
      <c r="EZQ18" s="93"/>
      <c r="EZR18" s="88"/>
      <c r="EZS18" s="88"/>
      <c r="EZT18" s="90"/>
      <c r="EZU18" s="93"/>
      <c r="EZV18" s="88"/>
      <c r="EZW18" s="88"/>
      <c r="EZX18" s="91"/>
      <c r="EZY18" s="93"/>
      <c r="EZZ18" s="93"/>
      <c r="FAA18" s="88"/>
      <c r="FAB18" s="88"/>
      <c r="FAC18" s="90"/>
      <c r="FAD18" s="93"/>
      <c r="FAE18" s="88"/>
      <c r="FAF18" s="88"/>
      <c r="FAG18" s="90"/>
      <c r="FAH18" s="93"/>
      <c r="FAI18" s="88"/>
      <c r="FAJ18" s="88"/>
      <c r="FAK18" s="91"/>
      <c r="FAL18" s="93"/>
      <c r="FAM18" s="93"/>
      <c r="FAN18" s="88"/>
      <c r="FAO18" s="88"/>
      <c r="FAP18" s="90"/>
      <c r="FAQ18" s="93"/>
      <c r="FAR18" s="88"/>
      <c r="FAS18" s="88"/>
      <c r="FAT18" s="90"/>
      <c r="FAU18" s="93"/>
      <c r="FAV18" s="88"/>
      <c r="FAW18" s="88"/>
      <c r="FAX18" s="91"/>
      <c r="FAY18" s="93"/>
      <c r="FAZ18" s="93"/>
      <c r="FBA18" s="88"/>
      <c r="FBB18" s="88"/>
      <c r="FBC18" s="90"/>
      <c r="FBD18" s="93"/>
      <c r="FBE18" s="88"/>
      <c r="FBF18" s="88"/>
      <c r="FBG18" s="90"/>
      <c r="FBH18" s="93"/>
      <c r="FBI18" s="88"/>
      <c r="FBJ18" s="88"/>
      <c r="FBK18" s="91"/>
      <c r="FBL18" s="93"/>
      <c r="FBM18" s="93"/>
      <c r="FBN18" s="88"/>
      <c r="FBO18" s="88"/>
      <c r="FBP18" s="90"/>
      <c r="FBQ18" s="93"/>
      <c r="FBR18" s="88"/>
      <c r="FBS18" s="88"/>
      <c r="FBT18" s="90"/>
      <c r="FBU18" s="93"/>
      <c r="FBV18" s="88"/>
      <c r="FBW18" s="88"/>
      <c r="FBX18" s="91"/>
      <c r="FBY18" s="93"/>
      <c r="FBZ18" s="93"/>
      <c r="FCA18" s="88"/>
      <c r="FCB18" s="88"/>
      <c r="FCC18" s="90"/>
      <c r="FCD18" s="93"/>
      <c r="FCE18" s="88"/>
      <c r="FCF18" s="88"/>
      <c r="FCG18" s="90"/>
      <c r="FCH18" s="93"/>
      <c r="FCI18" s="88"/>
      <c r="FCJ18" s="88"/>
      <c r="FCK18" s="91"/>
      <c r="FCL18" s="93"/>
      <c r="FCM18" s="93"/>
      <c r="FCN18" s="88"/>
      <c r="FCO18" s="88"/>
      <c r="FCP18" s="90"/>
      <c r="FCQ18" s="93"/>
      <c r="FCR18" s="88"/>
      <c r="FCS18" s="88"/>
      <c r="FCT18" s="90"/>
      <c r="FCU18" s="93"/>
      <c r="FCV18" s="88"/>
      <c r="FCW18" s="88"/>
      <c r="FCX18" s="91"/>
      <c r="FCY18" s="93"/>
      <c r="FCZ18" s="93"/>
      <c r="FDA18" s="88"/>
      <c r="FDB18" s="88"/>
      <c r="FDC18" s="90"/>
      <c r="FDD18" s="93"/>
      <c r="FDE18" s="88"/>
      <c r="FDF18" s="88"/>
      <c r="FDG18" s="90"/>
      <c r="FDH18" s="93"/>
      <c r="FDI18" s="88"/>
      <c r="FDJ18" s="88"/>
      <c r="FDK18" s="91"/>
      <c r="FDL18" s="93"/>
      <c r="FDM18" s="93"/>
      <c r="FDN18" s="88"/>
      <c r="FDO18" s="88"/>
      <c r="FDP18" s="90"/>
      <c r="FDQ18" s="93"/>
      <c r="FDR18" s="88"/>
      <c r="FDS18" s="88"/>
      <c r="FDT18" s="90"/>
      <c r="FDU18" s="93"/>
      <c r="FDV18" s="88"/>
      <c r="FDW18" s="88"/>
      <c r="FDX18" s="91"/>
      <c r="FDY18" s="93"/>
      <c r="FDZ18" s="93"/>
      <c r="FEA18" s="88"/>
      <c r="FEB18" s="88"/>
      <c r="FEC18" s="90"/>
      <c r="FED18" s="93"/>
      <c r="FEE18" s="88"/>
      <c r="FEF18" s="88"/>
      <c r="FEG18" s="90"/>
      <c r="FEH18" s="93"/>
      <c r="FEI18" s="88"/>
      <c r="FEJ18" s="88"/>
      <c r="FEK18" s="91"/>
      <c r="FEL18" s="93"/>
      <c r="FEM18" s="93"/>
      <c r="FEN18" s="88"/>
      <c r="FEO18" s="88"/>
      <c r="FEP18" s="90"/>
      <c r="FEQ18" s="93"/>
      <c r="FER18" s="88"/>
      <c r="FES18" s="88"/>
      <c r="FET18" s="90"/>
      <c r="FEU18" s="93"/>
      <c r="FEV18" s="88"/>
      <c r="FEW18" s="88"/>
      <c r="FEX18" s="91"/>
      <c r="FEY18" s="93"/>
      <c r="FEZ18" s="93"/>
      <c r="FFA18" s="88"/>
      <c r="FFB18" s="88"/>
      <c r="FFC18" s="90"/>
      <c r="FFD18" s="93"/>
      <c r="FFE18" s="88"/>
      <c r="FFF18" s="88"/>
      <c r="FFG18" s="90"/>
      <c r="FFH18" s="93"/>
      <c r="FFI18" s="88"/>
      <c r="FFJ18" s="88"/>
      <c r="FFK18" s="91"/>
      <c r="FFL18" s="93"/>
      <c r="FFM18" s="93"/>
      <c r="FFN18" s="88"/>
      <c r="FFO18" s="88"/>
      <c r="FFP18" s="90"/>
      <c r="FFQ18" s="93"/>
      <c r="FFR18" s="88"/>
      <c r="FFS18" s="88"/>
      <c r="FFT18" s="90"/>
      <c r="FFU18" s="93"/>
      <c r="FFV18" s="88"/>
      <c r="FFW18" s="88"/>
      <c r="FFX18" s="91"/>
      <c r="FFY18" s="93"/>
      <c r="FFZ18" s="93"/>
      <c r="FGA18" s="88"/>
      <c r="FGB18" s="88"/>
      <c r="FGC18" s="90"/>
      <c r="FGD18" s="93"/>
      <c r="FGE18" s="88"/>
      <c r="FGF18" s="88"/>
      <c r="FGG18" s="90"/>
      <c r="FGH18" s="93"/>
      <c r="FGI18" s="88"/>
      <c r="FGJ18" s="88"/>
      <c r="FGK18" s="91"/>
      <c r="FGL18" s="93"/>
      <c r="FGM18" s="93"/>
      <c r="FGN18" s="88"/>
      <c r="FGO18" s="88"/>
      <c r="FGP18" s="90"/>
      <c r="FGQ18" s="93"/>
      <c r="FGR18" s="88"/>
      <c r="FGS18" s="88"/>
      <c r="FGT18" s="90"/>
      <c r="FGU18" s="93"/>
      <c r="FGV18" s="88"/>
      <c r="FGW18" s="88"/>
      <c r="FGX18" s="91"/>
      <c r="FGY18" s="93"/>
      <c r="FGZ18" s="93"/>
      <c r="FHA18" s="88"/>
      <c r="FHB18" s="88"/>
      <c r="FHC18" s="90"/>
      <c r="FHD18" s="93"/>
      <c r="FHE18" s="88"/>
      <c r="FHF18" s="88"/>
      <c r="FHG18" s="90"/>
      <c r="FHH18" s="93"/>
      <c r="FHI18" s="88"/>
      <c r="FHJ18" s="88"/>
      <c r="FHK18" s="91"/>
      <c r="FHL18" s="93"/>
      <c r="FHM18" s="93"/>
      <c r="FHN18" s="88"/>
      <c r="FHO18" s="88"/>
      <c r="FHP18" s="90"/>
      <c r="FHQ18" s="93"/>
      <c r="FHR18" s="88"/>
      <c r="FHS18" s="88"/>
      <c r="FHT18" s="90"/>
      <c r="FHU18" s="93"/>
      <c r="FHV18" s="88"/>
      <c r="FHW18" s="88"/>
      <c r="FHX18" s="91"/>
      <c r="FHY18" s="93"/>
      <c r="FHZ18" s="93"/>
      <c r="FIA18" s="88"/>
      <c r="FIB18" s="88"/>
      <c r="FIC18" s="90"/>
      <c r="FID18" s="93"/>
      <c r="FIE18" s="88"/>
      <c r="FIF18" s="88"/>
      <c r="FIG18" s="90"/>
      <c r="FIH18" s="93"/>
      <c r="FII18" s="88"/>
      <c r="FIJ18" s="88"/>
      <c r="FIK18" s="91"/>
      <c r="FIL18" s="93"/>
      <c r="FIM18" s="93"/>
      <c r="FIN18" s="88"/>
      <c r="FIO18" s="88"/>
      <c r="FIP18" s="90"/>
      <c r="FIQ18" s="93"/>
      <c r="FIR18" s="88"/>
      <c r="FIS18" s="88"/>
      <c r="FIT18" s="90"/>
      <c r="FIU18" s="93"/>
      <c r="FIV18" s="88"/>
      <c r="FIW18" s="88"/>
      <c r="FIX18" s="91"/>
      <c r="FIY18" s="93"/>
      <c r="FIZ18" s="93"/>
      <c r="FJA18" s="88"/>
      <c r="FJB18" s="88"/>
      <c r="FJC18" s="90"/>
      <c r="FJD18" s="93"/>
      <c r="FJE18" s="88"/>
      <c r="FJF18" s="88"/>
      <c r="FJG18" s="90"/>
      <c r="FJH18" s="93"/>
      <c r="FJI18" s="88"/>
      <c r="FJJ18" s="88"/>
      <c r="FJK18" s="91"/>
      <c r="FJL18" s="93"/>
      <c r="FJM18" s="93"/>
      <c r="FJN18" s="88"/>
      <c r="FJO18" s="88"/>
      <c r="FJP18" s="90"/>
      <c r="FJQ18" s="93"/>
      <c r="FJR18" s="88"/>
      <c r="FJS18" s="88"/>
      <c r="FJT18" s="90"/>
      <c r="FJU18" s="93"/>
      <c r="FJV18" s="88"/>
      <c r="FJW18" s="88"/>
      <c r="FJX18" s="91"/>
      <c r="FJY18" s="93"/>
      <c r="FJZ18" s="93"/>
      <c r="FKA18" s="88"/>
      <c r="FKB18" s="88"/>
      <c r="FKC18" s="90"/>
      <c r="FKD18" s="93"/>
      <c r="FKE18" s="88"/>
      <c r="FKF18" s="88"/>
      <c r="FKG18" s="90"/>
      <c r="FKH18" s="93"/>
      <c r="FKI18" s="88"/>
      <c r="FKJ18" s="88"/>
      <c r="FKK18" s="91"/>
      <c r="FKL18" s="93"/>
      <c r="FKM18" s="93"/>
      <c r="FKN18" s="88"/>
      <c r="FKO18" s="88"/>
      <c r="FKP18" s="90"/>
      <c r="FKQ18" s="93"/>
      <c r="FKR18" s="88"/>
      <c r="FKS18" s="88"/>
      <c r="FKT18" s="90"/>
      <c r="FKU18" s="93"/>
      <c r="FKV18" s="88"/>
      <c r="FKW18" s="88"/>
      <c r="FKX18" s="91"/>
      <c r="FKY18" s="93"/>
      <c r="FKZ18" s="93"/>
      <c r="FLA18" s="88"/>
      <c r="FLB18" s="88"/>
      <c r="FLC18" s="90"/>
      <c r="FLD18" s="93"/>
      <c r="FLE18" s="88"/>
      <c r="FLF18" s="88"/>
      <c r="FLG18" s="90"/>
      <c r="FLH18" s="93"/>
      <c r="FLI18" s="88"/>
      <c r="FLJ18" s="88"/>
      <c r="FLK18" s="91"/>
      <c r="FLL18" s="93"/>
      <c r="FLM18" s="93"/>
      <c r="FLN18" s="88"/>
      <c r="FLO18" s="88"/>
      <c r="FLP18" s="90"/>
      <c r="FLQ18" s="93"/>
      <c r="FLR18" s="88"/>
      <c r="FLS18" s="88"/>
      <c r="FLT18" s="90"/>
      <c r="FLU18" s="93"/>
      <c r="FLV18" s="88"/>
      <c r="FLW18" s="88"/>
      <c r="FLX18" s="91"/>
      <c r="FLY18" s="93"/>
      <c r="FLZ18" s="93"/>
      <c r="FMA18" s="88"/>
      <c r="FMB18" s="88"/>
      <c r="FMC18" s="90"/>
      <c r="FMD18" s="93"/>
      <c r="FME18" s="88"/>
      <c r="FMF18" s="88"/>
      <c r="FMG18" s="90"/>
      <c r="FMH18" s="93"/>
      <c r="FMI18" s="88"/>
      <c r="FMJ18" s="88"/>
      <c r="FMK18" s="91"/>
      <c r="FML18" s="93"/>
      <c r="FMM18" s="93"/>
      <c r="FMN18" s="88"/>
      <c r="FMO18" s="88"/>
      <c r="FMP18" s="90"/>
      <c r="FMQ18" s="93"/>
      <c r="FMR18" s="88"/>
      <c r="FMS18" s="88"/>
      <c r="FMT18" s="90"/>
      <c r="FMU18" s="93"/>
      <c r="FMV18" s="88"/>
      <c r="FMW18" s="88"/>
      <c r="FMX18" s="91"/>
      <c r="FMY18" s="93"/>
      <c r="FMZ18" s="93"/>
      <c r="FNA18" s="88"/>
      <c r="FNB18" s="88"/>
      <c r="FNC18" s="90"/>
      <c r="FND18" s="93"/>
      <c r="FNE18" s="88"/>
      <c r="FNF18" s="88"/>
      <c r="FNG18" s="90"/>
      <c r="FNH18" s="93"/>
      <c r="FNI18" s="88"/>
      <c r="FNJ18" s="88"/>
      <c r="FNK18" s="91"/>
      <c r="FNL18" s="93"/>
      <c r="FNM18" s="93"/>
      <c r="FNN18" s="88"/>
      <c r="FNO18" s="88"/>
      <c r="FNP18" s="90"/>
      <c r="FNQ18" s="93"/>
      <c r="FNR18" s="88"/>
      <c r="FNS18" s="88"/>
      <c r="FNT18" s="90"/>
      <c r="FNU18" s="93"/>
      <c r="FNV18" s="88"/>
      <c r="FNW18" s="88"/>
      <c r="FNX18" s="91"/>
      <c r="FNY18" s="93"/>
      <c r="FNZ18" s="93"/>
      <c r="FOA18" s="88"/>
      <c r="FOB18" s="88"/>
      <c r="FOC18" s="90"/>
      <c r="FOD18" s="93"/>
      <c r="FOE18" s="88"/>
      <c r="FOF18" s="88"/>
      <c r="FOG18" s="90"/>
      <c r="FOH18" s="93"/>
      <c r="FOI18" s="88"/>
      <c r="FOJ18" s="88"/>
      <c r="FOK18" s="91"/>
      <c r="FOL18" s="93"/>
      <c r="FOM18" s="93"/>
      <c r="FON18" s="88"/>
      <c r="FOO18" s="88"/>
      <c r="FOP18" s="90"/>
      <c r="FOQ18" s="93"/>
      <c r="FOR18" s="88"/>
      <c r="FOS18" s="88"/>
      <c r="FOT18" s="90"/>
      <c r="FOU18" s="93"/>
      <c r="FOV18" s="88"/>
      <c r="FOW18" s="88"/>
      <c r="FOX18" s="91"/>
      <c r="FOY18" s="93"/>
      <c r="FOZ18" s="93"/>
      <c r="FPA18" s="88"/>
      <c r="FPB18" s="88"/>
      <c r="FPC18" s="90"/>
      <c r="FPD18" s="93"/>
      <c r="FPE18" s="88"/>
      <c r="FPF18" s="88"/>
      <c r="FPG18" s="90"/>
      <c r="FPH18" s="93"/>
      <c r="FPI18" s="88"/>
      <c r="FPJ18" s="88"/>
      <c r="FPK18" s="91"/>
      <c r="FPL18" s="93"/>
      <c r="FPM18" s="93"/>
      <c r="FPN18" s="88"/>
      <c r="FPO18" s="88"/>
      <c r="FPP18" s="90"/>
      <c r="FPQ18" s="93"/>
      <c r="FPR18" s="88"/>
      <c r="FPS18" s="88"/>
      <c r="FPT18" s="90"/>
      <c r="FPU18" s="93"/>
      <c r="FPV18" s="88"/>
      <c r="FPW18" s="88"/>
      <c r="FPX18" s="91"/>
      <c r="FPY18" s="93"/>
      <c r="FPZ18" s="93"/>
      <c r="FQA18" s="88"/>
      <c r="FQB18" s="88"/>
      <c r="FQC18" s="90"/>
      <c r="FQD18" s="93"/>
      <c r="FQE18" s="88"/>
      <c r="FQF18" s="88"/>
      <c r="FQG18" s="90"/>
      <c r="FQH18" s="93"/>
      <c r="FQI18" s="88"/>
      <c r="FQJ18" s="88"/>
      <c r="FQK18" s="91"/>
      <c r="FQL18" s="93"/>
      <c r="FQM18" s="93"/>
      <c r="FQN18" s="88"/>
      <c r="FQO18" s="88"/>
      <c r="FQP18" s="90"/>
      <c r="FQQ18" s="93"/>
      <c r="FQR18" s="88"/>
      <c r="FQS18" s="88"/>
      <c r="FQT18" s="90"/>
      <c r="FQU18" s="93"/>
      <c r="FQV18" s="88"/>
      <c r="FQW18" s="88"/>
      <c r="FQX18" s="91"/>
      <c r="FQY18" s="93"/>
      <c r="FQZ18" s="93"/>
      <c r="FRA18" s="88"/>
      <c r="FRB18" s="88"/>
      <c r="FRC18" s="90"/>
      <c r="FRD18" s="93"/>
      <c r="FRE18" s="88"/>
      <c r="FRF18" s="88"/>
      <c r="FRG18" s="90"/>
      <c r="FRH18" s="93"/>
      <c r="FRI18" s="88"/>
      <c r="FRJ18" s="88"/>
      <c r="FRK18" s="91"/>
      <c r="FRL18" s="93"/>
      <c r="FRM18" s="93"/>
      <c r="FRN18" s="88"/>
      <c r="FRO18" s="88"/>
      <c r="FRP18" s="90"/>
      <c r="FRQ18" s="93"/>
      <c r="FRR18" s="88"/>
      <c r="FRS18" s="88"/>
      <c r="FRT18" s="90"/>
      <c r="FRU18" s="93"/>
      <c r="FRV18" s="88"/>
      <c r="FRW18" s="88"/>
      <c r="FRX18" s="91"/>
      <c r="FRY18" s="93"/>
      <c r="FRZ18" s="93"/>
      <c r="FSA18" s="88"/>
      <c r="FSB18" s="88"/>
      <c r="FSC18" s="90"/>
      <c r="FSD18" s="93"/>
      <c r="FSE18" s="88"/>
      <c r="FSF18" s="88"/>
      <c r="FSG18" s="90"/>
      <c r="FSH18" s="93"/>
      <c r="FSI18" s="88"/>
      <c r="FSJ18" s="88"/>
      <c r="FSK18" s="91"/>
      <c r="FSL18" s="93"/>
      <c r="FSM18" s="93"/>
      <c r="FSN18" s="88"/>
      <c r="FSO18" s="88"/>
      <c r="FSP18" s="90"/>
      <c r="FSQ18" s="93"/>
      <c r="FSR18" s="88"/>
      <c r="FSS18" s="88"/>
      <c r="FST18" s="90"/>
      <c r="FSU18" s="93"/>
      <c r="FSV18" s="88"/>
      <c r="FSW18" s="88"/>
      <c r="FSX18" s="91"/>
      <c r="FSY18" s="93"/>
      <c r="FSZ18" s="93"/>
      <c r="FTA18" s="88"/>
      <c r="FTB18" s="88"/>
      <c r="FTC18" s="90"/>
      <c r="FTD18" s="93"/>
      <c r="FTE18" s="88"/>
      <c r="FTF18" s="88"/>
      <c r="FTG18" s="90"/>
      <c r="FTH18" s="93"/>
      <c r="FTI18" s="88"/>
      <c r="FTJ18" s="88"/>
      <c r="FTK18" s="91"/>
      <c r="FTL18" s="93"/>
      <c r="FTM18" s="93"/>
      <c r="FTN18" s="88"/>
      <c r="FTO18" s="88"/>
      <c r="FTP18" s="90"/>
      <c r="FTQ18" s="93"/>
      <c r="FTR18" s="88"/>
      <c r="FTS18" s="88"/>
      <c r="FTT18" s="90"/>
      <c r="FTU18" s="93"/>
      <c r="FTV18" s="88"/>
      <c r="FTW18" s="88"/>
      <c r="FTX18" s="91"/>
      <c r="FTY18" s="93"/>
      <c r="FTZ18" s="93"/>
      <c r="FUA18" s="88"/>
      <c r="FUB18" s="88"/>
      <c r="FUC18" s="90"/>
      <c r="FUD18" s="93"/>
      <c r="FUE18" s="88"/>
      <c r="FUF18" s="88"/>
      <c r="FUG18" s="90"/>
      <c r="FUH18" s="93"/>
      <c r="FUI18" s="88"/>
      <c r="FUJ18" s="88"/>
      <c r="FUK18" s="91"/>
      <c r="FUL18" s="93"/>
      <c r="FUM18" s="93"/>
      <c r="FUN18" s="88"/>
      <c r="FUO18" s="88"/>
      <c r="FUP18" s="90"/>
      <c r="FUQ18" s="93"/>
      <c r="FUR18" s="88"/>
      <c r="FUS18" s="88"/>
      <c r="FUT18" s="90"/>
      <c r="FUU18" s="93"/>
      <c r="FUV18" s="88"/>
      <c r="FUW18" s="88"/>
      <c r="FUX18" s="91"/>
      <c r="FUY18" s="93"/>
      <c r="FUZ18" s="93"/>
      <c r="FVA18" s="88"/>
      <c r="FVB18" s="88"/>
      <c r="FVC18" s="90"/>
      <c r="FVD18" s="93"/>
      <c r="FVE18" s="88"/>
      <c r="FVF18" s="88"/>
      <c r="FVG18" s="90"/>
      <c r="FVH18" s="93"/>
      <c r="FVI18" s="88"/>
      <c r="FVJ18" s="88"/>
      <c r="FVK18" s="91"/>
      <c r="FVL18" s="93"/>
      <c r="FVM18" s="93"/>
      <c r="FVN18" s="88"/>
      <c r="FVO18" s="88"/>
      <c r="FVP18" s="90"/>
      <c r="FVQ18" s="93"/>
      <c r="FVR18" s="88"/>
      <c r="FVS18" s="88"/>
      <c r="FVT18" s="90"/>
      <c r="FVU18" s="93"/>
      <c r="FVV18" s="88"/>
      <c r="FVW18" s="88"/>
      <c r="FVX18" s="91"/>
      <c r="FVY18" s="93"/>
      <c r="FVZ18" s="93"/>
      <c r="FWA18" s="88"/>
      <c r="FWB18" s="88"/>
      <c r="FWC18" s="90"/>
      <c r="FWD18" s="93"/>
      <c r="FWE18" s="88"/>
      <c r="FWF18" s="88"/>
      <c r="FWG18" s="90"/>
      <c r="FWH18" s="93"/>
      <c r="FWI18" s="88"/>
      <c r="FWJ18" s="88"/>
      <c r="FWK18" s="91"/>
      <c r="FWL18" s="93"/>
      <c r="FWM18" s="93"/>
      <c r="FWN18" s="88"/>
      <c r="FWO18" s="88"/>
      <c r="FWP18" s="90"/>
      <c r="FWQ18" s="93"/>
      <c r="FWR18" s="88"/>
      <c r="FWS18" s="88"/>
      <c r="FWT18" s="90"/>
      <c r="FWU18" s="93"/>
      <c r="FWV18" s="88"/>
      <c r="FWW18" s="88"/>
      <c r="FWX18" s="91"/>
      <c r="FWY18" s="93"/>
      <c r="FWZ18" s="93"/>
      <c r="FXA18" s="88"/>
      <c r="FXB18" s="88"/>
      <c r="FXC18" s="90"/>
      <c r="FXD18" s="93"/>
      <c r="FXE18" s="88"/>
      <c r="FXF18" s="88"/>
      <c r="FXG18" s="90"/>
      <c r="FXH18" s="93"/>
      <c r="FXI18" s="88"/>
      <c r="FXJ18" s="88"/>
      <c r="FXK18" s="91"/>
      <c r="FXL18" s="93"/>
      <c r="FXM18" s="93"/>
      <c r="FXN18" s="88"/>
      <c r="FXO18" s="88"/>
      <c r="FXP18" s="90"/>
      <c r="FXQ18" s="93"/>
      <c r="FXR18" s="88"/>
      <c r="FXS18" s="88"/>
      <c r="FXT18" s="90"/>
      <c r="FXU18" s="93"/>
      <c r="FXV18" s="88"/>
      <c r="FXW18" s="88"/>
      <c r="FXX18" s="91"/>
      <c r="FXY18" s="93"/>
      <c r="FXZ18" s="93"/>
      <c r="FYA18" s="88"/>
      <c r="FYB18" s="88"/>
      <c r="FYC18" s="90"/>
      <c r="FYD18" s="93"/>
      <c r="FYE18" s="88"/>
      <c r="FYF18" s="88"/>
      <c r="FYG18" s="90"/>
      <c r="FYH18" s="93"/>
      <c r="FYI18" s="88"/>
      <c r="FYJ18" s="88"/>
      <c r="FYK18" s="91"/>
      <c r="FYL18" s="93"/>
      <c r="FYM18" s="93"/>
      <c r="FYN18" s="88"/>
      <c r="FYO18" s="88"/>
      <c r="FYP18" s="90"/>
      <c r="FYQ18" s="93"/>
      <c r="FYR18" s="88"/>
      <c r="FYS18" s="88"/>
      <c r="FYT18" s="90"/>
      <c r="FYU18" s="93"/>
      <c r="FYV18" s="88"/>
      <c r="FYW18" s="88"/>
      <c r="FYX18" s="91"/>
      <c r="FYY18" s="93"/>
      <c r="FYZ18" s="93"/>
      <c r="FZA18" s="88"/>
      <c r="FZB18" s="88"/>
      <c r="FZC18" s="90"/>
      <c r="FZD18" s="93"/>
      <c r="FZE18" s="88"/>
      <c r="FZF18" s="88"/>
      <c r="FZG18" s="90"/>
      <c r="FZH18" s="93"/>
      <c r="FZI18" s="88"/>
      <c r="FZJ18" s="88"/>
      <c r="FZK18" s="91"/>
      <c r="FZL18" s="93"/>
      <c r="FZM18" s="93"/>
      <c r="FZN18" s="88"/>
      <c r="FZO18" s="88"/>
      <c r="FZP18" s="90"/>
      <c r="FZQ18" s="93"/>
      <c r="FZR18" s="88"/>
      <c r="FZS18" s="88"/>
      <c r="FZT18" s="90"/>
      <c r="FZU18" s="93"/>
      <c r="FZV18" s="88"/>
      <c r="FZW18" s="88"/>
      <c r="FZX18" s="91"/>
      <c r="FZY18" s="93"/>
      <c r="FZZ18" s="93"/>
      <c r="GAA18" s="88"/>
      <c r="GAB18" s="88"/>
      <c r="GAC18" s="90"/>
      <c r="GAD18" s="93"/>
      <c r="GAE18" s="88"/>
      <c r="GAF18" s="88"/>
      <c r="GAG18" s="90"/>
      <c r="GAH18" s="93"/>
      <c r="GAI18" s="88"/>
      <c r="GAJ18" s="88"/>
      <c r="GAK18" s="91"/>
      <c r="GAL18" s="93"/>
      <c r="GAM18" s="93"/>
      <c r="GAN18" s="88"/>
      <c r="GAO18" s="88"/>
      <c r="GAP18" s="90"/>
      <c r="GAQ18" s="93"/>
      <c r="GAR18" s="88"/>
      <c r="GAS18" s="88"/>
      <c r="GAT18" s="90"/>
      <c r="GAU18" s="93"/>
      <c r="GAV18" s="88"/>
      <c r="GAW18" s="88"/>
      <c r="GAX18" s="91"/>
      <c r="GAY18" s="93"/>
      <c r="GAZ18" s="93"/>
      <c r="GBA18" s="88"/>
      <c r="GBB18" s="88"/>
      <c r="GBC18" s="90"/>
      <c r="GBD18" s="93"/>
      <c r="GBE18" s="88"/>
      <c r="GBF18" s="88"/>
      <c r="GBG18" s="90"/>
      <c r="GBH18" s="93"/>
      <c r="GBI18" s="88"/>
      <c r="GBJ18" s="88"/>
      <c r="GBK18" s="91"/>
      <c r="GBL18" s="93"/>
      <c r="GBM18" s="93"/>
      <c r="GBN18" s="88"/>
      <c r="GBO18" s="88"/>
      <c r="GBP18" s="90"/>
      <c r="GBQ18" s="93"/>
      <c r="GBR18" s="88"/>
      <c r="GBS18" s="88"/>
      <c r="GBT18" s="90"/>
      <c r="GBU18" s="93"/>
      <c r="GBV18" s="88"/>
      <c r="GBW18" s="88"/>
      <c r="GBX18" s="91"/>
      <c r="GBY18" s="93"/>
      <c r="GBZ18" s="93"/>
      <c r="GCA18" s="88"/>
      <c r="GCB18" s="88"/>
      <c r="GCC18" s="90"/>
      <c r="GCD18" s="93"/>
      <c r="GCE18" s="88"/>
      <c r="GCF18" s="88"/>
      <c r="GCG18" s="90"/>
      <c r="GCH18" s="93"/>
      <c r="GCI18" s="88"/>
      <c r="GCJ18" s="88"/>
      <c r="GCK18" s="91"/>
      <c r="GCL18" s="93"/>
      <c r="GCM18" s="93"/>
      <c r="GCN18" s="88"/>
      <c r="GCO18" s="88"/>
      <c r="GCP18" s="90"/>
      <c r="GCQ18" s="93"/>
      <c r="GCR18" s="88"/>
      <c r="GCS18" s="88"/>
      <c r="GCT18" s="90"/>
      <c r="GCU18" s="93"/>
      <c r="GCV18" s="88"/>
      <c r="GCW18" s="88"/>
      <c r="GCX18" s="91"/>
      <c r="GCY18" s="93"/>
      <c r="GCZ18" s="93"/>
      <c r="GDA18" s="88"/>
      <c r="GDB18" s="88"/>
      <c r="GDC18" s="90"/>
      <c r="GDD18" s="93"/>
      <c r="GDE18" s="88"/>
      <c r="GDF18" s="88"/>
      <c r="GDG18" s="90"/>
      <c r="GDH18" s="93"/>
      <c r="GDI18" s="88"/>
      <c r="GDJ18" s="88"/>
      <c r="GDK18" s="91"/>
      <c r="GDL18" s="93"/>
      <c r="GDM18" s="93"/>
      <c r="GDN18" s="88"/>
      <c r="GDO18" s="88"/>
      <c r="GDP18" s="90"/>
      <c r="GDQ18" s="93"/>
      <c r="GDR18" s="88"/>
      <c r="GDS18" s="88"/>
      <c r="GDT18" s="90"/>
      <c r="GDU18" s="93"/>
      <c r="GDV18" s="88"/>
      <c r="GDW18" s="88"/>
      <c r="GDX18" s="91"/>
      <c r="GDY18" s="93"/>
      <c r="GDZ18" s="93"/>
      <c r="GEA18" s="88"/>
      <c r="GEB18" s="88"/>
      <c r="GEC18" s="90"/>
      <c r="GED18" s="93"/>
      <c r="GEE18" s="88"/>
      <c r="GEF18" s="88"/>
      <c r="GEG18" s="90"/>
      <c r="GEH18" s="93"/>
      <c r="GEI18" s="88"/>
      <c r="GEJ18" s="88"/>
      <c r="GEK18" s="91"/>
      <c r="GEL18" s="93"/>
      <c r="GEM18" s="93"/>
      <c r="GEN18" s="88"/>
      <c r="GEO18" s="88"/>
      <c r="GEP18" s="90"/>
      <c r="GEQ18" s="93"/>
      <c r="GER18" s="88"/>
      <c r="GES18" s="88"/>
      <c r="GET18" s="90"/>
      <c r="GEU18" s="93"/>
      <c r="GEV18" s="88"/>
      <c r="GEW18" s="88"/>
      <c r="GEX18" s="91"/>
      <c r="GEY18" s="93"/>
      <c r="GEZ18" s="93"/>
      <c r="GFA18" s="88"/>
      <c r="GFB18" s="88"/>
      <c r="GFC18" s="90"/>
      <c r="GFD18" s="93"/>
      <c r="GFE18" s="88"/>
      <c r="GFF18" s="88"/>
      <c r="GFG18" s="90"/>
      <c r="GFH18" s="93"/>
      <c r="GFI18" s="88"/>
      <c r="GFJ18" s="88"/>
      <c r="GFK18" s="91"/>
      <c r="GFL18" s="93"/>
      <c r="GFM18" s="93"/>
      <c r="GFN18" s="88"/>
      <c r="GFO18" s="88"/>
      <c r="GFP18" s="90"/>
      <c r="GFQ18" s="93"/>
      <c r="GFR18" s="88"/>
      <c r="GFS18" s="88"/>
      <c r="GFT18" s="90"/>
      <c r="GFU18" s="93"/>
      <c r="GFV18" s="88"/>
      <c r="GFW18" s="88"/>
      <c r="GFX18" s="91"/>
      <c r="GFY18" s="93"/>
      <c r="GFZ18" s="93"/>
      <c r="GGA18" s="88"/>
      <c r="GGB18" s="88"/>
      <c r="GGC18" s="90"/>
      <c r="GGD18" s="93"/>
      <c r="GGE18" s="88"/>
      <c r="GGF18" s="88"/>
      <c r="GGG18" s="90"/>
      <c r="GGH18" s="93"/>
      <c r="GGI18" s="88"/>
      <c r="GGJ18" s="88"/>
      <c r="GGK18" s="91"/>
      <c r="GGL18" s="93"/>
      <c r="GGM18" s="93"/>
      <c r="GGN18" s="88"/>
      <c r="GGO18" s="88"/>
      <c r="GGP18" s="90"/>
      <c r="GGQ18" s="93"/>
      <c r="GGR18" s="88"/>
      <c r="GGS18" s="88"/>
      <c r="GGT18" s="90"/>
      <c r="GGU18" s="93"/>
      <c r="GGV18" s="88"/>
      <c r="GGW18" s="88"/>
      <c r="GGX18" s="91"/>
      <c r="GGY18" s="93"/>
      <c r="GGZ18" s="93"/>
      <c r="GHA18" s="88"/>
      <c r="GHB18" s="88"/>
      <c r="GHC18" s="90"/>
      <c r="GHD18" s="93"/>
      <c r="GHE18" s="88"/>
      <c r="GHF18" s="88"/>
      <c r="GHG18" s="90"/>
      <c r="GHH18" s="93"/>
      <c r="GHI18" s="88"/>
      <c r="GHJ18" s="88"/>
      <c r="GHK18" s="91"/>
      <c r="GHL18" s="93"/>
      <c r="GHM18" s="93"/>
      <c r="GHN18" s="88"/>
      <c r="GHO18" s="88"/>
      <c r="GHP18" s="90"/>
      <c r="GHQ18" s="93"/>
      <c r="GHR18" s="88"/>
      <c r="GHS18" s="88"/>
      <c r="GHT18" s="90"/>
      <c r="GHU18" s="93"/>
      <c r="GHV18" s="88"/>
      <c r="GHW18" s="88"/>
      <c r="GHX18" s="91"/>
      <c r="GHY18" s="93"/>
      <c r="GHZ18" s="93"/>
      <c r="GIA18" s="88"/>
      <c r="GIB18" s="88"/>
      <c r="GIC18" s="90"/>
      <c r="GID18" s="93"/>
      <c r="GIE18" s="88"/>
      <c r="GIF18" s="88"/>
      <c r="GIG18" s="90"/>
      <c r="GIH18" s="93"/>
      <c r="GII18" s="88"/>
      <c r="GIJ18" s="88"/>
      <c r="GIK18" s="91"/>
      <c r="GIL18" s="93"/>
      <c r="GIM18" s="93"/>
      <c r="GIN18" s="88"/>
      <c r="GIO18" s="88"/>
      <c r="GIP18" s="90"/>
      <c r="GIQ18" s="93"/>
      <c r="GIR18" s="88"/>
      <c r="GIS18" s="88"/>
      <c r="GIT18" s="90"/>
      <c r="GIU18" s="93"/>
      <c r="GIV18" s="88"/>
      <c r="GIW18" s="88"/>
      <c r="GIX18" s="91"/>
      <c r="GIY18" s="93"/>
      <c r="GIZ18" s="93"/>
      <c r="GJA18" s="88"/>
      <c r="GJB18" s="88"/>
      <c r="GJC18" s="90"/>
      <c r="GJD18" s="93"/>
      <c r="GJE18" s="88"/>
      <c r="GJF18" s="88"/>
      <c r="GJG18" s="90"/>
      <c r="GJH18" s="93"/>
      <c r="GJI18" s="88"/>
      <c r="GJJ18" s="88"/>
      <c r="GJK18" s="91"/>
      <c r="GJL18" s="93"/>
      <c r="GJM18" s="93"/>
      <c r="GJN18" s="88"/>
      <c r="GJO18" s="88"/>
      <c r="GJP18" s="90"/>
      <c r="GJQ18" s="93"/>
      <c r="GJR18" s="88"/>
      <c r="GJS18" s="88"/>
      <c r="GJT18" s="90"/>
      <c r="GJU18" s="93"/>
      <c r="GJV18" s="88"/>
      <c r="GJW18" s="88"/>
      <c r="GJX18" s="91"/>
      <c r="GJY18" s="93"/>
      <c r="GJZ18" s="93"/>
      <c r="GKA18" s="88"/>
      <c r="GKB18" s="88"/>
      <c r="GKC18" s="90"/>
      <c r="GKD18" s="93"/>
      <c r="GKE18" s="88"/>
      <c r="GKF18" s="88"/>
      <c r="GKG18" s="90"/>
      <c r="GKH18" s="93"/>
      <c r="GKI18" s="88"/>
      <c r="GKJ18" s="88"/>
      <c r="GKK18" s="91"/>
      <c r="GKL18" s="93"/>
      <c r="GKM18" s="93"/>
      <c r="GKN18" s="88"/>
      <c r="GKO18" s="88"/>
      <c r="GKP18" s="90"/>
      <c r="GKQ18" s="93"/>
      <c r="GKR18" s="88"/>
      <c r="GKS18" s="88"/>
      <c r="GKT18" s="90"/>
      <c r="GKU18" s="93"/>
      <c r="GKV18" s="88"/>
      <c r="GKW18" s="88"/>
      <c r="GKX18" s="91"/>
      <c r="GKY18" s="93"/>
      <c r="GKZ18" s="93"/>
      <c r="GLA18" s="88"/>
      <c r="GLB18" s="88"/>
      <c r="GLC18" s="90"/>
      <c r="GLD18" s="93"/>
      <c r="GLE18" s="88"/>
      <c r="GLF18" s="88"/>
      <c r="GLG18" s="90"/>
      <c r="GLH18" s="93"/>
      <c r="GLI18" s="88"/>
      <c r="GLJ18" s="88"/>
      <c r="GLK18" s="91"/>
      <c r="GLL18" s="93"/>
      <c r="GLM18" s="93"/>
      <c r="GLN18" s="88"/>
      <c r="GLO18" s="88"/>
      <c r="GLP18" s="90"/>
      <c r="GLQ18" s="93"/>
      <c r="GLR18" s="88"/>
      <c r="GLS18" s="88"/>
      <c r="GLT18" s="90"/>
      <c r="GLU18" s="93"/>
      <c r="GLV18" s="88"/>
      <c r="GLW18" s="88"/>
      <c r="GLX18" s="91"/>
      <c r="GLY18" s="93"/>
      <c r="GLZ18" s="93"/>
      <c r="GMA18" s="88"/>
      <c r="GMB18" s="88"/>
      <c r="GMC18" s="90"/>
      <c r="GMD18" s="93"/>
      <c r="GME18" s="88"/>
      <c r="GMF18" s="88"/>
      <c r="GMG18" s="90"/>
      <c r="GMH18" s="93"/>
      <c r="GMI18" s="88"/>
      <c r="GMJ18" s="88"/>
      <c r="GMK18" s="91"/>
      <c r="GML18" s="93"/>
      <c r="GMM18" s="93"/>
      <c r="GMN18" s="88"/>
      <c r="GMO18" s="88"/>
      <c r="GMP18" s="90"/>
      <c r="GMQ18" s="93"/>
      <c r="GMR18" s="88"/>
      <c r="GMS18" s="88"/>
      <c r="GMT18" s="90"/>
      <c r="GMU18" s="93"/>
      <c r="GMV18" s="88"/>
      <c r="GMW18" s="88"/>
      <c r="GMX18" s="91"/>
      <c r="GMY18" s="93"/>
      <c r="GMZ18" s="93"/>
      <c r="GNA18" s="88"/>
      <c r="GNB18" s="88"/>
      <c r="GNC18" s="90"/>
      <c r="GND18" s="93"/>
      <c r="GNE18" s="88"/>
      <c r="GNF18" s="88"/>
      <c r="GNG18" s="90"/>
      <c r="GNH18" s="93"/>
      <c r="GNI18" s="88"/>
      <c r="GNJ18" s="88"/>
      <c r="GNK18" s="91"/>
      <c r="GNL18" s="93"/>
      <c r="GNM18" s="93"/>
      <c r="GNN18" s="88"/>
      <c r="GNO18" s="88"/>
      <c r="GNP18" s="90"/>
      <c r="GNQ18" s="93"/>
      <c r="GNR18" s="88"/>
      <c r="GNS18" s="88"/>
      <c r="GNT18" s="90"/>
      <c r="GNU18" s="93"/>
      <c r="GNV18" s="88"/>
      <c r="GNW18" s="88"/>
      <c r="GNX18" s="91"/>
      <c r="GNY18" s="93"/>
      <c r="GNZ18" s="93"/>
      <c r="GOA18" s="88"/>
      <c r="GOB18" s="88"/>
      <c r="GOC18" s="90"/>
      <c r="GOD18" s="93"/>
      <c r="GOE18" s="88"/>
      <c r="GOF18" s="88"/>
      <c r="GOG18" s="90"/>
      <c r="GOH18" s="93"/>
      <c r="GOI18" s="88"/>
      <c r="GOJ18" s="88"/>
      <c r="GOK18" s="91"/>
      <c r="GOL18" s="93"/>
      <c r="GOM18" s="93"/>
      <c r="GON18" s="88"/>
      <c r="GOO18" s="88"/>
      <c r="GOP18" s="90"/>
      <c r="GOQ18" s="93"/>
      <c r="GOR18" s="88"/>
      <c r="GOS18" s="88"/>
      <c r="GOT18" s="90"/>
      <c r="GOU18" s="93"/>
      <c r="GOV18" s="88"/>
      <c r="GOW18" s="88"/>
      <c r="GOX18" s="91"/>
      <c r="GOY18" s="93"/>
      <c r="GOZ18" s="93"/>
      <c r="GPA18" s="88"/>
      <c r="GPB18" s="88"/>
      <c r="GPC18" s="90"/>
      <c r="GPD18" s="93"/>
      <c r="GPE18" s="88"/>
      <c r="GPF18" s="88"/>
      <c r="GPG18" s="90"/>
      <c r="GPH18" s="93"/>
      <c r="GPI18" s="88"/>
      <c r="GPJ18" s="88"/>
      <c r="GPK18" s="91"/>
      <c r="GPL18" s="93"/>
      <c r="GPM18" s="93"/>
      <c r="GPN18" s="88"/>
      <c r="GPO18" s="88"/>
      <c r="GPP18" s="90"/>
      <c r="GPQ18" s="93"/>
      <c r="GPR18" s="88"/>
      <c r="GPS18" s="88"/>
      <c r="GPT18" s="90"/>
      <c r="GPU18" s="93"/>
      <c r="GPV18" s="88"/>
      <c r="GPW18" s="88"/>
      <c r="GPX18" s="91"/>
      <c r="GPY18" s="93"/>
      <c r="GPZ18" s="93"/>
      <c r="GQA18" s="88"/>
      <c r="GQB18" s="88"/>
      <c r="GQC18" s="90"/>
      <c r="GQD18" s="93"/>
      <c r="GQE18" s="88"/>
      <c r="GQF18" s="88"/>
      <c r="GQG18" s="90"/>
      <c r="GQH18" s="93"/>
      <c r="GQI18" s="88"/>
      <c r="GQJ18" s="88"/>
      <c r="GQK18" s="91"/>
      <c r="GQL18" s="93"/>
      <c r="GQM18" s="93"/>
      <c r="GQN18" s="88"/>
      <c r="GQO18" s="88"/>
      <c r="GQP18" s="90"/>
      <c r="GQQ18" s="93"/>
      <c r="GQR18" s="88"/>
      <c r="GQS18" s="88"/>
      <c r="GQT18" s="90"/>
      <c r="GQU18" s="93"/>
      <c r="GQV18" s="88"/>
      <c r="GQW18" s="88"/>
      <c r="GQX18" s="91"/>
      <c r="GQY18" s="93"/>
      <c r="GQZ18" s="93"/>
      <c r="GRA18" s="88"/>
      <c r="GRB18" s="88"/>
      <c r="GRC18" s="90"/>
      <c r="GRD18" s="93"/>
      <c r="GRE18" s="88"/>
      <c r="GRF18" s="88"/>
      <c r="GRG18" s="90"/>
      <c r="GRH18" s="93"/>
      <c r="GRI18" s="88"/>
      <c r="GRJ18" s="88"/>
      <c r="GRK18" s="91"/>
      <c r="GRL18" s="93"/>
      <c r="GRM18" s="93"/>
      <c r="GRN18" s="88"/>
      <c r="GRO18" s="88"/>
      <c r="GRP18" s="90"/>
      <c r="GRQ18" s="93"/>
      <c r="GRR18" s="88"/>
      <c r="GRS18" s="88"/>
      <c r="GRT18" s="90"/>
      <c r="GRU18" s="93"/>
      <c r="GRV18" s="88"/>
      <c r="GRW18" s="88"/>
      <c r="GRX18" s="91"/>
      <c r="GRY18" s="93"/>
      <c r="GRZ18" s="93"/>
      <c r="GSA18" s="88"/>
      <c r="GSB18" s="88"/>
      <c r="GSC18" s="90"/>
      <c r="GSD18" s="93"/>
      <c r="GSE18" s="88"/>
      <c r="GSF18" s="88"/>
      <c r="GSG18" s="90"/>
      <c r="GSH18" s="93"/>
      <c r="GSI18" s="88"/>
      <c r="GSJ18" s="88"/>
      <c r="GSK18" s="91"/>
      <c r="GSL18" s="93"/>
      <c r="GSM18" s="93"/>
      <c r="GSN18" s="88"/>
      <c r="GSO18" s="88"/>
      <c r="GSP18" s="90"/>
      <c r="GSQ18" s="93"/>
      <c r="GSR18" s="88"/>
      <c r="GSS18" s="88"/>
      <c r="GST18" s="90"/>
      <c r="GSU18" s="93"/>
      <c r="GSV18" s="88"/>
      <c r="GSW18" s="88"/>
      <c r="GSX18" s="91"/>
      <c r="GSY18" s="93"/>
      <c r="GSZ18" s="93"/>
      <c r="GTA18" s="88"/>
      <c r="GTB18" s="88"/>
      <c r="GTC18" s="90"/>
      <c r="GTD18" s="93"/>
      <c r="GTE18" s="88"/>
      <c r="GTF18" s="88"/>
      <c r="GTG18" s="90"/>
      <c r="GTH18" s="93"/>
      <c r="GTI18" s="88"/>
      <c r="GTJ18" s="88"/>
      <c r="GTK18" s="91"/>
      <c r="GTL18" s="93"/>
      <c r="GTM18" s="93"/>
      <c r="GTN18" s="88"/>
      <c r="GTO18" s="88"/>
      <c r="GTP18" s="90"/>
      <c r="GTQ18" s="93"/>
      <c r="GTR18" s="88"/>
      <c r="GTS18" s="88"/>
      <c r="GTT18" s="90"/>
      <c r="GTU18" s="93"/>
      <c r="GTV18" s="88"/>
      <c r="GTW18" s="88"/>
      <c r="GTX18" s="91"/>
      <c r="GTY18" s="93"/>
      <c r="GTZ18" s="93"/>
      <c r="GUA18" s="88"/>
      <c r="GUB18" s="88"/>
      <c r="GUC18" s="90"/>
      <c r="GUD18" s="93"/>
      <c r="GUE18" s="88"/>
      <c r="GUF18" s="88"/>
      <c r="GUG18" s="90"/>
      <c r="GUH18" s="93"/>
      <c r="GUI18" s="88"/>
      <c r="GUJ18" s="88"/>
      <c r="GUK18" s="91"/>
      <c r="GUL18" s="93"/>
      <c r="GUM18" s="93"/>
      <c r="GUN18" s="88"/>
      <c r="GUO18" s="88"/>
      <c r="GUP18" s="90"/>
      <c r="GUQ18" s="93"/>
      <c r="GUR18" s="88"/>
      <c r="GUS18" s="88"/>
      <c r="GUT18" s="90"/>
      <c r="GUU18" s="93"/>
      <c r="GUV18" s="88"/>
      <c r="GUW18" s="88"/>
      <c r="GUX18" s="91"/>
      <c r="GUY18" s="93"/>
      <c r="GUZ18" s="93"/>
      <c r="GVA18" s="88"/>
      <c r="GVB18" s="88"/>
      <c r="GVC18" s="90"/>
      <c r="GVD18" s="93"/>
      <c r="GVE18" s="88"/>
      <c r="GVF18" s="88"/>
      <c r="GVG18" s="90"/>
      <c r="GVH18" s="93"/>
      <c r="GVI18" s="88"/>
      <c r="GVJ18" s="88"/>
      <c r="GVK18" s="91"/>
      <c r="GVL18" s="93"/>
      <c r="GVM18" s="93"/>
      <c r="GVN18" s="88"/>
      <c r="GVO18" s="88"/>
      <c r="GVP18" s="90"/>
      <c r="GVQ18" s="93"/>
      <c r="GVR18" s="88"/>
      <c r="GVS18" s="88"/>
      <c r="GVT18" s="90"/>
      <c r="GVU18" s="93"/>
      <c r="GVV18" s="88"/>
      <c r="GVW18" s="88"/>
      <c r="GVX18" s="91"/>
      <c r="GVY18" s="93"/>
      <c r="GVZ18" s="93"/>
      <c r="GWA18" s="88"/>
      <c r="GWB18" s="88"/>
      <c r="GWC18" s="90"/>
      <c r="GWD18" s="93"/>
      <c r="GWE18" s="88"/>
      <c r="GWF18" s="88"/>
      <c r="GWG18" s="90"/>
      <c r="GWH18" s="93"/>
      <c r="GWI18" s="88"/>
      <c r="GWJ18" s="88"/>
      <c r="GWK18" s="91"/>
      <c r="GWL18" s="93"/>
      <c r="GWM18" s="93"/>
      <c r="GWN18" s="88"/>
      <c r="GWO18" s="88"/>
      <c r="GWP18" s="90"/>
      <c r="GWQ18" s="93"/>
      <c r="GWR18" s="88"/>
      <c r="GWS18" s="88"/>
      <c r="GWT18" s="90"/>
      <c r="GWU18" s="93"/>
      <c r="GWV18" s="88"/>
      <c r="GWW18" s="88"/>
      <c r="GWX18" s="91"/>
      <c r="GWY18" s="93"/>
      <c r="GWZ18" s="93"/>
      <c r="GXA18" s="88"/>
      <c r="GXB18" s="88"/>
      <c r="GXC18" s="90"/>
      <c r="GXD18" s="93"/>
      <c r="GXE18" s="88"/>
      <c r="GXF18" s="88"/>
      <c r="GXG18" s="90"/>
      <c r="GXH18" s="93"/>
      <c r="GXI18" s="88"/>
      <c r="GXJ18" s="88"/>
      <c r="GXK18" s="91"/>
      <c r="GXL18" s="93"/>
      <c r="GXM18" s="93"/>
      <c r="GXN18" s="88"/>
      <c r="GXO18" s="88"/>
      <c r="GXP18" s="90"/>
      <c r="GXQ18" s="93"/>
      <c r="GXR18" s="88"/>
      <c r="GXS18" s="88"/>
      <c r="GXT18" s="90"/>
      <c r="GXU18" s="93"/>
      <c r="GXV18" s="88"/>
      <c r="GXW18" s="88"/>
      <c r="GXX18" s="91"/>
      <c r="GXY18" s="93"/>
      <c r="GXZ18" s="93"/>
      <c r="GYA18" s="88"/>
      <c r="GYB18" s="88"/>
      <c r="GYC18" s="90"/>
      <c r="GYD18" s="93"/>
      <c r="GYE18" s="88"/>
      <c r="GYF18" s="88"/>
      <c r="GYG18" s="90"/>
      <c r="GYH18" s="93"/>
      <c r="GYI18" s="88"/>
      <c r="GYJ18" s="88"/>
      <c r="GYK18" s="91"/>
      <c r="GYL18" s="93"/>
      <c r="GYM18" s="93"/>
      <c r="GYN18" s="88"/>
      <c r="GYO18" s="88"/>
      <c r="GYP18" s="90"/>
      <c r="GYQ18" s="93"/>
      <c r="GYR18" s="88"/>
      <c r="GYS18" s="88"/>
      <c r="GYT18" s="90"/>
      <c r="GYU18" s="93"/>
      <c r="GYV18" s="88"/>
      <c r="GYW18" s="88"/>
      <c r="GYX18" s="91"/>
      <c r="GYY18" s="93"/>
      <c r="GYZ18" s="93"/>
      <c r="GZA18" s="88"/>
      <c r="GZB18" s="88"/>
      <c r="GZC18" s="90"/>
      <c r="GZD18" s="93"/>
      <c r="GZE18" s="88"/>
      <c r="GZF18" s="88"/>
      <c r="GZG18" s="90"/>
      <c r="GZH18" s="93"/>
      <c r="GZI18" s="88"/>
      <c r="GZJ18" s="88"/>
      <c r="GZK18" s="91"/>
      <c r="GZL18" s="93"/>
      <c r="GZM18" s="93"/>
      <c r="GZN18" s="88"/>
      <c r="GZO18" s="88"/>
      <c r="GZP18" s="90"/>
      <c r="GZQ18" s="93"/>
      <c r="GZR18" s="88"/>
      <c r="GZS18" s="88"/>
      <c r="GZT18" s="90"/>
      <c r="GZU18" s="93"/>
      <c r="GZV18" s="88"/>
      <c r="GZW18" s="88"/>
      <c r="GZX18" s="91"/>
      <c r="GZY18" s="93"/>
      <c r="GZZ18" s="93"/>
      <c r="HAA18" s="88"/>
      <c r="HAB18" s="88"/>
      <c r="HAC18" s="90"/>
      <c r="HAD18" s="93"/>
      <c r="HAE18" s="88"/>
      <c r="HAF18" s="88"/>
      <c r="HAG18" s="90"/>
      <c r="HAH18" s="93"/>
      <c r="HAI18" s="88"/>
      <c r="HAJ18" s="88"/>
      <c r="HAK18" s="91"/>
      <c r="HAL18" s="93"/>
      <c r="HAM18" s="93"/>
      <c r="HAN18" s="88"/>
      <c r="HAO18" s="88"/>
      <c r="HAP18" s="90"/>
      <c r="HAQ18" s="93"/>
      <c r="HAR18" s="88"/>
      <c r="HAS18" s="88"/>
      <c r="HAT18" s="90"/>
      <c r="HAU18" s="93"/>
      <c r="HAV18" s="88"/>
      <c r="HAW18" s="88"/>
      <c r="HAX18" s="91"/>
      <c r="HAY18" s="93"/>
      <c r="HAZ18" s="93"/>
      <c r="HBA18" s="88"/>
      <c r="HBB18" s="88"/>
      <c r="HBC18" s="90"/>
      <c r="HBD18" s="93"/>
      <c r="HBE18" s="88"/>
      <c r="HBF18" s="88"/>
      <c r="HBG18" s="90"/>
      <c r="HBH18" s="93"/>
      <c r="HBI18" s="88"/>
      <c r="HBJ18" s="88"/>
      <c r="HBK18" s="91"/>
      <c r="HBL18" s="93"/>
      <c r="HBM18" s="93"/>
      <c r="HBN18" s="88"/>
      <c r="HBO18" s="88"/>
      <c r="HBP18" s="90"/>
      <c r="HBQ18" s="93"/>
      <c r="HBR18" s="88"/>
      <c r="HBS18" s="88"/>
      <c r="HBT18" s="90"/>
      <c r="HBU18" s="93"/>
      <c r="HBV18" s="88"/>
      <c r="HBW18" s="88"/>
      <c r="HBX18" s="91"/>
      <c r="HBY18" s="93"/>
      <c r="HBZ18" s="93"/>
      <c r="HCA18" s="88"/>
      <c r="HCB18" s="88"/>
      <c r="HCC18" s="90"/>
      <c r="HCD18" s="93"/>
      <c r="HCE18" s="88"/>
      <c r="HCF18" s="88"/>
      <c r="HCG18" s="90"/>
      <c r="HCH18" s="93"/>
      <c r="HCI18" s="88"/>
      <c r="HCJ18" s="88"/>
      <c r="HCK18" s="91"/>
      <c r="HCL18" s="93"/>
      <c r="HCM18" s="93"/>
      <c r="HCN18" s="88"/>
      <c r="HCO18" s="88"/>
      <c r="HCP18" s="90"/>
      <c r="HCQ18" s="93"/>
      <c r="HCR18" s="88"/>
      <c r="HCS18" s="88"/>
      <c r="HCT18" s="90"/>
      <c r="HCU18" s="93"/>
      <c r="HCV18" s="88"/>
      <c r="HCW18" s="88"/>
      <c r="HCX18" s="91"/>
      <c r="HCY18" s="93"/>
      <c r="HCZ18" s="93"/>
      <c r="HDA18" s="88"/>
      <c r="HDB18" s="88"/>
      <c r="HDC18" s="90"/>
      <c r="HDD18" s="93"/>
      <c r="HDE18" s="88"/>
      <c r="HDF18" s="88"/>
      <c r="HDG18" s="90"/>
      <c r="HDH18" s="93"/>
      <c r="HDI18" s="88"/>
      <c r="HDJ18" s="88"/>
      <c r="HDK18" s="91"/>
      <c r="HDL18" s="93"/>
      <c r="HDM18" s="93"/>
      <c r="HDN18" s="88"/>
      <c r="HDO18" s="88"/>
      <c r="HDP18" s="90"/>
      <c r="HDQ18" s="93"/>
      <c r="HDR18" s="88"/>
      <c r="HDS18" s="88"/>
      <c r="HDT18" s="90"/>
      <c r="HDU18" s="93"/>
      <c r="HDV18" s="88"/>
      <c r="HDW18" s="88"/>
      <c r="HDX18" s="91"/>
      <c r="HDY18" s="93"/>
      <c r="HDZ18" s="93"/>
      <c r="HEA18" s="88"/>
      <c r="HEB18" s="88"/>
      <c r="HEC18" s="90"/>
      <c r="HED18" s="93"/>
      <c r="HEE18" s="88"/>
      <c r="HEF18" s="88"/>
      <c r="HEG18" s="90"/>
      <c r="HEH18" s="93"/>
      <c r="HEI18" s="88"/>
      <c r="HEJ18" s="88"/>
      <c r="HEK18" s="91"/>
      <c r="HEL18" s="93"/>
      <c r="HEM18" s="93"/>
      <c r="HEN18" s="88"/>
      <c r="HEO18" s="88"/>
      <c r="HEP18" s="90"/>
      <c r="HEQ18" s="93"/>
      <c r="HER18" s="88"/>
      <c r="HES18" s="88"/>
      <c r="HET18" s="90"/>
      <c r="HEU18" s="93"/>
      <c r="HEV18" s="88"/>
      <c r="HEW18" s="88"/>
      <c r="HEX18" s="91"/>
      <c r="HEY18" s="93"/>
      <c r="HEZ18" s="93"/>
      <c r="HFA18" s="88"/>
      <c r="HFB18" s="88"/>
      <c r="HFC18" s="90"/>
      <c r="HFD18" s="93"/>
      <c r="HFE18" s="88"/>
      <c r="HFF18" s="88"/>
      <c r="HFG18" s="90"/>
      <c r="HFH18" s="93"/>
      <c r="HFI18" s="88"/>
      <c r="HFJ18" s="88"/>
      <c r="HFK18" s="91"/>
      <c r="HFL18" s="93"/>
      <c r="HFM18" s="93"/>
      <c r="HFN18" s="88"/>
      <c r="HFO18" s="88"/>
      <c r="HFP18" s="90"/>
      <c r="HFQ18" s="93"/>
      <c r="HFR18" s="88"/>
      <c r="HFS18" s="88"/>
      <c r="HFT18" s="90"/>
      <c r="HFU18" s="93"/>
      <c r="HFV18" s="88"/>
      <c r="HFW18" s="88"/>
      <c r="HFX18" s="91"/>
      <c r="HFY18" s="93"/>
      <c r="HFZ18" s="93"/>
      <c r="HGA18" s="88"/>
      <c r="HGB18" s="88"/>
      <c r="HGC18" s="90"/>
      <c r="HGD18" s="93"/>
      <c r="HGE18" s="88"/>
      <c r="HGF18" s="88"/>
      <c r="HGG18" s="90"/>
      <c r="HGH18" s="93"/>
      <c r="HGI18" s="88"/>
      <c r="HGJ18" s="88"/>
      <c r="HGK18" s="91"/>
      <c r="HGL18" s="93"/>
      <c r="HGM18" s="93"/>
      <c r="HGN18" s="88"/>
      <c r="HGO18" s="88"/>
      <c r="HGP18" s="90"/>
      <c r="HGQ18" s="93"/>
      <c r="HGR18" s="88"/>
      <c r="HGS18" s="88"/>
      <c r="HGT18" s="90"/>
      <c r="HGU18" s="93"/>
      <c r="HGV18" s="88"/>
      <c r="HGW18" s="88"/>
      <c r="HGX18" s="91"/>
      <c r="HGY18" s="93"/>
      <c r="HGZ18" s="93"/>
      <c r="HHA18" s="88"/>
      <c r="HHB18" s="88"/>
      <c r="HHC18" s="90"/>
      <c r="HHD18" s="93"/>
      <c r="HHE18" s="88"/>
      <c r="HHF18" s="88"/>
      <c r="HHG18" s="90"/>
      <c r="HHH18" s="93"/>
      <c r="HHI18" s="88"/>
      <c r="HHJ18" s="88"/>
      <c r="HHK18" s="91"/>
      <c r="HHL18" s="93"/>
      <c r="HHM18" s="93"/>
      <c r="HHN18" s="88"/>
      <c r="HHO18" s="88"/>
      <c r="HHP18" s="90"/>
      <c r="HHQ18" s="93"/>
      <c r="HHR18" s="88"/>
      <c r="HHS18" s="88"/>
      <c r="HHT18" s="90"/>
      <c r="HHU18" s="93"/>
      <c r="HHV18" s="88"/>
      <c r="HHW18" s="88"/>
      <c r="HHX18" s="91"/>
      <c r="HHY18" s="93"/>
      <c r="HHZ18" s="93"/>
      <c r="HIA18" s="88"/>
      <c r="HIB18" s="88"/>
      <c r="HIC18" s="90"/>
      <c r="HID18" s="93"/>
      <c r="HIE18" s="88"/>
      <c r="HIF18" s="88"/>
      <c r="HIG18" s="90"/>
      <c r="HIH18" s="93"/>
      <c r="HII18" s="88"/>
      <c r="HIJ18" s="88"/>
      <c r="HIK18" s="91"/>
      <c r="HIL18" s="93"/>
      <c r="HIM18" s="93"/>
      <c r="HIN18" s="88"/>
      <c r="HIO18" s="88"/>
      <c r="HIP18" s="90"/>
      <c r="HIQ18" s="93"/>
      <c r="HIR18" s="88"/>
      <c r="HIS18" s="88"/>
      <c r="HIT18" s="90"/>
      <c r="HIU18" s="93"/>
      <c r="HIV18" s="88"/>
      <c r="HIW18" s="88"/>
      <c r="HIX18" s="91"/>
      <c r="HIY18" s="93"/>
      <c r="HIZ18" s="93"/>
      <c r="HJA18" s="88"/>
      <c r="HJB18" s="88"/>
      <c r="HJC18" s="90"/>
      <c r="HJD18" s="93"/>
      <c r="HJE18" s="88"/>
      <c r="HJF18" s="88"/>
      <c r="HJG18" s="90"/>
      <c r="HJH18" s="93"/>
      <c r="HJI18" s="88"/>
      <c r="HJJ18" s="88"/>
      <c r="HJK18" s="91"/>
      <c r="HJL18" s="93"/>
      <c r="HJM18" s="93"/>
      <c r="HJN18" s="88"/>
      <c r="HJO18" s="88"/>
      <c r="HJP18" s="90"/>
      <c r="HJQ18" s="93"/>
      <c r="HJR18" s="88"/>
      <c r="HJS18" s="88"/>
      <c r="HJT18" s="90"/>
      <c r="HJU18" s="93"/>
      <c r="HJV18" s="88"/>
      <c r="HJW18" s="88"/>
      <c r="HJX18" s="91"/>
      <c r="HJY18" s="93"/>
      <c r="HJZ18" s="93"/>
      <c r="HKA18" s="88"/>
      <c r="HKB18" s="88"/>
      <c r="HKC18" s="90"/>
      <c r="HKD18" s="93"/>
      <c r="HKE18" s="88"/>
      <c r="HKF18" s="88"/>
      <c r="HKG18" s="90"/>
      <c r="HKH18" s="93"/>
      <c r="HKI18" s="88"/>
      <c r="HKJ18" s="88"/>
      <c r="HKK18" s="91"/>
      <c r="HKL18" s="93"/>
      <c r="HKM18" s="93"/>
      <c r="HKN18" s="88"/>
      <c r="HKO18" s="88"/>
      <c r="HKP18" s="90"/>
      <c r="HKQ18" s="93"/>
      <c r="HKR18" s="88"/>
      <c r="HKS18" s="88"/>
      <c r="HKT18" s="90"/>
      <c r="HKU18" s="93"/>
      <c r="HKV18" s="88"/>
      <c r="HKW18" s="88"/>
      <c r="HKX18" s="91"/>
      <c r="HKY18" s="93"/>
      <c r="HKZ18" s="93"/>
      <c r="HLA18" s="88"/>
      <c r="HLB18" s="88"/>
      <c r="HLC18" s="90"/>
      <c r="HLD18" s="93"/>
      <c r="HLE18" s="88"/>
      <c r="HLF18" s="88"/>
      <c r="HLG18" s="90"/>
      <c r="HLH18" s="93"/>
      <c r="HLI18" s="88"/>
      <c r="HLJ18" s="88"/>
      <c r="HLK18" s="91"/>
      <c r="HLL18" s="93"/>
      <c r="HLM18" s="93"/>
      <c r="HLN18" s="88"/>
      <c r="HLO18" s="88"/>
      <c r="HLP18" s="90"/>
      <c r="HLQ18" s="93"/>
      <c r="HLR18" s="88"/>
      <c r="HLS18" s="88"/>
      <c r="HLT18" s="90"/>
      <c r="HLU18" s="93"/>
      <c r="HLV18" s="88"/>
      <c r="HLW18" s="88"/>
      <c r="HLX18" s="91"/>
      <c r="HLY18" s="93"/>
      <c r="HLZ18" s="93"/>
      <c r="HMA18" s="88"/>
      <c r="HMB18" s="88"/>
      <c r="HMC18" s="90"/>
      <c r="HMD18" s="93"/>
      <c r="HME18" s="88"/>
      <c r="HMF18" s="88"/>
      <c r="HMG18" s="90"/>
      <c r="HMH18" s="93"/>
      <c r="HMI18" s="88"/>
      <c r="HMJ18" s="88"/>
      <c r="HMK18" s="91"/>
      <c r="HML18" s="93"/>
      <c r="HMM18" s="93"/>
      <c r="HMN18" s="88"/>
      <c r="HMO18" s="88"/>
      <c r="HMP18" s="90"/>
      <c r="HMQ18" s="93"/>
      <c r="HMR18" s="88"/>
      <c r="HMS18" s="88"/>
      <c r="HMT18" s="90"/>
      <c r="HMU18" s="93"/>
      <c r="HMV18" s="88"/>
      <c r="HMW18" s="88"/>
      <c r="HMX18" s="91"/>
      <c r="HMY18" s="93"/>
      <c r="HMZ18" s="93"/>
      <c r="HNA18" s="88"/>
      <c r="HNB18" s="88"/>
      <c r="HNC18" s="90"/>
      <c r="HND18" s="93"/>
      <c r="HNE18" s="88"/>
      <c r="HNF18" s="88"/>
      <c r="HNG18" s="90"/>
      <c r="HNH18" s="93"/>
      <c r="HNI18" s="88"/>
      <c r="HNJ18" s="88"/>
      <c r="HNK18" s="91"/>
      <c r="HNL18" s="93"/>
      <c r="HNM18" s="93"/>
      <c r="HNN18" s="88"/>
      <c r="HNO18" s="88"/>
      <c r="HNP18" s="90"/>
      <c r="HNQ18" s="93"/>
      <c r="HNR18" s="88"/>
      <c r="HNS18" s="88"/>
      <c r="HNT18" s="90"/>
      <c r="HNU18" s="93"/>
      <c r="HNV18" s="88"/>
      <c r="HNW18" s="88"/>
      <c r="HNX18" s="91"/>
      <c r="HNY18" s="93"/>
      <c r="HNZ18" s="93"/>
      <c r="HOA18" s="88"/>
      <c r="HOB18" s="88"/>
      <c r="HOC18" s="90"/>
      <c r="HOD18" s="93"/>
      <c r="HOE18" s="88"/>
      <c r="HOF18" s="88"/>
      <c r="HOG18" s="90"/>
      <c r="HOH18" s="93"/>
      <c r="HOI18" s="88"/>
      <c r="HOJ18" s="88"/>
      <c r="HOK18" s="91"/>
      <c r="HOL18" s="93"/>
      <c r="HOM18" s="93"/>
      <c r="HON18" s="88"/>
      <c r="HOO18" s="88"/>
      <c r="HOP18" s="90"/>
      <c r="HOQ18" s="93"/>
      <c r="HOR18" s="88"/>
      <c r="HOS18" s="88"/>
      <c r="HOT18" s="90"/>
      <c r="HOU18" s="93"/>
      <c r="HOV18" s="88"/>
      <c r="HOW18" s="88"/>
      <c r="HOX18" s="91"/>
      <c r="HOY18" s="93"/>
      <c r="HOZ18" s="93"/>
      <c r="HPA18" s="88"/>
      <c r="HPB18" s="88"/>
      <c r="HPC18" s="90"/>
      <c r="HPD18" s="93"/>
      <c r="HPE18" s="88"/>
      <c r="HPF18" s="88"/>
      <c r="HPG18" s="90"/>
      <c r="HPH18" s="93"/>
      <c r="HPI18" s="88"/>
      <c r="HPJ18" s="88"/>
      <c r="HPK18" s="91"/>
      <c r="HPL18" s="93"/>
      <c r="HPM18" s="93"/>
      <c r="HPN18" s="88"/>
      <c r="HPO18" s="88"/>
      <c r="HPP18" s="90"/>
      <c r="HPQ18" s="93"/>
      <c r="HPR18" s="88"/>
      <c r="HPS18" s="88"/>
      <c r="HPT18" s="90"/>
      <c r="HPU18" s="93"/>
      <c r="HPV18" s="88"/>
      <c r="HPW18" s="88"/>
      <c r="HPX18" s="91"/>
      <c r="HPY18" s="93"/>
      <c r="HPZ18" s="93"/>
      <c r="HQA18" s="88"/>
      <c r="HQB18" s="88"/>
      <c r="HQC18" s="90"/>
      <c r="HQD18" s="93"/>
      <c r="HQE18" s="88"/>
      <c r="HQF18" s="88"/>
      <c r="HQG18" s="90"/>
      <c r="HQH18" s="93"/>
      <c r="HQI18" s="88"/>
      <c r="HQJ18" s="88"/>
      <c r="HQK18" s="91"/>
      <c r="HQL18" s="93"/>
      <c r="HQM18" s="93"/>
      <c r="HQN18" s="88"/>
      <c r="HQO18" s="88"/>
      <c r="HQP18" s="90"/>
      <c r="HQQ18" s="93"/>
      <c r="HQR18" s="88"/>
      <c r="HQS18" s="88"/>
      <c r="HQT18" s="90"/>
      <c r="HQU18" s="93"/>
      <c r="HQV18" s="88"/>
      <c r="HQW18" s="88"/>
      <c r="HQX18" s="91"/>
      <c r="HQY18" s="93"/>
      <c r="HQZ18" s="93"/>
      <c r="HRA18" s="88"/>
      <c r="HRB18" s="88"/>
      <c r="HRC18" s="90"/>
      <c r="HRD18" s="93"/>
      <c r="HRE18" s="88"/>
      <c r="HRF18" s="88"/>
      <c r="HRG18" s="90"/>
      <c r="HRH18" s="93"/>
      <c r="HRI18" s="88"/>
      <c r="HRJ18" s="88"/>
      <c r="HRK18" s="91"/>
      <c r="HRL18" s="93"/>
      <c r="HRM18" s="93"/>
      <c r="HRN18" s="88"/>
      <c r="HRO18" s="88"/>
      <c r="HRP18" s="90"/>
      <c r="HRQ18" s="93"/>
      <c r="HRR18" s="88"/>
      <c r="HRS18" s="88"/>
      <c r="HRT18" s="90"/>
      <c r="HRU18" s="93"/>
      <c r="HRV18" s="88"/>
      <c r="HRW18" s="88"/>
      <c r="HRX18" s="91"/>
      <c r="HRY18" s="93"/>
      <c r="HRZ18" s="93"/>
      <c r="HSA18" s="88"/>
      <c r="HSB18" s="88"/>
      <c r="HSC18" s="90"/>
      <c r="HSD18" s="93"/>
      <c r="HSE18" s="88"/>
      <c r="HSF18" s="88"/>
      <c r="HSG18" s="90"/>
      <c r="HSH18" s="93"/>
      <c r="HSI18" s="88"/>
      <c r="HSJ18" s="88"/>
      <c r="HSK18" s="91"/>
      <c r="HSL18" s="93"/>
      <c r="HSM18" s="93"/>
      <c r="HSN18" s="88"/>
      <c r="HSO18" s="88"/>
      <c r="HSP18" s="90"/>
      <c r="HSQ18" s="93"/>
      <c r="HSR18" s="88"/>
      <c r="HSS18" s="88"/>
      <c r="HST18" s="90"/>
      <c r="HSU18" s="93"/>
      <c r="HSV18" s="88"/>
      <c r="HSW18" s="88"/>
      <c r="HSX18" s="91"/>
      <c r="HSY18" s="93"/>
      <c r="HSZ18" s="93"/>
      <c r="HTA18" s="88"/>
      <c r="HTB18" s="88"/>
      <c r="HTC18" s="90"/>
      <c r="HTD18" s="93"/>
      <c r="HTE18" s="88"/>
      <c r="HTF18" s="88"/>
      <c r="HTG18" s="90"/>
      <c r="HTH18" s="93"/>
      <c r="HTI18" s="88"/>
      <c r="HTJ18" s="88"/>
      <c r="HTK18" s="91"/>
      <c r="HTL18" s="93"/>
      <c r="HTM18" s="93"/>
      <c r="HTN18" s="88"/>
      <c r="HTO18" s="88"/>
      <c r="HTP18" s="90"/>
      <c r="HTQ18" s="93"/>
      <c r="HTR18" s="88"/>
      <c r="HTS18" s="88"/>
      <c r="HTT18" s="90"/>
      <c r="HTU18" s="93"/>
      <c r="HTV18" s="88"/>
      <c r="HTW18" s="88"/>
      <c r="HTX18" s="91"/>
      <c r="HTY18" s="93"/>
      <c r="HTZ18" s="93"/>
      <c r="HUA18" s="88"/>
      <c r="HUB18" s="88"/>
      <c r="HUC18" s="90"/>
      <c r="HUD18" s="93"/>
      <c r="HUE18" s="88"/>
      <c r="HUF18" s="88"/>
      <c r="HUG18" s="90"/>
      <c r="HUH18" s="93"/>
      <c r="HUI18" s="88"/>
      <c r="HUJ18" s="88"/>
      <c r="HUK18" s="91"/>
      <c r="HUL18" s="93"/>
      <c r="HUM18" s="93"/>
      <c r="HUN18" s="88"/>
      <c r="HUO18" s="88"/>
      <c r="HUP18" s="90"/>
      <c r="HUQ18" s="93"/>
      <c r="HUR18" s="88"/>
      <c r="HUS18" s="88"/>
      <c r="HUT18" s="90"/>
      <c r="HUU18" s="93"/>
      <c r="HUV18" s="88"/>
      <c r="HUW18" s="88"/>
      <c r="HUX18" s="91"/>
      <c r="HUY18" s="93"/>
      <c r="HUZ18" s="93"/>
      <c r="HVA18" s="88"/>
      <c r="HVB18" s="88"/>
      <c r="HVC18" s="90"/>
      <c r="HVD18" s="93"/>
      <c r="HVE18" s="88"/>
      <c r="HVF18" s="88"/>
      <c r="HVG18" s="90"/>
      <c r="HVH18" s="93"/>
      <c r="HVI18" s="88"/>
      <c r="HVJ18" s="88"/>
      <c r="HVK18" s="91"/>
      <c r="HVL18" s="93"/>
      <c r="HVM18" s="93"/>
      <c r="HVN18" s="88"/>
      <c r="HVO18" s="88"/>
      <c r="HVP18" s="90"/>
      <c r="HVQ18" s="93"/>
      <c r="HVR18" s="88"/>
      <c r="HVS18" s="88"/>
      <c r="HVT18" s="90"/>
      <c r="HVU18" s="93"/>
      <c r="HVV18" s="88"/>
      <c r="HVW18" s="88"/>
      <c r="HVX18" s="91"/>
      <c r="HVY18" s="93"/>
      <c r="HVZ18" s="93"/>
      <c r="HWA18" s="88"/>
      <c r="HWB18" s="88"/>
      <c r="HWC18" s="90"/>
      <c r="HWD18" s="93"/>
      <c r="HWE18" s="88"/>
      <c r="HWF18" s="88"/>
      <c r="HWG18" s="90"/>
      <c r="HWH18" s="93"/>
      <c r="HWI18" s="88"/>
      <c r="HWJ18" s="88"/>
      <c r="HWK18" s="91"/>
      <c r="HWL18" s="93"/>
      <c r="HWM18" s="93"/>
      <c r="HWN18" s="88"/>
      <c r="HWO18" s="88"/>
      <c r="HWP18" s="90"/>
      <c r="HWQ18" s="93"/>
      <c r="HWR18" s="88"/>
      <c r="HWS18" s="88"/>
      <c r="HWT18" s="90"/>
      <c r="HWU18" s="93"/>
      <c r="HWV18" s="88"/>
      <c r="HWW18" s="88"/>
      <c r="HWX18" s="91"/>
      <c r="HWY18" s="93"/>
      <c r="HWZ18" s="93"/>
      <c r="HXA18" s="88"/>
      <c r="HXB18" s="88"/>
      <c r="HXC18" s="90"/>
      <c r="HXD18" s="93"/>
      <c r="HXE18" s="88"/>
      <c r="HXF18" s="88"/>
      <c r="HXG18" s="90"/>
      <c r="HXH18" s="93"/>
      <c r="HXI18" s="88"/>
      <c r="HXJ18" s="88"/>
      <c r="HXK18" s="91"/>
      <c r="HXL18" s="93"/>
      <c r="HXM18" s="93"/>
      <c r="HXN18" s="88"/>
      <c r="HXO18" s="88"/>
      <c r="HXP18" s="90"/>
      <c r="HXQ18" s="93"/>
      <c r="HXR18" s="88"/>
      <c r="HXS18" s="88"/>
      <c r="HXT18" s="90"/>
      <c r="HXU18" s="93"/>
      <c r="HXV18" s="88"/>
      <c r="HXW18" s="88"/>
      <c r="HXX18" s="91"/>
      <c r="HXY18" s="93"/>
      <c r="HXZ18" s="93"/>
      <c r="HYA18" s="88"/>
      <c r="HYB18" s="88"/>
      <c r="HYC18" s="90"/>
      <c r="HYD18" s="93"/>
      <c r="HYE18" s="88"/>
      <c r="HYF18" s="88"/>
      <c r="HYG18" s="90"/>
      <c r="HYH18" s="93"/>
      <c r="HYI18" s="88"/>
      <c r="HYJ18" s="88"/>
      <c r="HYK18" s="91"/>
      <c r="HYL18" s="93"/>
      <c r="HYM18" s="93"/>
      <c r="HYN18" s="88"/>
      <c r="HYO18" s="88"/>
      <c r="HYP18" s="90"/>
      <c r="HYQ18" s="93"/>
      <c r="HYR18" s="88"/>
      <c r="HYS18" s="88"/>
      <c r="HYT18" s="90"/>
      <c r="HYU18" s="93"/>
      <c r="HYV18" s="88"/>
      <c r="HYW18" s="88"/>
      <c r="HYX18" s="91"/>
      <c r="HYY18" s="93"/>
      <c r="HYZ18" s="93"/>
      <c r="HZA18" s="88"/>
      <c r="HZB18" s="88"/>
      <c r="HZC18" s="90"/>
      <c r="HZD18" s="93"/>
      <c r="HZE18" s="88"/>
      <c r="HZF18" s="88"/>
      <c r="HZG18" s="90"/>
      <c r="HZH18" s="93"/>
      <c r="HZI18" s="88"/>
      <c r="HZJ18" s="88"/>
      <c r="HZK18" s="91"/>
      <c r="HZL18" s="93"/>
      <c r="HZM18" s="93"/>
      <c r="HZN18" s="88"/>
      <c r="HZO18" s="88"/>
      <c r="HZP18" s="90"/>
      <c r="HZQ18" s="93"/>
      <c r="HZR18" s="88"/>
      <c r="HZS18" s="88"/>
      <c r="HZT18" s="90"/>
      <c r="HZU18" s="93"/>
      <c r="HZV18" s="88"/>
      <c r="HZW18" s="88"/>
      <c r="HZX18" s="91"/>
      <c r="HZY18" s="93"/>
      <c r="HZZ18" s="93"/>
      <c r="IAA18" s="88"/>
      <c r="IAB18" s="88"/>
      <c r="IAC18" s="90"/>
      <c r="IAD18" s="93"/>
      <c r="IAE18" s="88"/>
      <c r="IAF18" s="88"/>
      <c r="IAG18" s="90"/>
      <c r="IAH18" s="93"/>
      <c r="IAI18" s="88"/>
      <c r="IAJ18" s="88"/>
      <c r="IAK18" s="91"/>
      <c r="IAL18" s="93"/>
      <c r="IAM18" s="93"/>
      <c r="IAN18" s="88"/>
      <c r="IAO18" s="88"/>
      <c r="IAP18" s="90"/>
      <c r="IAQ18" s="93"/>
      <c r="IAR18" s="88"/>
      <c r="IAS18" s="88"/>
      <c r="IAT18" s="90"/>
      <c r="IAU18" s="93"/>
      <c r="IAV18" s="88"/>
      <c r="IAW18" s="88"/>
      <c r="IAX18" s="91"/>
      <c r="IAY18" s="93"/>
      <c r="IAZ18" s="93"/>
      <c r="IBA18" s="88"/>
      <c r="IBB18" s="88"/>
      <c r="IBC18" s="90"/>
      <c r="IBD18" s="93"/>
      <c r="IBE18" s="88"/>
      <c r="IBF18" s="88"/>
      <c r="IBG18" s="90"/>
      <c r="IBH18" s="93"/>
      <c r="IBI18" s="88"/>
      <c r="IBJ18" s="88"/>
      <c r="IBK18" s="91"/>
      <c r="IBL18" s="93"/>
      <c r="IBM18" s="93"/>
      <c r="IBN18" s="88"/>
      <c r="IBO18" s="88"/>
      <c r="IBP18" s="90"/>
      <c r="IBQ18" s="93"/>
      <c r="IBR18" s="88"/>
      <c r="IBS18" s="88"/>
      <c r="IBT18" s="90"/>
      <c r="IBU18" s="93"/>
      <c r="IBV18" s="88"/>
      <c r="IBW18" s="88"/>
      <c r="IBX18" s="91"/>
      <c r="IBY18" s="93"/>
      <c r="IBZ18" s="93"/>
      <c r="ICA18" s="88"/>
      <c r="ICB18" s="88"/>
      <c r="ICC18" s="90"/>
      <c r="ICD18" s="93"/>
      <c r="ICE18" s="88"/>
      <c r="ICF18" s="88"/>
      <c r="ICG18" s="90"/>
      <c r="ICH18" s="93"/>
      <c r="ICI18" s="88"/>
      <c r="ICJ18" s="88"/>
      <c r="ICK18" s="91"/>
      <c r="ICL18" s="93"/>
      <c r="ICM18" s="93"/>
      <c r="ICN18" s="88"/>
      <c r="ICO18" s="88"/>
      <c r="ICP18" s="90"/>
      <c r="ICQ18" s="93"/>
      <c r="ICR18" s="88"/>
      <c r="ICS18" s="88"/>
      <c r="ICT18" s="90"/>
      <c r="ICU18" s="93"/>
      <c r="ICV18" s="88"/>
      <c r="ICW18" s="88"/>
      <c r="ICX18" s="91"/>
      <c r="ICY18" s="93"/>
      <c r="ICZ18" s="93"/>
      <c r="IDA18" s="88"/>
      <c r="IDB18" s="88"/>
      <c r="IDC18" s="90"/>
      <c r="IDD18" s="93"/>
      <c r="IDE18" s="88"/>
      <c r="IDF18" s="88"/>
      <c r="IDG18" s="90"/>
      <c r="IDH18" s="93"/>
      <c r="IDI18" s="88"/>
      <c r="IDJ18" s="88"/>
      <c r="IDK18" s="91"/>
      <c r="IDL18" s="93"/>
      <c r="IDM18" s="93"/>
      <c r="IDN18" s="88"/>
      <c r="IDO18" s="88"/>
      <c r="IDP18" s="90"/>
      <c r="IDQ18" s="93"/>
      <c r="IDR18" s="88"/>
      <c r="IDS18" s="88"/>
      <c r="IDT18" s="90"/>
      <c r="IDU18" s="93"/>
      <c r="IDV18" s="88"/>
      <c r="IDW18" s="88"/>
      <c r="IDX18" s="91"/>
      <c r="IDY18" s="93"/>
      <c r="IDZ18" s="93"/>
      <c r="IEA18" s="88"/>
      <c r="IEB18" s="88"/>
      <c r="IEC18" s="90"/>
      <c r="IED18" s="93"/>
      <c r="IEE18" s="88"/>
      <c r="IEF18" s="88"/>
      <c r="IEG18" s="90"/>
      <c r="IEH18" s="93"/>
      <c r="IEI18" s="88"/>
      <c r="IEJ18" s="88"/>
      <c r="IEK18" s="91"/>
      <c r="IEL18" s="93"/>
      <c r="IEM18" s="93"/>
      <c r="IEN18" s="88"/>
      <c r="IEO18" s="88"/>
      <c r="IEP18" s="90"/>
      <c r="IEQ18" s="93"/>
      <c r="IER18" s="88"/>
      <c r="IES18" s="88"/>
      <c r="IET18" s="90"/>
      <c r="IEU18" s="93"/>
      <c r="IEV18" s="88"/>
      <c r="IEW18" s="88"/>
      <c r="IEX18" s="91"/>
      <c r="IEY18" s="93"/>
      <c r="IEZ18" s="93"/>
      <c r="IFA18" s="88"/>
      <c r="IFB18" s="88"/>
      <c r="IFC18" s="90"/>
      <c r="IFD18" s="93"/>
      <c r="IFE18" s="88"/>
      <c r="IFF18" s="88"/>
      <c r="IFG18" s="90"/>
      <c r="IFH18" s="93"/>
      <c r="IFI18" s="88"/>
      <c r="IFJ18" s="88"/>
      <c r="IFK18" s="91"/>
      <c r="IFL18" s="93"/>
      <c r="IFM18" s="93"/>
      <c r="IFN18" s="88"/>
      <c r="IFO18" s="88"/>
      <c r="IFP18" s="90"/>
      <c r="IFQ18" s="93"/>
      <c r="IFR18" s="88"/>
      <c r="IFS18" s="88"/>
      <c r="IFT18" s="90"/>
      <c r="IFU18" s="93"/>
      <c r="IFV18" s="88"/>
      <c r="IFW18" s="88"/>
      <c r="IFX18" s="91"/>
      <c r="IFY18" s="93"/>
      <c r="IFZ18" s="93"/>
      <c r="IGA18" s="88"/>
      <c r="IGB18" s="88"/>
      <c r="IGC18" s="90"/>
      <c r="IGD18" s="93"/>
      <c r="IGE18" s="88"/>
      <c r="IGF18" s="88"/>
      <c r="IGG18" s="90"/>
      <c r="IGH18" s="93"/>
      <c r="IGI18" s="88"/>
      <c r="IGJ18" s="88"/>
      <c r="IGK18" s="91"/>
      <c r="IGL18" s="93"/>
      <c r="IGM18" s="93"/>
      <c r="IGN18" s="88"/>
      <c r="IGO18" s="88"/>
      <c r="IGP18" s="90"/>
      <c r="IGQ18" s="93"/>
      <c r="IGR18" s="88"/>
      <c r="IGS18" s="88"/>
      <c r="IGT18" s="90"/>
      <c r="IGU18" s="93"/>
      <c r="IGV18" s="88"/>
      <c r="IGW18" s="88"/>
      <c r="IGX18" s="91"/>
      <c r="IGY18" s="93"/>
      <c r="IGZ18" s="93"/>
      <c r="IHA18" s="88"/>
      <c r="IHB18" s="88"/>
      <c r="IHC18" s="90"/>
      <c r="IHD18" s="93"/>
      <c r="IHE18" s="88"/>
      <c r="IHF18" s="88"/>
      <c r="IHG18" s="90"/>
      <c r="IHH18" s="93"/>
      <c r="IHI18" s="88"/>
      <c r="IHJ18" s="88"/>
      <c r="IHK18" s="91"/>
      <c r="IHL18" s="93"/>
      <c r="IHM18" s="93"/>
      <c r="IHN18" s="88"/>
      <c r="IHO18" s="88"/>
      <c r="IHP18" s="90"/>
      <c r="IHQ18" s="93"/>
      <c r="IHR18" s="88"/>
      <c r="IHS18" s="88"/>
      <c r="IHT18" s="90"/>
      <c r="IHU18" s="93"/>
      <c r="IHV18" s="88"/>
      <c r="IHW18" s="88"/>
      <c r="IHX18" s="91"/>
      <c r="IHY18" s="93"/>
      <c r="IHZ18" s="93"/>
      <c r="IIA18" s="88"/>
      <c r="IIB18" s="88"/>
      <c r="IIC18" s="90"/>
      <c r="IID18" s="93"/>
      <c r="IIE18" s="88"/>
      <c r="IIF18" s="88"/>
      <c r="IIG18" s="90"/>
      <c r="IIH18" s="93"/>
      <c r="III18" s="88"/>
      <c r="IIJ18" s="88"/>
      <c r="IIK18" s="91"/>
      <c r="IIL18" s="93"/>
      <c r="IIM18" s="93"/>
      <c r="IIN18" s="88"/>
      <c r="IIO18" s="88"/>
      <c r="IIP18" s="90"/>
      <c r="IIQ18" s="93"/>
      <c r="IIR18" s="88"/>
      <c r="IIS18" s="88"/>
      <c r="IIT18" s="90"/>
      <c r="IIU18" s="93"/>
      <c r="IIV18" s="88"/>
      <c r="IIW18" s="88"/>
      <c r="IIX18" s="91"/>
      <c r="IIY18" s="93"/>
      <c r="IIZ18" s="93"/>
      <c r="IJA18" s="88"/>
      <c r="IJB18" s="88"/>
      <c r="IJC18" s="90"/>
      <c r="IJD18" s="93"/>
      <c r="IJE18" s="88"/>
      <c r="IJF18" s="88"/>
      <c r="IJG18" s="90"/>
      <c r="IJH18" s="93"/>
      <c r="IJI18" s="88"/>
      <c r="IJJ18" s="88"/>
      <c r="IJK18" s="91"/>
      <c r="IJL18" s="93"/>
      <c r="IJM18" s="93"/>
      <c r="IJN18" s="88"/>
      <c r="IJO18" s="88"/>
      <c r="IJP18" s="90"/>
      <c r="IJQ18" s="93"/>
      <c r="IJR18" s="88"/>
      <c r="IJS18" s="88"/>
      <c r="IJT18" s="90"/>
      <c r="IJU18" s="93"/>
      <c r="IJV18" s="88"/>
      <c r="IJW18" s="88"/>
      <c r="IJX18" s="91"/>
      <c r="IJY18" s="93"/>
      <c r="IJZ18" s="93"/>
      <c r="IKA18" s="88"/>
      <c r="IKB18" s="88"/>
      <c r="IKC18" s="90"/>
      <c r="IKD18" s="93"/>
      <c r="IKE18" s="88"/>
      <c r="IKF18" s="88"/>
      <c r="IKG18" s="90"/>
      <c r="IKH18" s="93"/>
      <c r="IKI18" s="88"/>
      <c r="IKJ18" s="88"/>
      <c r="IKK18" s="91"/>
      <c r="IKL18" s="93"/>
      <c r="IKM18" s="93"/>
      <c r="IKN18" s="88"/>
      <c r="IKO18" s="88"/>
      <c r="IKP18" s="90"/>
      <c r="IKQ18" s="93"/>
      <c r="IKR18" s="88"/>
      <c r="IKS18" s="88"/>
      <c r="IKT18" s="90"/>
      <c r="IKU18" s="93"/>
      <c r="IKV18" s="88"/>
      <c r="IKW18" s="88"/>
      <c r="IKX18" s="91"/>
      <c r="IKY18" s="93"/>
      <c r="IKZ18" s="93"/>
      <c r="ILA18" s="88"/>
      <c r="ILB18" s="88"/>
      <c r="ILC18" s="90"/>
      <c r="ILD18" s="93"/>
      <c r="ILE18" s="88"/>
      <c r="ILF18" s="88"/>
      <c r="ILG18" s="90"/>
      <c r="ILH18" s="93"/>
      <c r="ILI18" s="88"/>
      <c r="ILJ18" s="88"/>
      <c r="ILK18" s="91"/>
      <c r="ILL18" s="93"/>
      <c r="ILM18" s="93"/>
      <c r="ILN18" s="88"/>
      <c r="ILO18" s="88"/>
      <c r="ILP18" s="90"/>
      <c r="ILQ18" s="93"/>
      <c r="ILR18" s="88"/>
      <c r="ILS18" s="88"/>
      <c r="ILT18" s="90"/>
      <c r="ILU18" s="93"/>
      <c r="ILV18" s="88"/>
      <c r="ILW18" s="88"/>
      <c r="ILX18" s="91"/>
      <c r="ILY18" s="93"/>
      <c r="ILZ18" s="93"/>
      <c r="IMA18" s="88"/>
      <c r="IMB18" s="88"/>
      <c r="IMC18" s="90"/>
      <c r="IMD18" s="93"/>
      <c r="IME18" s="88"/>
      <c r="IMF18" s="88"/>
      <c r="IMG18" s="90"/>
      <c r="IMH18" s="93"/>
      <c r="IMI18" s="88"/>
      <c r="IMJ18" s="88"/>
      <c r="IMK18" s="91"/>
      <c r="IML18" s="93"/>
      <c r="IMM18" s="93"/>
      <c r="IMN18" s="88"/>
      <c r="IMO18" s="88"/>
      <c r="IMP18" s="90"/>
      <c r="IMQ18" s="93"/>
      <c r="IMR18" s="88"/>
      <c r="IMS18" s="88"/>
      <c r="IMT18" s="90"/>
      <c r="IMU18" s="93"/>
      <c r="IMV18" s="88"/>
      <c r="IMW18" s="88"/>
      <c r="IMX18" s="91"/>
      <c r="IMY18" s="93"/>
      <c r="IMZ18" s="93"/>
      <c r="INA18" s="88"/>
      <c r="INB18" s="88"/>
      <c r="INC18" s="90"/>
      <c r="IND18" s="93"/>
      <c r="INE18" s="88"/>
      <c r="INF18" s="88"/>
      <c r="ING18" s="90"/>
      <c r="INH18" s="93"/>
      <c r="INI18" s="88"/>
      <c r="INJ18" s="88"/>
      <c r="INK18" s="91"/>
      <c r="INL18" s="93"/>
      <c r="INM18" s="93"/>
      <c r="INN18" s="88"/>
      <c r="INO18" s="88"/>
      <c r="INP18" s="90"/>
      <c r="INQ18" s="93"/>
      <c r="INR18" s="88"/>
      <c r="INS18" s="88"/>
      <c r="INT18" s="90"/>
      <c r="INU18" s="93"/>
      <c r="INV18" s="88"/>
      <c r="INW18" s="88"/>
      <c r="INX18" s="91"/>
      <c r="INY18" s="93"/>
      <c r="INZ18" s="93"/>
      <c r="IOA18" s="88"/>
      <c r="IOB18" s="88"/>
      <c r="IOC18" s="90"/>
      <c r="IOD18" s="93"/>
      <c r="IOE18" s="88"/>
      <c r="IOF18" s="88"/>
      <c r="IOG18" s="90"/>
      <c r="IOH18" s="93"/>
      <c r="IOI18" s="88"/>
      <c r="IOJ18" s="88"/>
      <c r="IOK18" s="91"/>
      <c r="IOL18" s="93"/>
      <c r="IOM18" s="93"/>
      <c r="ION18" s="88"/>
      <c r="IOO18" s="88"/>
      <c r="IOP18" s="90"/>
      <c r="IOQ18" s="93"/>
      <c r="IOR18" s="88"/>
      <c r="IOS18" s="88"/>
      <c r="IOT18" s="90"/>
      <c r="IOU18" s="93"/>
      <c r="IOV18" s="88"/>
      <c r="IOW18" s="88"/>
      <c r="IOX18" s="91"/>
      <c r="IOY18" s="93"/>
      <c r="IOZ18" s="93"/>
      <c r="IPA18" s="88"/>
      <c r="IPB18" s="88"/>
      <c r="IPC18" s="90"/>
      <c r="IPD18" s="93"/>
      <c r="IPE18" s="88"/>
      <c r="IPF18" s="88"/>
      <c r="IPG18" s="90"/>
      <c r="IPH18" s="93"/>
      <c r="IPI18" s="88"/>
      <c r="IPJ18" s="88"/>
      <c r="IPK18" s="91"/>
      <c r="IPL18" s="93"/>
      <c r="IPM18" s="93"/>
      <c r="IPN18" s="88"/>
      <c r="IPO18" s="88"/>
      <c r="IPP18" s="90"/>
      <c r="IPQ18" s="93"/>
      <c r="IPR18" s="88"/>
      <c r="IPS18" s="88"/>
      <c r="IPT18" s="90"/>
      <c r="IPU18" s="93"/>
      <c r="IPV18" s="88"/>
      <c r="IPW18" s="88"/>
      <c r="IPX18" s="91"/>
      <c r="IPY18" s="93"/>
      <c r="IPZ18" s="93"/>
      <c r="IQA18" s="88"/>
      <c r="IQB18" s="88"/>
      <c r="IQC18" s="90"/>
      <c r="IQD18" s="93"/>
      <c r="IQE18" s="88"/>
      <c r="IQF18" s="88"/>
      <c r="IQG18" s="90"/>
      <c r="IQH18" s="93"/>
      <c r="IQI18" s="88"/>
      <c r="IQJ18" s="88"/>
      <c r="IQK18" s="91"/>
      <c r="IQL18" s="93"/>
      <c r="IQM18" s="93"/>
      <c r="IQN18" s="88"/>
      <c r="IQO18" s="88"/>
      <c r="IQP18" s="90"/>
      <c r="IQQ18" s="93"/>
      <c r="IQR18" s="88"/>
      <c r="IQS18" s="88"/>
      <c r="IQT18" s="90"/>
      <c r="IQU18" s="93"/>
      <c r="IQV18" s="88"/>
      <c r="IQW18" s="88"/>
      <c r="IQX18" s="91"/>
      <c r="IQY18" s="93"/>
      <c r="IQZ18" s="93"/>
      <c r="IRA18" s="88"/>
      <c r="IRB18" s="88"/>
      <c r="IRC18" s="90"/>
      <c r="IRD18" s="93"/>
      <c r="IRE18" s="88"/>
      <c r="IRF18" s="88"/>
      <c r="IRG18" s="90"/>
      <c r="IRH18" s="93"/>
      <c r="IRI18" s="88"/>
      <c r="IRJ18" s="88"/>
      <c r="IRK18" s="91"/>
      <c r="IRL18" s="93"/>
      <c r="IRM18" s="93"/>
      <c r="IRN18" s="88"/>
      <c r="IRO18" s="88"/>
      <c r="IRP18" s="90"/>
      <c r="IRQ18" s="93"/>
      <c r="IRR18" s="88"/>
      <c r="IRS18" s="88"/>
      <c r="IRT18" s="90"/>
      <c r="IRU18" s="93"/>
      <c r="IRV18" s="88"/>
      <c r="IRW18" s="88"/>
      <c r="IRX18" s="91"/>
      <c r="IRY18" s="93"/>
      <c r="IRZ18" s="93"/>
      <c r="ISA18" s="88"/>
      <c r="ISB18" s="88"/>
      <c r="ISC18" s="90"/>
      <c r="ISD18" s="93"/>
      <c r="ISE18" s="88"/>
      <c r="ISF18" s="88"/>
      <c r="ISG18" s="90"/>
      <c r="ISH18" s="93"/>
      <c r="ISI18" s="88"/>
      <c r="ISJ18" s="88"/>
      <c r="ISK18" s="91"/>
      <c r="ISL18" s="93"/>
      <c r="ISM18" s="93"/>
      <c r="ISN18" s="88"/>
      <c r="ISO18" s="88"/>
      <c r="ISP18" s="90"/>
      <c r="ISQ18" s="93"/>
      <c r="ISR18" s="88"/>
      <c r="ISS18" s="88"/>
      <c r="IST18" s="90"/>
      <c r="ISU18" s="93"/>
      <c r="ISV18" s="88"/>
      <c r="ISW18" s="88"/>
      <c r="ISX18" s="91"/>
      <c r="ISY18" s="93"/>
      <c r="ISZ18" s="93"/>
      <c r="ITA18" s="88"/>
      <c r="ITB18" s="88"/>
      <c r="ITC18" s="90"/>
      <c r="ITD18" s="93"/>
      <c r="ITE18" s="88"/>
      <c r="ITF18" s="88"/>
      <c r="ITG18" s="90"/>
      <c r="ITH18" s="93"/>
      <c r="ITI18" s="88"/>
      <c r="ITJ18" s="88"/>
      <c r="ITK18" s="91"/>
      <c r="ITL18" s="93"/>
      <c r="ITM18" s="93"/>
      <c r="ITN18" s="88"/>
      <c r="ITO18" s="88"/>
      <c r="ITP18" s="90"/>
      <c r="ITQ18" s="93"/>
      <c r="ITR18" s="88"/>
      <c r="ITS18" s="88"/>
      <c r="ITT18" s="90"/>
      <c r="ITU18" s="93"/>
      <c r="ITV18" s="88"/>
      <c r="ITW18" s="88"/>
      <c r="ITX18" s="91"/>
      <c r="ITY18" s="93"/>
      <c r="ITZ18" s="93"/>
      <c r="IUA18" s="88"/>
      <c r="IUB18" s="88"/>
      <c r="IUC18" s="90"/>
      <c r="IUD18" s="93"/>
      <c r="IUE18" s="88"/>
      <c r="IUF18" s="88"/>
      <c r="IUG18" s="90"/>
      <c r="IUH18" s="93"/>
      <c r="IUI18" s="88"/>
      <c r="IUJ18" s="88"/>
      <c r="IUK18" s="91"/>
      <c r="IUL18" s="93"/>
      <c r="IUM18" s="93"/>
      <c r="IUN18" s="88"/>
      <c r="IUO18" s="88"/>
      <c r="IUP18" s="90"/>
      <c r="IUQ18" s="93"/>
      <c r="IUR18" s="88"/>
      <c r="IUS18" s="88"/>
      <c r="IUT18" s="90"/>
      <c r="IUU18" s="93"/>
      <c r="IUV18" s="88"/>
      <c r="IUW18" s="88"/>
      <c r="IUX18" s="91"/>
      <c r="IUY18" s="93"/>
      <c r="IUZ18" s="93"/>
      <c r="IVA18" s="88"/>
      <c r="IVB18" s="88"/>
      <c r="IVC18" s="90"/>
      <c r="IVD18" s="93"/>
      <c r="IVE18" s="88"/>
      <c r="IVF18" s="88"/>
      <c r="IVG18" s="90"/>
      <c r="IVH18" s="93"/>
      <c r="IVI18" s="88"/>
      <c r="IVJ18" s="88"/>
      <c r="IVK18" s="91"/>
      <c r="IVL18" s="93"/>
      <c r="IVM18" s="93"/>
      <c r="IVN18" s="88"/>
      <c r="IVO18" s="88"/>
      <c r="IVP18" s="90"/>
      <c r="IVQ18" s="93"/>
      <c r="IVR18" s="88"/>
      <c r="IVS18" s="88"/>
      <c r="IVT18" s="90"/>
      <c r="IVU18" s="93"/>
      <c r="IVV18" s="88"/>
      <c r="IVW18" s="88"/>
      <c r="IVX18" s="91"/>
      <c r="IVY18" s="93"/>
      <c r="IVZ18" s="93"/>
      <c r="IWA18" s="88"/>
      <c r="IWB18" s="88"/>
      <c r="IWC18" s="90"/>
      <c r="IWD18" s="93"/>
      <c r="IWE18" s="88"/>
      <c r="IWF18" s="88"/>
      <c r="IWG18" s="90"/>
      <c r="IWH18" s="93"/>
      <c r="IWI18" s="88"/>
      <c r="IWJ18" s="88"/>
      <c r="IWK18" s="91"/>
      <c r="IWL18" s="93"/>
      <c r="IWM18" s="93"/>
      <c r="IWN18" s="88"/>
      <c r="IWO18" s="88"/>
      <c r="IWP18" s="90"/>
      <c r="IWQ18" s="93"/>
      <c r="IWR18" s="88"/>
      <c r="IWS18" s="88"/>
      <c r="IWT18" s="90"/>
      <c r="IWU18" s="93"/>
      <c r="IWV18" s="88"/>
      <c r="IWW18" s="88"/>
      <c r="IWX18" s="91"/>
      <c r="IWY18" s="93"/>
      <c r="IWZ18" s="93"/>
      <c r="IXA18" s="88"/>
      <c r="IXB18" s="88"/>
      <c r="IXC18" s="90"/>
      <c r="IXD18" s="93"/>
      <c r="IXE18" s="88"/>
      <c r="IXF18" s="88"/>
      <c r="IXG18" s="90"/>
      <c r="IXH18" s="93"/>
      <c r="IXI18" s="88"/>
      <c r="IXJ18" s="88"/>
      <c r="IXK18" s="91"/>
      <c r="IXL18" s="93"/>
      <c r="IXM18" s="93"/>
      <c r="IXN18" s="88"/>
      <c r="IXO18" s="88"/>
      <c r="IXP18" s="90"/>
      <c r="IXQ18" s="93"/>
      <c r="IXR18" s="88"/>
      <c r="IXS18" s="88"/>
      <c r="IXT18" s="90"/>
      <c r="IXU18" s="93"/>
      <c r="IXV18" s="88"/>
      <c r="IXW18" s="88"/>
      <c r="IXX18" s="91"/>
      <c r="IXY18" s="93"/>
      <c r="IXZ18" s="93"/>
      <c r="IYA18" s="88"/>
      <c r="IYB18" s="88"/>
      <c r="IYC18" s="90"/>
      <c r="IYD18" s="93"/>
      <c r="IYE18" s="88"/>
      <c r="IYF18" s="88"/>
      <c r="IYG18" s="90"/>
      <c r="IYH18" s="93"/>
      <c r="IYI18" s="88"/>
      <c r="IYJ18" s="88"/>
      <c r="IYK18" s="91"/>
      <c r="IYL18" s="93"/>
      <c r="IYM18" s="93"/>
      <c r="IYN18" s="88"/>
      <c r="IYO18" s="88"/>
      <c r="IYP18" s="90"/>
      <c r="IYQ18" s="93"/>
      <c r="IYR18" s="88"/>
      <c r="IYS18" s="88"/>
      <c r="IYT18" s="90"/>
      <c r="IYU18" s="93"/>
      <c r="IYV18" s="88"/>
      <c r="IYW18" s="88"/>
      <c r="IYX18" s="91"/>
      <c r="IYY18" s="93"/>
      <c r="IYZ18" s="93"/>
      <c r="IZA18" s="88"/>
      <c r="IZB18" s="88"/>
      <c r="IZC18" s="90"/>
      <c r="IZD18" s="93"/>
      <c r="IZE18" s="88"/>
      <c r="IZF18" s="88"/>
      <c r="IZG18" s="90"/>
      <c r="IZH18" s="93"/>
      <c r="IZI18" s="88"/>
      <c r="IZJ18" s="88"/>
      <c r="IZK18" s="91"/>
      <c r="IZL18" s="93"/>
      <c r="IZM18" s="93"/>
      <c r="IZN18" s="88"/>
      <c r="IZO18" s="88"/>
      <c r="IZP18" s="90"/>
      <c r="IZQ18" s="93"/>
      <c r="IZR18" s="88"/>
      <c r="IZS18" s="88"/>
      <c r="IZT18" s="90"/>
      <c r="IZU18" s="93"/>
      <c r="IZV18" s="88"/>
      <c r="IZW18" s="88"/>
      <c r="IZX18" s="91"/>
      <c r="IZY18" s="93"/>
      <c r="IZZ18" s="93"/>
      <c r="JAA18" s="88"/>
      <c r="JAB18" s="88"/>
      <c r="JAC18" s="90"/>
      <c r="JAD18" s="93"/>
      <c r="JAE18" s="88"/>
      <c r="JAF18" s="88"/>
      <c r="JAG18" s="90"/>
      <c r="JAH18" s="93"/>
      <c r="JAI18" s="88"/>
      <c r="JAJ18" s="88"/>
      <c r="JAK18" s="91"/>
      <c r="JAL18" s="93"/>
      <c r="JAM18" s="93"/>
      <c r="JAN18" s="88"/>
      <c r="JAO18" s="88"/>
      <c r="JAP18" s="90"/>
      <c r="JAQ18" s="93"/>
      <c r="JAR18" s="88"/>
      <c r="JAS18" s="88"/>
      <c r="JAT18" s="90"/>
      <c r="JAU18" s="93"/>
      <c r="JAV18" s="88"/>
      <c r="JAW18" s="88"/>
      <c r="JAX18" s="91"/>
      <c r="JAY18" s="93"/>
      <c r="JAZ18" s="93"/>
      <c r="JBA18" s="88"/>
      <c r="JBB18" s="88"/>
      <c r="JBC18" s="90"/>
      <c r="JBD18" s="93"/>
      <c r="JBE18" s="88"/>
      <c r="JBF18" s="88"/>
      <c r="JBG18" s="90"/>
      <c r="JBH18" s="93"/>
      <c r="JBI18" s="88"/>
      <c r="JBJ18" s="88"/>
      <c r="JBK18" s="91"/>
      <c r="JBL18" s="93"/>
      <c r="JBM18" s="93"/>
      <c r="JBN18" s="88"/>
      <c r="JBO18" s="88"/>
      <c r="JBP18" s="90"/>
      <c r="JBQ18" s="93"/>
      <c r="JBR18" s="88"/>
      <c r="JBS18" s="88"/>
      <c r="JBT18" s="90"/>
      <c r="JBU18" s="93"/>
      <c r="JBV18" s="88"/>
      <c r="JBW18" s="88"/>
      <c r="JBX18" s="91"/>
      <c r="JBY18" s="93"/>
      <c r="JBZ18" s="93"/>
      <c r="JCA18" s="88"/>
      <c r="JCB18" s="88"/>
      <c r="JCC18" s="90"/>
      <c r="JCD18" s="93"/>
      <c r="JCE18" s="88"/>
      <c r="JCF18" s="88"/>
      <c r="JCG18" s="90"/>
      <c r="JCH18" s="93"/>
      <c r="JCI18" s="88"/>
      <c r="JCJ18" s="88"/>
      <c r="JCK18" s="91"/>
      <c r="JCL18" s="93"/>
      <c r="JCM18" s="93"/>
      <c r="JCN18" s="88"/>
      <c r="JCO18" s="88"/>
      <c r="JCP18" s="90"/>
      <c r="JCQ18" s="93"/>
      <c r="JCR18" s="88"/>
      <c r="JCS18" s="88"/>
      <c r="JCT18" s="90"/>
      <c r="JCU18" s="93"/>
      <c r="JCV18" s="88"/>
      <c r="JCW18" s="88"/>
      <c r="JCX18" s="91"/>
      <c r="JCY18" s="93"/>
      <c r="JCZ18" s="93"/>
      <c r="JDA18" s="88"/>
      <c r="JDB18" s="88"/>
      <c r="JDC18" s="90"/>
      <c r="JDD18" s="93"/>
      <c r="JDE18" s="88"/>
      <c r="JDF18" s="88"/>
      <c r="JDG18" s="90"/>
      <c r="JDH18" s="93"/>
      <c r="JDI18" s="88"/>
      <c r="JDJ18" s="88"/>
      <c r="JDK18" s="91"/>
      <c r="JDL18" s="93"/>
      <c r="JDM18" s="93"/>
      <c r="JDN18" s="88"/>
      <c r="JDO18" s="88"/>
      <c r="JDP18" s="90"/>
      <c r="JDQ18" s="93"/>
      <c r="JDR18" s="88"/>
      <c r="JDS18" s="88"/>
      <c r="JDT18" s="90"/>
      <c r="JDU18" s="93"/>
      <c r="JDV18" s="88"/>
      <c r="JDW18" s="88"/>
      <c r="JDX18" s="91"/>
      <c r="JDY18" s="93"/>
      <c r="JDZ18" s="93"/>
      <c r="JEA18" s="88"/>
      <c r="JEB18" s="88"/>
      <c r="JEC18" s="90"/>
      <c r="JED18" s="93"/>
      <c r="JEE18" s="88"/>
      <c r="JEF18" s="88"/>
      <c r="JEG18" s="90"/>
      <c r="JEH18" s="93"/>
      <c r="JEI18" s="88"/>
      <c r="JEJ18" s="88"/>
      <c r="JEK18" s="91"/>
      <c r="JEL18" s="93"/>
      <c r="JEM18" s="93"/>
      <c r="JEN18" s="88"/>
      <c r="JEO18" s="88"/>
      <c r="JEP18" s="90"/>
      <c r="JEQ18" s="93"/>
      <c r="JER18" s="88"/>
      <c r="JES18" s="88"/>
      <c r="JET18" s="90"/>
      <c r="JEU18" s="93"/>
      <c r="JEV18" s="88"/>
      <c r="JEW18" s="88"/>
      <c r="JEX18" s="91"/>
      <c r="JEY18" s="93"/>
      <c r="JEZ18" s="93"/>
      <c r="JFA18" s="88"/>
      <c r="JFB18" s="88"/>
      <c r="JFC18" s="90"/>
      <c r="JFD18" s="93"/>
      <c r="JFE18" s="88"/>
      <c r="JFF18" s="88"/>
      <c r="JFG18" s="90"/>
      <c r="JFH18" s="93"/>
      <c r="JFI18" s="88"/>
      <c r="JFJ18" s="88"/>
      <c r="JFK18" s="91"/>
      <c r="JFL18" s="93"/>
      <c r="JFM18" s="93"/>
      <c r="JFN18" s="88"/>
      <c r="JFO18" s="88"/>
      <c r="JFP18" s="90"/>
      <c r="JFQ18" s="93"/>
      <c r="JFR18" s="88"/>
      <c r="JFS18" s="88"/>
      <c r="JFT18" s="90"/>
      <c r="JFU18" s="93"/>
      <c r="JFV18" s="88"/>
      <c r="JFW18" s="88"/>
      <c r="JFX18" s="91"/>
      <c r="JFY18" s="93"/>
      <c r="JFZ18" s="93"/>
      <c r="JGA18" s="88"/>
      <c r="JGB18" s="88"/>
      <c r="JGC18" s="90"/>
      <c r="JGD18" s="93"/>
      <c r="JGE18" s="88"/>
      <c r="JGF18" s="88"/>
      <c r="JGG18" s="90"/>
      <c r="JGH18" s="93"/>
      <c r="JGI18" s="88"/>
      <c r="JGJ18" s="88"/>
      <c r="JGK18" s="91"/>
      <c r="JGL18" s="93"/>
      <c r="JGM18" s="93"/>
      <c r="JGN18" s="88"/>
      <c r="JGO18" s="88"/>
      <c r="JGP18" s="90"/>
      <c r="JGQ18" s="93"/>
      <c r="JGR18" s="88"/>
      <c r="JGS18" s="88"/>
      <c r="JGT18" s="90"/>
      <c r="JGU18" s="93"/>
      <c r="JGV18" s="88"/>
      <c r="JGW18" s="88"/>
      <c r="JGX18" s="91"/>
      <c r="JGY18" s="93"/>
      <c r="JGZ18" s="93"/>
      <c r="JHA18" s="88"/>
      <c r="JHB18" s="88"/>
      <c r="JHC18" s="90"/>
      <c r="JHD18" s="93"/>
      <c r="JHE18" s="88"/>
      <c r="JHF18" s="88"/>
      <c r="JHG18" s="90"/>
      <c r="JHH18" s="93"/>
      <c r="JHI18" s="88"/>
      <c r="JHJ18" s="88"/>
      <c r="JHK18" s="91"/>
      <c r="JHL18" s="93"/>
      <c r="JHM18" s="93"/>
      <c r="JHN18" s="88"/>
      <c r="JHO18" s="88"/>
      <c r="JHP18" s="90"/>
      <c r="JHQ18" s="93"/>
      <c r="JHR18" s="88"/>
      <c r="JHS18" s="88"/>
      <c r="JHT18" s="90"/>
      <c r="JHU18" s="93"/>
      <c r="JHV18" s="88"/>
      <c r="JHW18" s="88"/>
      <c r="JHX18" s="91"/>
      <c r="JHY18" s="93"/>
      <c r="JHZ18" s="93"/>
      <c r="JIA18" s="88"/>
      <c r="JIB18" s="88"/>
      <c r="JIC18" s="90"/>
      <c r="JID18" s="93"/>
      <c r="JIE18" s="88"/>
      <c r="JIF18" s="88"/>
      <c r="JIG18" s="90"/>
      <c r="JIH18" s="93"/>
      <c r="JII18" s="88"/>
      <c r="JIJ18" s="88"/>
      <c r="JIK18" s="91"/>
      <c r="JIL18" s="93"/>
      <c r="JIM18" s="93"/>
      <c r="JIN18" s="88"/>
      <c r="JIO18" s="88"/>
      <c r="JIP18" s="90"/>
      <c r="JIQ18" s="93"/>
      <c r="JIR18" s="88"/>
      <c r="JIS18" s="88"/>
      <c r="JIT18" s="90"/>
      <c r="JIU18" s="93"/>
      <c r="JIV18" s="88"/>
      <c r="JIW18" s="88"/>
      <c r="JIX18" s="91"/>
      <c r="JIY18" s="93"/>
      <c r="JIZ18" s="93"/>
      <c r="JJA18" s="88"/>
      <c r="JJB18" s="88"/>
      <c r="JJC18" s="90"/>
      <c r="JJD18" s="93"/>
      <c r="JJE18" s="88"/>
      <c r="JJF18" s="88"/>
      <c r="JJG18" s="90"/>
      <c r="JJH18" s="93"/>
      <c r="JJI18" s="88"/>
      <c r="JJJ18" s="88"/>
      <c r="JJK18" s="91"/>
      <c r="JJL18" s="93"/>
      <c r="JJM18" s="93"/>
      <c r="JJN18" s="88"/>
      <c r="JJO18" s="88"/>
      <c r="JJP18" s="90"/>
      <c r="JJQ18" s="93"/>
      <c r="JJR18" s="88"/>
      <c r="JJS18" s="88"/>
      <c r="JJT18" s="90"/>
      <c r="JJU18" s="93"/>
      <c r="JJV18" s="88"/>
      <c r="JJW18" s="88"/>
      <c r="JJX18" s="91"/>
      <c r="JJY18" s="93"/>
      <c r="JJZ18" s="93"/>
      <c r="JKA18" s="88"/>
      <c r="JKB18" s="88"/>
      <c r="JKC18" s="90"/>
      <c r="JKD18" s="93"/>
      <c r="JKE18" s="88"/>
      <c r="JKF18" s="88"/>
      <c r="JKG18" s="90"/>
      <c r="JKH18" s="93"/>
      <c r="JKI18" s="88"/>
      <c r="JKJ18" s="88"/>
      <c r="JKK18" s="91"/>
      <c r="JKL18" s="93"/>
      <c r="JKM18" s="93"/>
      <c r="JKN18" s="88"/>
      <c r="JKO18" s="88"/>
      <c r="JKP18" s="90"/>
      <c r="JKQ18" s="93"/>
      <c r="JKR18" s="88"/>
      <c r="JKS18" s="88"/>
      <c r="JKT18" s="90"/>
      <c r="JKU18" s="93"/>
      <c r="JKV18" s="88"/>
      <c r="JKW18" s="88"/>
      <c r="JKX18" s="91"/>
      <c r="JKY18" s="93"/>
      <c r="JKZ18" s="93"/>
      <c r="JLA18" s="88"/>
      <c r="JLB18" s="88"/>
      <c r="JLC18" s="90"/>
      <c r="JLD18" s="93"/>
      <c r="JLE18" s="88"/>
      <c r="JLF18" s="88"/>
      <c r="JLG18" s="90"/>
      <c r="JLH18" s="93"/>
      <c r="JLI18" s="88"/>
      <c r="JLJ18" s="88"/>
      <c r="JLK18" s="91"/>
      <c r="JLL18" s="93"/>
      <c r="JLM18" s="93"/>
      <c r="JLN18" s="88"/>
      <c r="JLO18" s="88"/>
      <c r="JLP18" s="90"/>
      <c r="JLQ18" s="93"/>
      <c r="JLR18" s="88"/>
      <c r="JLS18" s="88"/>
      <c r="JLT18" s="90"/>
      <c r="JLU18" s="93"/>
      <c r="JLV18" s="88"/>
      <c r="JLW18" s="88"/>
      <c r="JLX18" s="91"/>
      <c r="JLY18" s="93"/>
      <c r="JLZ18" s="93"/>
      <c r="JMA18" s="88"/>
      <c r="JMB18" s="88"/>
      <c r="JMC18" s="90"/>
      <c r="JMD18" s="93"/>
      <c r="JME18" s="88"/>
      <c r="JMF18" s="88"/>
      <c r="JMG18" s="90"/>
      <c r="JMH18" s="93"/>
      <c r="JMI18" s="88"/>
      <c r="JMJ18" s="88"/>
      <c r="JMK18" s="91"/>
      <c r="JML18" s="93"/>
      <c r="JMM18" s="93"/>
      <c r="JMN18" s="88"/>
      <c r="JMO18" s="88"/>
      <c r="JMP18" s="90"/>
      <c r="JMQ18" s="93"/>
      <c r="JMR18" s="88"/>
      <c r="JMS18" s="88"/>
      <c r="JMT18" s="90"/>
      <c r="JMU18" s="93"/>
      <c r="JMV18" s="88"/>
      <c r="JMW18" s="88"/>
      <c r="JMX18" s="91"/>
      <c r="JMY18" s="93"/>
      <c r="JMZ18" s="93"/>
      <c r="JNA18" s="88"/>
      <c r="JNB18" s="88"/>
      <c r="JNC18" s="90"/>
      <c r="JND18" s="93"/>
      <c r="JNE18" s="88"/>
      <c r="JNF18" s="88"/>
      <c r="JNG18" s="90"/>
      <c r="JNH18" s="93"/>
      <c r="JNI18" s="88"/>
      <c r="JNJ18" s="88"/>
      <c r="JNK18" s="91"/>
      <c r="JNL18" s="93"/>
      <c r="JNM18" s="93"/>
      <c r="JNN18" s="88"/>
      <c r="JNO18" s="88"/>
      <c r="JNP18" s="90"/>
      <c r="JNQ18" s="93"/>
      <c r="JNR18" s="88"/>
      <c r="JNS18" s="88"/>
      <c r="JNT18" s="90"/>
      <c r="JNU18" s="93"/>
      <c r="JNV18" s="88"/>
      <c r="JNW18" s="88"/>
      <c r="JNX18" s="91"/>
      <c r="JNY18" s="93"/>
      <c r="JNZ18" s="93"/>
      <c r="JOA18" s="88"/>
      <c r="JOB18" s="88"/>
      <c r="JOC18" s="90"/>
      <c r="JOD18" s="93"/>
      <c r="JOE18" s="88"/>
      <c r="JOF18" s="88"/>
      <c r="JOG18" s="90"/>
      <c r="JOH18" s="93"/>
      <c r="JOI18" s="88"/>
      <c r="JOJ18" s="88"/>
      <c r="JOK18" s="91"/>
      <c r="JOL18" s="93"/>
      <c r="JOM18" s="93"/>
      <c r="JON18" s="88"/>
      <c r="JOO18" s="88"/>
      <c r="JOP18" s="90"/>
      <c r="JOQ18" s="93"/>
      <c r="JOR18" s="88"/>
      <c r="JOS18" s="88"/>
      <c r="JOT18" s="90"/>
      <c r="JOU18" s="93"/>
      <c r="JOV18" s="88"/>
      <c r="JOW18" s="88"/>
      <c r="JOX18" s="91"/>
      <c r="JOY18" s="93"/>
      <c r="JOZ18" s="93"/>
      <c r="JPA18" s="88"/>
      <c r="JPB18" s="88"/>
      <c r="JPC18" s="90"/>
      <c r="JPD18" s="93"/>
      <c r="JPE18" s="88"/>
      <c r="JPF18" s="88"/>
      <c r="JPG18" s="90"/>
      <c r="JPH18" s="93"/>
      <c r="JPI18" s="88"/>
      <c r="JPJ18" s="88"/>
      <c r="JPK18" s="91"/>
      <c r="JPL18" s="93"/>
      <c r="JPM18" s="93"/>
      <c r="JPN18" s="88"/>
      <c r="JPO18" s="88"/>
      <c r="JPP18" s="90"/>
      <c r="JPQ18" s="93"/>
      <c r="JPR18" s="88"/>
      <c r="JPS18" s="88"/>
      <c r="JPT18" s="90"/>
      <c r="JPU18" s="93"/>
      <c r="JPV18" s="88"/>
      <c r="JPW18" s="88"/>
      <c r="JPX18" s="91"/>
      <c r="JPY18" s="93"/>
      <c r="JPZ18" s="93"/>
      <c r="JQA18" s="88"/>
      <c r="JQB18" s="88"/>
      <c r="JQC18" s="90"/>
      <c r="JQD18" s="93"/>
      <c r="JQE18" s="88"/>
      <c r="JQF18" s="88"/>
      <c r="JQG18" s="90"/>
      <c r="JQH18" s="93"/>
      <c r="JQI18" s="88"/>
      <c r="JQJ18" s="88"/>
      <c r="JQK18" s="91"/>
      <c r="JQL18" s="93"/>
      <c r="JQM18" s="93"/>
      <c r="JQN18" s="88"/>
      <c r="JQO18" s="88"/>
      <c r="JQP18" s="90"/>
      <c r="JQQ18" s="93"/>
      <c r="JQR18" s="88"/>
      <c r="JQS18" s="88"/>
      <c r="JQT18" s="90"/>
      <c r="JQU18" s="93"/>
      <c r="JQV18" s="88"/>
      <c r="JQW18" s="88"/>
      <c r="JQX18" s="91"/>
      <c r="JQY18" s="93"/>
      <c r="JQZ18" s="93"/>
      <c r="JRA18" s="88"/>
      <c r="JRB18" s="88"/>
      <c r="JRC18" s="90"/>
      <c r="JRD18" s="93"/>
      <c r="JRE18" s="88"/>
      <c r="JRF18" s="88"/>
      <c r="JRG18" s="90"/>
      <c r="JRH18" s="93"/>
      <c r="JRI18" s="88"/>
      <c r="JRJ18" s="88"/>
      <c r="JRK18" s="91"/>
      <c r="JRL18" s="93"/>
      <c r="JRM18" s="93"/>
      <c r="JRN18" s="88"/>
      <c r="JRO18" s="88"/>
      <c r="JRP18" s="90"/>
      <c r="JRQ18" s="93"/>
      <c r="JRR18" s="88"/>
      <c r="JRS18" s="88"/>
      <c r="JRT18" s="90"/>
      <c r="JRU18" s="93"/>
      <c r="JRV18" s="88"/>
      <c r="JRW18" s="88"/>
      <c r="JRX18" s="91"/>
      <c r="JRY18" s="93"/>
      <c r="JRZ18" s="93"/>
      <c r="JSA18" s="88"/>
      <c r="JSB18" s="88"/>
      <c r="JSC18" s="90"/>
      <c r="JSD18" s="93"/>
      <c r="JSE18" s="88"/>
      <c r="JSF18" s="88"/>
      <c r="JSG18" s="90"/>
      <c r="JSH18" s="93"/>
      <c r="JSI18" s="88"/>
      <c r="JSJ18" s="88"/>
      <c r="JSK18" s="91"/>
      <c r="JSL18" s="93"/>
      <c r="JSM18" s="93"/>
      <c r="JSN18" s="88"/>
      <c r="JSO18" s="88"/>
      <c r="JSP18" s="90"/>
      <c r="JSQ18" s="93"/>
      <c r="JSR18" s="88"/>
      <c r="JSS18" s="88"/>
      <c r="JST18" s="90"/>
      <c r="JSU18" s="93"/>
      <c r="JSV18" s="88"/>
      <c r="JSW18" s="88"/>
      <c r="JSX18" s="91"/>
      <c r="JSY18" s="93"/>
      <c r="JSZ18" s="93"/>
      <c r="JTA18" s="88"/>
      <c r="JTB18" s="88"/>
      <c r="JTC18" s="90"/>
      <c r="JTD18" s="93"/>
      <c r="JTE18" s="88"/>
      <c r="JTF18" s="88"/>
      <c r="JTG18" s="90"/>
      <c r="JTH18" s="93"/>
      <c r="JTI18" s="88"/>
      <c r="JTJ18" s="88"/>
      <c r="JTK18" s="91"/>
      <c r="JTL18" s="93"/>
      <c r="JTM18" s="93"/>
      <c r="JTN18" s="88"/>
      <c r="JTO18" s="88"/>
      <c r="JTP18" s="90"/>
      <c r="JTQ18" s="93"/>
      <c r="JTR18" s="88"/>
      <c r="JTS18" s="88"/>
      <c r="JTT18" s="90"/>
      <c r="JTU18" s="93"/>
      <c r="JTV18" s="88"/>
      <c r="JTW18" s="88"/>
      <c r="JTX18" s="91"/>
      <c r="JTY18" s="93"/>
      <c r="JTZ18" s="93"/>
      <c r="JUA18" s="88"/>
      <c r="JUB18" s="88"/>
      <c r="JUC18" s="90"/>
      <c r="JUD18" s="93"/>
      <c r="JUE18" s="88"/>
      <c r="JUF18" s="88"/>
      <c r="JUG18" s="90"/>
      <c r="JUH18" s="93"/>
      <c r="JUI18" s="88"/>
      <c r="JUJ18" s="88"/>
      <c r="JUK18" s="91"/>
      <c r="JUL18" s="93"/>
      <c r="JUM18" s="93"/>
      <c r="JUN18" s="88"/>
      <c r="JUO18" s="88"/>
      <c r="JUP18" s="90"/>
      <c r="JUQ18" s="93"/>
      <c r="JUR18" s="88"/>
      <c r="JUS18" s="88"/>
      <c r="JUT18" s="90"/>
      <c r="JUU18" s="93"/>
      <c r="JUV18" s="88"/>
      <c r="JUW18" s="88"/>
      <c r="JUX18" s="91"/>
      <c r="JUY18" s="93"/>
      <c r="JUZ18" s="93"/>
      <c r="JVA18" s="88"/>
      <c r="JVB18" s="88"/>
      <c r="JVC18" s="90"/>
      <c r="JVD18" s="93"/>
      <c r="JVE18" s="88"/>
      <c r="JVF18" s="88"/>
      <c r="JVG18" s="90"/>
      <c r="JVH18" s="93"/>
      <c r="JVI18" s="88"/>
      <c r="JVJ18" s="88"/>
      <c r="JVK18" s="91"/>
      <c r="JVL18" s="93"/>
      <c r="JVM18" s="93"/>
      <c r="JVN18" s="88"/>
      <c r="JVO18" s="88"/>
      <c r="JVP18" s="90"/>
      <c r="JVQ18" s="93"/>
      <c r="JVR18" s="88"/>
      <c r="JVS18" s="88"/>
      <c r="JVT18" s="90"/>
      <c r="JVU18" s="93"/>
      <c r="JVV18" s="88"/>
      <c r="JVW18" s="88"/>
      <c r="JVX18" s="91"/>
      <c r="JVY18" s="93"/>
      <c r="JVZ18" s="93"/>
      <c r="JWA18" s="88"/>
      <c r="JWB18" s="88"/>
      <c r="JWC18" s="90"/>
      <c r="JWD18" s="93"/>
      <c r="JWE18" s="88"/>
      <c r="JWF18" s="88"/>
      <c r="JWG18" s="90"/>
      <c r="JWH18" s="93"/>
      <c r="JWI18" s="88"/>
      <c r="JWJ18" s="88"/>
      <c r="JWK18" s="91"/>
      <c r="JWL18" s="93"/>
      <c r="JWM18" s="93"/>
      <c r="JWN18" s="88"/>
      <c r="JWO18" s="88"/>
      <c r="JWP18" s="90"/>
      <c r="JWQ18" s="93"/>
      <c r="JWR18" s="88"/>
      <c r="JWS18" s="88"/>
      <c r="JWT18" s="90"/>
      <c r="JWU18" s="93"/>
      <c r="JWV18" s="88"/>
      <c r="JWW18" s="88"/>
      <c r="JWX18" s="91"/>
      <c r="JWY18" s="93"/>
      <c r="JWZ18" s="93"/>
      <c r="JXA18" s="88"/>
      <c r="JXB18" s="88"/>
      <c r="JXC18" s="90"/>
      <c r="JXD18" s="93"/>
      <c r="JXE18" s="88"/>
      <c r="JXF18" s="88"/>
      <c r="JXG18" s="90"/>
      <c r="JXH18" s="93"/>
      <c r="JXI18" s="88"/>
      <c r="JXJ18" s="88"/>
      <c r="JXK18" s="91"/>
      <c r="JXL18" s="93"/>
      <c r="JXM18" s="93"/>
      <c r="JXN18" s="88"/>
      <c r="JXO18" s="88"/>
      <c r="JXP18" s="90"/>
      <c r="JXQ18" s="93"/>
      <c r="JXR18" s="88"/>
      <c r="JXS18" s="88"/>
      <c r="JXT18" s="90"/>
      <c r="JXU18" s="93"/>
      <c r="JXV18" s="88"/>
      <c r="JXW18" s="88"/>
      <c r="JXX18" s="91"/>
      <c r="JXY18" s="93"/>
      <c r="JXZ18" s="93"/>
      <c r="JYA18" s="88"/>
      <c r="JYB18" s="88"/>
      <c r="JYC18" s="90"/>
      <c r="JYD18" s="93"/>
      <c r="JYE18" s="88"/>
      <c r="JYF18" s="88"/>
      <c r="JYG18" s="90"/>
      <c r="JYH18" s="93"/>
      <c r="JYI18" s="88"/>
      <c r="JYJ18" s="88"/>
      <c r="JYK18" s="91"/>
      <c r="JYL18" s="93"/>
      <c r="JYM18" s="93"/>
      <c r="JYN18" s="88"/>
      <c r="JYO18" s="88"/>
      <c r="JYP18" s="90"/>
      <c r="JYQ18" s="93"/>
      <c r="JYR18" s="88"/>
      <c r="JYS18" s="88"/>
      <c r="JYT18" s="90"/>
      <c r="JYU18" s="93"/>
      <c r="JYV18" s="88"/>
      <c r="JYW18" s="88"/>
      <c r="JYX18" s="91"/>
      <c r="JYY18" s="93"/>
      <c r="JYZ18" s="93"/>
      <c r="JZA18" s="88"/>
      <c r="JZB18" s="88"/>
      <c r="JZC18" s="90"/>
      <c r="JZD18" s="93"/>
      <c r="JZE18" s="88"/>
      <c r="JZF18" s="88"/>
      <c r="JZG18" s="90"/>
      <c r="JZH18" s="93"/>
      <c r="JZI18" s="88"/>
      <c r="JZJ18" s="88"/>
      <c r="JZK18" s="91"/>
      <c r="JZL18" s="93"/>
      <c r="JZM18" s="93"/>
      <c r="JZN18" s="88"/>
      <c r="JZO18" s="88"/>
      <c r="JZP18" s="90"/>
      <c r="JZQ18" s="93"/>
      <c r="JZR18" s="88"/>
      <c r="JZS18" s="88"/>
      <c r="JZT18" s="90"/>
      <c r="JZU18" s="93"/>
      <c r="JZV18" s="88"/>
      <c r="JZW18" s="88"/>
      <c r="JZX18" s="91"/>
      <c r="JZY18" s="93"/>
      <c r="JZZ18" s="93"/>
      <c r="KAA18" s="88"/>
      <c r="KAB18" s="88"/>
      <c r="KAC18" s="90"/>
      <c r="KAD18" s="93"/>
      <c r="KAE18" s="88"/>
      <c r="KAF18" s="88"/>
      <c r="KAG18" s="90"/>
      <c r="KAH18" s="93"/>
      <c r="KAI18" s="88"/>
      <c r="KAJ18" s="88"/>
      <c r="KAK18" s="91"/>
      <c r="KAL18" s="93"/>
      <c r="KAM18" s="93"/>
      <c r="KAN18" s="88"/>
      <c r="KAO18" s="88"/>
      <c r="KAP18" s="90"/>
      <c r="KAQ18" s="93"/>
      <c r="KAR18" s="88"/>
      <c r="KAS18" s="88"/>
      <c r="KAT18" s="90"/>
      <c r="KAU18" s="93"/>
      <c r="KAV18" s="88"/>
      <c r="KAW18" s="88"/>
      <c r="KAX18" s="91"/>
      <c r="KAY18" s="93"/>
      <c r="KAZ18" s="93"/>
      <c r="KBA18" s="88"/>
      <c r="KBB18" s="88"/>
      <c r="KBC18" s="90"/>
      <c r="KBD18" s="93"/>
      <c r="KBE18" s="88"/>
      <c r="KBF18" s="88"/>
      <c r="KBG18" s="90"/>
      <c r="KBH18" s="93"/>
      <c r="KBI18" s="88"/>
      <c r="KBJ18" s="88"/>
      <c r="KBK18" s="91"/>
      <c r="KBL18" s="93"/>
      <c r="KBM18" s="93"/>
      <c r="KBN18" s="88"/>
      <c r="KBO18" s="88"/>
      <c r="KBP18" s="90"/>
      <c r="KBQ18" s="93"/>
      <c r="KBR18" s="88"/>
      <c r="KBS18" s="88"/>
      <c r="KBT18" s="90"/>
      <c r="KBU18" s="93"/>
      <c r="KBV18" s="88"/>
      <c r="KBW18" s="88"/>
      <c r="KBX18" s="91"/>
      <c r="KBY18" s="93"/>
      <c r="KBZ18" s="93"/>
      <c r="KCA18" s="88"/>
      <c r="KCB18" s="88"/>
      <c r="KCC18" s="90"/>
      <c r="KCD18" s="93"/>
      <c r="KCE18" s="88"/>
      <c r="KCF18" s="88"/>
      <c r="KCG18" s="90"/>
      <c r="KCH18" s="93"/>
      <c r="KCI18" s="88"/>
      <c r="KCJ18" s="88"/>
      <c r="KCK18" s="91"/>
      <c r="KCL18" s="93"/>
      <c r="KCM18" s="93"/>
      <c r="KCN18" s="88"/>
      <c r="KCO18" s="88"/>
      <c r="KCP18" s="90"/>
      <c r="KCQ18" s="93"/>
      <c r="KCR18" s="88"/>
      <c r="KCS18" s="88"/>
      <c r="KCT18" s="90"/>
      <c r="KCU18" s="93"/>
      <c r="KCV18" s="88"/>
      <c r="KCW18" s="88"/>
      <c r="KCX18" s="91"/>
      <c r="KCY18" s="93"/>
      <c r="KCZ18" s="93"/>
      <c r="KDA18" s="88"/>
      <c r="KDB18" s="88"/>
      <c r="KDC18" s="90"/>
      <c r="KDD18" s="93"/>
      <c r="KDE18" s="88"/>
      <c r="KDF18" s="88"/>
      <c r="KDG18" s="90"/>
      <c r="KDH18" s="93"/>
      <c r="KDI18" s="88"/>
      <c r="KDJ18" s="88"/>
      <c r="KDK18" s="91"/>
      <c r="KDL18" s="93"/>
      <c r="KDM18" s="93"/>
      <c r="KDN18" s="88"/>
      <c r="KDO18" s="88"/>
      <c r="KDP18" s="90"/>
      <c r="KDQ18" s="93"/>
      <c r="KDR18" s="88"/>
      <c r="KDS18" s="88"/>
      <c r="KDT18" s="90"/>
      <c r="KDU18" s="93"/>
      <c r="KDV18" s="88"/>
      <c r="KDW18" s="88"/>
      <c r="KDX18" s="91"/>
      <c r="KDY18" s="93"/>
      <c r="KDZ18" s="93"/>
      <c r="KEA18" s="88"/>
      <c r="KEB18" s="88"/>
      <c r="KEC18" s="90"/>
      <c r="KED18" s="93"/>
      <c r="KEE18" s="88"/>
      <c r="KEF18" s="88"/>
      <c r="KEG18" s="90"/>
      <c r="KEH18" s="93"/>
      <c r="KEI18" s="88"/>
      <c r="KEJ18" s="88"/>
      <c r="KEK18" s="91"/>
      <c r="KEL18" s="93"/>
      <c r="KEM18" s="93"/>
      <c r="KEN18" s="88"/>
      <c r="KEO18" s="88"/>
      <c r="KEP18" s="90"/>
      <c r="KEQ18" s="93"/>
      <c r="KER18" s="88"/>
      <c r="KES18" s="88"/>
      <c r="KET18" s="90"/>
      <c r="KEU18" s="93"/>
      <c r="KEV18" s="88"/>
      <c r="KEW18" s="88"/>
      <c r="KEX18" s="91"/>
      <c r="KEY18" s="93"/>
      <c r="KEZ18" s="93"/>
      <c r="KFA18" s="88"/>
      <c r="KFB18" s="88"/>
      <c r="KFC18" s="90"/>
      <c r="KFD18" s="93"/>
      <c r="KFE18" s="88"/>
      <c r="KFF18" s="88"/>
      <c r="KFG18" s="90"/>
      <c r="KFH18" s="93"/>
      <c r="KFI18" s="88"/>
      <c r="KFJ18" s="88"/>
      <c r="KFK18" s="91"/>
      <c r="KFL18" s="93"/>
      <c r="KFM18" s="93"/>
      <c r="KFN18" s="88"/>
      <c r="KFO18" s="88"/>
      <c r="KFP18" s="90"/>
      <c r="KFQ18" s="93"/>
      <c r="KFR18" s="88"/>
      <c r="KFS18" s="88"/>
      <c r="KFT18" s="90"/>
      <c r="KFU18" s="93"/>
      <c r="KFV18" s="88"/>
      <c r="KFW18" s="88"/>
      <c r="KFX18" s="91"/>
      <c r="KFY18" s="93"/>
      <c r="KFZ18" s="93"/>
      <c r="KGA18" s="88"/>
      <c r="KGB18" s="88"/>
      <c r="KGC18" s="90"/>
      <c r="KGD18" s="93"/>
      <c r="KGE18" s="88"/>
      <c r="KGF18" s="88"/>
      <c r="KGG18" s="90"/>
      <c r="KGH18" s="93"/>
      <c r="KGI18" s="88"/>
      <c r="KGJ18" s="88"/>
      <c r="KGK18" s="91"/>
      <c r="KGL18" s="93"/>
      <c r="KGM18" s="93"/>
      <c r="KGN18" s="88"/>
      <c r="KGO18" s="88"/>
      <c r="KGP18" s="90"/>
      <c r="KGQ18" s="93"/>
      <c r="KGR18" s="88"/>
      <c r="KGS18" s="88"/>
      <c r="KGT18" s="90"/>
      <c r="KGU18" s="93"/>
      <c r="KGV18" s="88"/>
      <c r="KGW18" s="88"/>
      <c r="KGX18" s="91"/>
      <c r="KGY18" s="93"/>
      <c r="KGZ18" s="93"/>
      <c r="KHA18" s="88"/>
      <c r="KHB18" s="88"/>
      <c r="KHC18" s="90"/>
      <c r="KHD18" s="93"/>
      <c r="KHE18" s="88"/>
      <c r="KHF18" s="88"/>
      <c r="KHG18" s="90"/>
      <c r="KHH18" s="93"/>
      <c r="KHI18" s="88"/>
      <c r="KHJ18" s="88"/>
      <c r="KHK18" s="91"/>
      <c r="KHL18" s="93"/>
      <c r="KHM18" s="93"/>
      <c r="KHN18" s="88"/>
      <c r="KHO18" s="88"/>
      <c r="KHP18" s="90"/>
      <c r="KHQ18" s="93"/>
      <c r="KHR18" s="88"/>
      <c r="KHS18" s="88"/>
      <c r="KHT18" s="90"/>
      <c r="KHU18" s="93"/>
      <c r="KHV18" s="88"/>
      <c r="KHW18" s="88"/>
      <c r="KHX18" s="91"/>
      <c r="KHY18" s="93"/>
      <c r="KHZ18" s="93"/>
      <c r="KIA18" s="88"/>
      <c r="KIB18" s="88"/>
      <c r="KIC18" s="90"/>
      <c r="KID18" s="93"/>
      <c r="KIE18" s="88"/>
      <c r="KIF18" s="88"/>
      <c r="KIG18" s="90"/>
      <c r="KIH18" s="93"/>
      <c r="KII18" s="88"/>
      <c r="KIJ18" s="88"/>
      <c r="KIK18" s="91"/>
      <c r="KIL18" s="93"/>
      <c r="KIM18" s="93"/>
      <c r="KIN18" s="88"/>
      <c r="KIO18" s="88"/>
      <c r="KIP18" s="90"/>
      <c r="KIQ18" s="93"/>
      <c r="KIR18" s="88"/>
      <c r="KIS18" s="88"/>
      <c r="KIT18" s="90"/>
      <c r="KIU18" s="93"/>
      <c r="KIV18" s="88"/>
      <c r="KIW18" s="88"/>
      <c r="KIX18" s="91"/>
      <c r="KIY18" s="93"/>
      <c r="KIZ18" s="93"/>
      <c r="KJA18" s="88"/>
      <c r="KJB18" s="88"/>
      <c r="KJC18" s="90"/>
      <c r="KJD18" s="93"/>
      <c r="KJE18" s="88"/>
      <c r="KJF18" s="88"/>
      <c r="KJG18" s="90"/>
      <c r="KJH18" s="93"/>
      <c r="KJI18" s="88"/>
      <c r="KJJ18" s="88"/>
      <c r="KJK18" s="91"/>
      <c r="KJL18" s="93"/>
      <c r="KJM18" s="93"/>
      <c r="KJN18" s="88"/>
      <c r="KJO18" s="88"/>
      <c r="KJP18" s="90"/>
      <c r="KJQ18" s="93"/>
      <c r="KJR18" s="88"/>
      <c r="KJS18" s="88"/>
      <c r="KJT18" s="90"/>
      <c r="KJU18" s="93"/>
      <c r="KJV18" s="88"/>
      <c r="KJW18" s="88"/>
      <c r="KJX18" s="91"/>
      <c r="KJY18" s="93"/>
      <c r="KJZ18" s="93"/>
      <c r="KKA18" s="88"/>
      <c r="KKB18" s="88"/>
      <c r="KKC18" s="90"/>
      <c r="KKD18" s="93"/>
      <c r="KKE18" s="88"/>
      <c r="KKF18" s="88"/>
      <c r="KKG18" s="90"/>
      <c r="KKH18" s="93"/>
      <c r="KKI18" s="88"/>
      <c r="KKJ18" s="88"/>
      <c r="KKK18" s="91"/>
      <c r="KKL18" s="93"/>
      <c r="KKM18" s="93"/>
      <c r="KKN18" s="88"/>
      <c r="KKO18" s="88"/>
      <c r="KKP18" s="90"/>
      <c r="KKQ18" s="93"/>
      <c r="KKR18" s="88"/>
      <c r="KKS18" s="88"/>
      <c r="KKT18" s="90"/>
      <c r="KKU18" s="93"/>
      <c r="KKV18" s="88"/>
      <c r="KKW18" s="88"/>
      <c r="KKX18" s="91"/>
      <c r="KKY18" s="93"/>
      <c r="KKZ18" s="93"/>
      <c r="KLA18" s="88"/>
      <c r="KLB18" s="88"/>
      <c r="KLC18" s="90"/>
      <c r="KLD18" s="93"/>
      <c r="KLE18" s="88"/>
      <c r="KLF18" s="88"/>
      <c r="KLG18" s="90"/>
      <c r="KLH18" s="93"/>
      <c r="KLI18" s="88"/>
      <c r="KLJ18" s="88"/>
      <c r="KLK18" s="91"/>
      <c r="KLL18" s="93"/>
      <c r="KLM18" s="93"/>
      <c r="KLN18" s="88"/>
      <c r="KLO18" s="88"/>
      <c r="KLP18" s="90"/>
      <c r="KLQ18" s="93"/>
      <c r="KLR18" s="88"/>
      <c r="KLS18" s="88"/>
      <c r="KLT18" s="90"/>
      <c r="KLU18" s="93"/>
      <c r="KLV18" s="88"/>
      <c r="KLW18" s="88"/>
      <c r="KLX18" s="91"/>
      <c r="KLY18" s="93"/>
      <c r="KLZ18" s="93"/>
      <c r="KMA18" s="88"/>
      <c r="KMB18" s="88"/>
      <c r="KMC18" s="90"/>
      <c r="KMD18" s="93"/>
      <c r="KME18" s="88"/>
      <c r="KMF18" s="88"/>
      <c r="KMG18" s="90"/>
      <c r="KMH18" s="93"/>
      <c r="KMI18" s="88"/>
      <c r="KMJ18" s="88"/>
      <c r="KMK18" s="91"/>
      <c r="KML18" s="93"/>
      <c r="KMM18" s="93"/>
      <c r="KMN18" s="88"/>
      <c r="KMO18" s="88"/>
      <c r="KMP18" s="90"/>
      <c r="KMQ18" s="93"/>
      <c r="KMR18" s="88"/>
      <c r="KMS18" s="88"/>
      <c r="KMT18" s="90"/>
      <c r="KMU18" s="93"/>
      <c r="KMV18" s="88"/>
      <c r="KMW18" s="88"/>
      <c r="KMX18" s="91"/>
      <c r="KMY18" s="93"/>
      <c r="KMZ18" s="93"/>
      <c r="KNA18" s="88"/>
      <c r="KNB18" s="88"/>
      <c r="KNC18" s="90"/>
      <c r="KND18" s="93"/>
      <c r="KNE18" s="88"/>
      <c r="KNF18" s="88"/>
      <c r="KNG18" s="90"/>
      <c r="KNH18" s="93"/>
      <c r="KNI18" s="88"/>
      <c r="KNJ18" s="88"/>
      <c r="KNK18" s="91"/>
      <c r="KNL18" s="93"/>
      <c r="KNM18" s="93"/>
      <c r="KNN18" s="88"/>
      <c r="KNO18" s="88"/>
      <c r="KNP18" s="90"/>
      <c r="KNQ18" s="93"/>
      <c r="KNR18" s="88"/>
      <c r="KNS18" s="88"/>
      <c r="KNT18" s="90"/>
      <c r="KNU18" s="93"/>
      <c r="KNV18" s="88"/>
      <c r="KNW18" s="88"/>
      <c r="KNX18" s="91"/>
      <c r="KNY18" s="93"/>
      <c r="KNZ18" s="93"/>
      <c r="KOA18" s="88"/>
      <c r="KOB18" s="88"/>
      <c r="KOC18" s="90"/>
      <c r="KOD18" s="93"/>
      <c r="KOE18" s="88"/>
      <c r="KOF18" s="88"/>
      <c r="KOG18" s="90"/>
      <c r="KOH18" s="93"/>
      <c r="KOI18" s="88"/>
      <c r="KOJ18" s="88"/>
      <c r="KOK18" s="91"/>
      <c r="KOL18" s="93"/>
      <c r="KOM18" s="93"/>
      <c r="KON18" s="88"/>
      <c r="KOO18" s="88"/>
      <c r="KOP18" s="90"/>
      <c r="KOQ18" s="93"/>
      <c r="KOR18" s="88"/>
      <c r="KOS18" s="88"/>
      <c r="KOT18" s="90"/>
      <c r="KOU18" s="93"/>
      <c r="KOV18" s="88"/>
      <c r="KOW18" s="88"/>
      <c r="KOX18" s="91"/>
      <c r="KOY18" s="93"/>
      <c r="KOZ18" s="93"/>
      <c r="KPA18" s="88"/>
      <c r="KPB18" s="88"/>
      <c r="KPC18" s="90"/>
      <c r="KPD18" s="93"/>
      <c r="KPE18" s="88"/>
      <c r="KPF18" s="88"/>
      <c r="KPG18" s="90"/>
      <c r="KPH18" s="93"/>
      <c r="KPI18" s="88"/>
      <c r="KPJ18" s="88"/>
      <c r="KPK18" s="91"/>
      <c r="KPL18" s="93"/>
      <c r="KPM18" s="93"/>
      <c r="KPN18" s="88"/>
      <c r="KPO18" s="88"/>
      <c r="KPP18" s="90"/>
      <c r="KPQ18" s="93"/>
      <c r="KPR18" s="88"/>
      <c r="KPS18" s="88"/>
      <c r="KPT18" s="90"/>
      <c r="KPU18" s="93"/>
      <c r="KPV18" s="88"/>
      <c r="KPW18" s="88"/>
      <c r="KPX18" s="91"/>
      <c r="KPY18" s="93"/>
      <c r="KPZ18" s="93"/>
      <c r="KQA18" s="88"/>
      <c r="KQB18" s="88"/>
      <c r="KQC18" s="90"/>
      <c r="KQD18" s="93"/>
      <c r="KQE18" s="88"/>
      <c r="KQF18" s="88"/>
      <c r="KQG18" s="90"/>
      <c r="KQH18" s="93"/>
      <c r="KQI18" s="88"/>
      <c r="KQJ18" s="88"/>
      <c r="KQK18" s="91"/>
      <c r="KQL18" s="93"/>
      <c r="KQM18" s="93"/>
      <c r="KQN18" s="88"/>
      <c r="KQO18" s="88"/>
      <c r="KQP18" s="90"/>
      <c r="KQQ18" s="93"/>
      <c r="KQR18" s="88"/>
      <c r="KQS18" s="88"/>
      <c r="KQT18" s="90"/>
      <c r="KQU18" s="93"/>
      <c r="KQV18" s="88"/>
      <c r="KQW18" s="88"/>
      <c r="KQX18" s="91"/>
      <c r="KQY18" s="93"/>
      <c r="KQZ18" s="93"/>
      <c r="KRA18" s="88"/>
      <c r="KRB18" s="88"/>
      <c r="KRC18" s="90"/>
      <c r="KRD18" s="93"/>
      <c r="KRE18" s="88"/>
      <c r="KRF18" s="88"/>
      <c r="KRG18" s="90"/>
      <c r="KRH18" s="93"/>
      <c r="KRI18" s="88"/>
      <c r="KRJ18" s="88"/>
      <c r="KRK18" s="91"/>
      <c r="KRL18" s="93"/>
      <c r="KRM18" s="93"/>
      <c r="KRN18" s="88"/>
      <c r="KRO18" s="88"/>
      <c r="KRP18" s="90"/>
      <c r="KRQ18" s="93"/>
      <c r="KRR18" s="88"/>
      <c r="KRS18" s="88"/>
      <c r="KRT18" s="90"/>
      <c r="KRU18" s="93"/>
      <c r="KRV18" s="88"/>
      <c r="KRW18" s="88"/>
      <c r="KRX18" s="91"/>
      <c r="KRY18" s="93"/>
      <c r="KRZ18" s="93"/>
      <c r="KSA18" s="88"/>
      <c r="KSB18" s="88"/>
      <c r="KSC18" s="90"/>
      <c r="KSD18" s="93"/>
      <c r="KSE18" s="88"/>
      <c r="KSF18" s="88"/>
      <c r="KSG18" s="90"/>
      <c r="KSH18" s="93"/>
      <c r="KSI18" s="88"/>
      <c r="KSJ18" s="88"/>
      <c r="KSK18" s="91"/>
      <c r="KSL18" s="93"/>
      <c r="KSM18" s="93"/>
      <c r="KSN18" s="88"/>
      <c r="KSO18" s="88"/>
      <c r="KSP18" s="90"/>
      <c r="KSQ18" s="93"/>
      <c r="KSR18" s="88"/>
      <c r="KSS18" s="88"/>
      <c r="KST18" s="90"/>
      <c r="KSU18" s="93"/>
      <c r="KSV18" s="88"/>
      <c r="KSW18" s="88"/>
      <c r="KSX18" s="91"/>
      <c r="KSY18" s="93"/>
      <c r="KSZ18" s="93"/>
      <c r="KTA18" s="88"/>
      <c r="KTB18" s="88"/>
      <c r="KTC18" s="90"/>
      <c r="KTD18" s="93"/>
      <c r="KTE18" s="88"/>
      <c r="KTF18" s="88"/>
      <c r="KTG18" s="90"/>
      <c r="KTH18" s="93"/>
      <c r="KTI18" s="88"/>
      <c r="KTJ18" s="88"/>
      <c r="KTK18" s="91"/>
      <c r="KTL18" s="93"/>
      <c r="KTM18" s="93"/>
      <c r="KTN18" s="88"/>
      <c r="KTO18" s="88"/>
      <c r="KTP18" s="90"/>
      <c r="KTQ18" s="93"/>
      <c r="KTR18" s="88"/>
      <c r="KTS18" s="88"/>
      <c r="KTT18" s="90"/>
      <c r="KTU18" s="93"/>
      <c r="KTV18" s="88"/>
      <c r="KTW18" s="88"/>
      <c r="KTX18" s="91"/>
      <c r="KTY18" s="93"/>
      <c r="KTZ18" s="93"/>
      <c r="KUA18" s="88"/>
      <c r="KUB18" s="88"/>
      <c r="KUC18" s="90"/>
      <c r="KUD18" s="93"/>
      <c r="KUE18" s="88"/>
      <c r="KUF18" s="88"/>
      <c r="KUG18" s="90"/>
      <c r="KUH18" s="93"/>
      <c r="KUI18" s="88"/>
      <c r="KUJ18" s="88"/>
      <c r="KUK18" s="91"/>
      <c r="KUL18" s="93"/>
      <c r="KUM18" s="93"/>
      <c r="KUN18" s="88"/>
      <c r="KUO18" s="88"/>
      <c r="KUP18" s="90"/>
      <c r="KUQ18" s="93"/>
      <c r="KUR18" s="88"/>
      <c r="KUS18" s="88"/>
      <c r="KUT18" s="90"/>
      <c r="KUU18" s="93"/>
      <c r="KUV18" s="88"/>
      <c r="KUW18" s="88"/>
      <c r="KUX18" s="91"/>
      <c r="KUY18" s="93"/>
      <c r="KUZ18" s="93"/>
      <c r="KVA18" s="88"/>
      <c r="KVB18" s="88"/>
      <c r="KVC18" s="90"/>
      <c r="KVD18" s="93"/>
      <c r="KVE18" s="88"/>
      <c r="KVF18" s="88"/>
      <c r="KVG18" s="90"/>
      <c r="KVH18" s="93"/>
      <c r="KVI18" s="88"/>
      <c r="KVJ18" s="88"/>
      <c r="KVK18" s="91"/>
      <c r="KVL18" s="93"/>
      <c r="KVM18" s="93"/>
      <c r="KVN18" s="88"/>
      <c r="KVO18" s="88"/>
      <c r="KVP18" s="90"/>
      <c r="KVQ18" s="93"/>
      <c r="KVR18" s="88"/>
      <c r="KVS18" s="88"/>
      <c r="KVT18" s="90"/>
      <c r="KVU18" s="93"/>
      <c r="KVV18" s="88"/>
      <c r="KVW18" s="88"/>
      <c r="KVX18" s="91"/>
      <c r="KVY18" s="93"/>
      <c r="KVZ18" s="93"/>
      <c r="KWA18" s="88"/>
      <c r="KWB18" s="88"/>
      <c r="KWC18" s="90"/>
      <c r="KWD18" s="93"/>
      <c r="KWE18" s="88"/>
      <c r="KWF18" s="88"/>
      <c r="KWG18" s="90"/>
      <c r="KWH18" s="93"/>
      <c r="KWI18" s="88"/>
      <c r="KWJ18" s="88"/>
      <c r="KWK18" s="91"/>
      <c r="KWL18" s="93"/>
      <c r="KWM18" s="93"/>
      <c r="KWN18" s="88"/>
      <c r="KWO18" s="88"/>
      <c r="KWP18" s="90"/>
      <c r="KWQ18" s="93"/>
      <c r="KWR18" s="88"/>
      <c r="KWS18" s="88"/>
      <c r="KWT18" s="90"/>
      <c r="KWU18" s="93"/>
      <c r="KWV18" s="88"/>
      <c r="KWW18" s="88"/>
      <c r="KWX18" s="91"/>
      <c r="KWY18" s="93"/>
      <c r="KWZ18" s="93"/>
      <c r="KXA18" s="88"/>
      <c r="KXB18" s="88"/>
      <c r="KXC18" s="90"/>
      <c r="KXD18" s="93"/>
      <c r="KXE18" s="88"/>
      <c r="KXF18" s="88"/>
      <c r="KXG18" s="90"/>
      <c r="KXH18" s="93"/>
      <c r="KXI18" s="88"/>
      <c r="KXJ18" s="88"/>
      <c r="KXK18" s="91"/>
      <c r="KXL18" s="93"/>
      <c r="KXM18" s="93"/>
      <c r="KXN18" s="88"/>
      <c r="KXO18" s="88"/>
      <c r="KXP18" s="90"/>
      <c r="KXQ18" s="93"/>
      <c r="KXR18" s="88"/>
      <c r="KXS18" s="88"/>
      <c r="KXT18" s="90"/>
      <c r="KXU18" s="93"/>
      <c r="KXV18" s="88"/>
      <c r="KXW18" s="88"/>
      <c r="KXX18" s="91"/>
      <c r="KXY18" s="93"/>
      <c r="KXZ18" s="93"/>
      <c r="KYA18" s="88"/>
      <c r="KYB18" s="88"/>
      <c r="KYC18" s="90"/>
      <c r="KYD18" s="93"/>
      <c r="KYE18" s="88"/>
      <c r="KYF18" s="88"/>
      <c r="KYG18" s="90"/>
      <c r="KYH18" s="93"/>
      <c r="KYI18" s="88"/>
      <c r="KYJ18" s="88"/>
      <c r="KYK18" s="91"/>
      <c r="KYL18" s="93"/>
      <c r="KYM18" s="93"/>
      <c r="KYN18" s="88"/>
      <c r="KYO18" s="88"/>
      <c r="KYP18" s="90"/>
      <c r="KYQ18" s="93"/>
      <c r="KYR18" s="88"/>
      <c r="KYS18" s="88"/>
      <c r="KYT18" s="90"/>
      <c r="KYU18" s="93"/>
      <c r="KYV18" s="88"/>
      <c r="KYW18" s="88"/>
      <c r="KYX18" s="91"/>
      <c r="KYY18" s="93"/>
      <c r="KYZ18" s="93"/>
      <c r="KZA18" s="88"/>
      <c r="KZB18" s="88"/>
      <c r="KZC18" s="90"/>
      <c r="KZD18" s="93"/>
      <c r="KZE18" s="88"/>
      <c r="KZF18" s="88"/>
      <c r="KZG18" s="90"/>
      <c r="KZH18" s="93"/>
      <c r="KZI18" s="88"/>
      <c r="KZJ18" s="88"/>
      <c r="KZK18" s="91"/>
      <c r="KZL18" s="93"/>
      <c r="KZM18" s="93"/>
      <c r="KZN18" s="88"/>
      <c r="KZO18" s="88"/>
      <c r="KZP18" s="90"/>
      <c r="KZQ18" s="93"/>
      <c r="KZR18" s="88"/>
      <c r="KZS18" s="88"/>
      <c r="KZT18" s="90"/>
      <c r="KZU18" s="93"/>
      <c r="KZV18" s="88"/>
      <c r="KZW18" s="88"/>
      <c r="KZX18" s="91"/>
      <c r="KZY18" s="93"/>
      <c r="KZZ18" s="93"/>
      <c r="LAA18" s="88"/>
      <c r="LAB18" s="88"/>
      <c r="LAC18" s="90"/>
      <c r="LAD18" s="93"/>
      <c r="LAE18" s="88"/>
      <c r="LAF18" s="88"/>
      <c r="LAG18" s="90"/>
      <c r="LAH18" s="93"/>
      <c r="LAI18" s="88"/>
      <c r="LAJ18" s="88"/>
      <c r="LAK18" s="91"/>
      <c r="LAL18" s="93"/>
      <c r="LAM18" s="93"/>
      <c r="LAN18" s="88"/>
      <c r="LAO18" s="88"/>
      <c r="LAP18" s="90"/>
      <c r="LAQ18" s="93"/>
      <c r="LAR18" s="88"/>
      <c r="LAS18" s="88"/>
      <c r="LAT18" s="90"/>
      <c r="LAU18" s="93"/>
      <c r="LAV18" s="88"/>
      <c r="LAW18" s="88"/>
      <c r="LAX18" s="91"/>
      <c r="LAY18" s="93"/>
      <c r="LAZ18" s="93"/>
      <c r="LBA18" s="88"/>
      <c r="LBB18" s="88"/>
      <c r="LBC18" s="90"/>
      <c r="LBD18" s="93"/>
      <c r="LBE18" s="88"/>
      <c r="LBF18" s="88"/>
      <c r="LBG18" s="90"/>
      <c r="LBH18" s="93"/>
      <c r="LBI18" s="88"/>
      <c r="LBJ18" s="88"/>
      <c r="LBK18" s="91"/>
      <c r="LBL18" s="93"/>
      <c r="LBM18" s="93"/>
      <c r="LBN18" s="88"/>
      <c r="LBO18" s="88"/>
      <c r="LBP18" s="90"/>
      <c r="LBQ18" s="93"/>
      <c r="LBR18" s="88"/>
      <c r="LBS18" s="88"/>
      <c r="LBT18" s="90"/>
      <c r="LBU18" s="93"/>
      <c r="LBV18" s="88"/>
      <c r="LBW18" s="88"/>
      <c r="LBX18" s="91"/>
      <c r="LBY18" s="93"/>
      <c r="LBZ18" s="93"/>
      <c r="LCA18" s="88"/>
      <c r="LCB18" s="88"/>
      <c r="LCC18" s="90"/>
      <c r="LCD18" s="93"/>
      <c r="LCE18" s="88"/>
      <c r="LCF18" s="88"/>
      <c r="LCG18" s="90"/>
      <c r="LCH18" s="93"/>
      <c r="LCI18" s="88"/>
      <c r="LCJ18" s="88"/>
      <c r="LCK18" s="91"/>
      <c r="LCL18" s="93"/>
      <c r="LCM18" s="93"/>
      <c r="LCN18" s="88"/>
      <c r="LCO18" s="88"/>
      <c r="LCP18" s="90"/>
      <c r="LCQ18" s="93"/>
      <c r="LCR18" s="88"/>
      <c r="LCS18" s="88"/>
      <c r="LCT18" s="90"/>
      <c r="LCU18" s="93"/>
      <c r="LCV18" s="88"/>
      <c r="LCW18" s="88"/>
      <c r="LCX18" s="91"/>
      <c r="LCY18" s="93"/>
      <c r="LCZ18" s="93"/>
      <c r="LDA18" s="88"/>
      <c r="LDB18" s="88"/>
      <c r="LDC18" s="90"/>
      <c r="LDD18" s="93"/>
      <c r="LDE18" s="88"/>
      <c r="LDF18" s="88"/>
      <c r="LDG18" s="90"/>
      <c r="LDH18" s="93"/>
      <c r="LDI18" s="88"/>
      <c r="LDJ18" s="88"/>
      <c r="LDK18" s="91"/>
      <c r="LDL18" s="93"/>
      <c r="LDM18" s="93"/>
      <c r="LDN18" s="88"/>
      <c r="LDO18" s="88"/>
      <c r="LDP18" s="90"/>
      <c r="LDQ18" s="93"/>
      <c r="LDR18" s="88"/>
      <c r="LDS18" s="88"/>
      <c r="LDT18" s="90"/>
      <c r="LDU18" s="93"/>
      <c r="LDV18" s="88"/>
      <c r="LDW18" s="88"/>
      <c r="LDX18" s="91"/>
      <c r="LDY18" s="93"/>
      <c r="LDZ18" s="93"/>
      <c r="LEA18" s="88"/>
      <c r="LEB18" s="88"/>
      <c r="LEC18" s="90"/>
      <c r="LED18" s="93"/>
      <c r="LEE18" s="88"/>
      <c r="LEF18" s="88"/>
      <c r="LEG18" s="90"/>
      <c r="LEH18" s="93"/>
      <c r="LEI18" s="88"/>
      <c r="LEJ18" s="88"/>
      <c r="LEK18" s="91"/>
      <c r="LEL18" s="93"/>
      <c r="LEM18" s="93"/>
      <c r="LEN18" s="88"/>
      <c r="LEO18" s="88"/>
      <c r="LEP18" s="90"/>
      <c r="LEQ18" s="93"/>
      <c r="LER18" s="88"/>
      <c r="LES18" s="88"/>
      <c r="LET18" s="90"/>
      <c r="LEU18" s="93"/>
      <c r="LEV18" s="88"/>
      <c r="LEW18" s="88"/>
      <c r="LEX18" s="91"/>
      <c r="LEY18" s="93"/>
      <c r="LEZ18" s="93"/>
      <c r="LFA18" s="88"/>
      <c r="LFB18" s="88"/>
      <c r="LFC18" s="90"/>
      <c r="LFD18" s="93"/>
      <c r="LFE18" s="88"/>
      <c r="LFF18" s="88"/>
      <c r="LFG18" s="90"/>
      <c r="LFH18" s="93"/>
      <c r="LFI18" s="88"/>
      <c r="LFJ18" s="88"/>
      <c r="LFK18" s="91"/>
      <c r="LFL18" s="93"/>
      <c r="LFM18" s="93"/>
      <c r="LFN18" s="88"/>
      <c r="LFO18" s="88"/>
      <c r="LFP18" s="90"/>
      <c r="LFQ18" s="93"/>
      <c r="LFR18" s="88"/>
      <c r="LFS18" s="88"/>
      <c r="LFT18" s="90"/>
      <c r="LFU18" s="93"/>
      <c r="LFV18" s="88"/>
      <c r="LFW18" s="88"/>
      <c r="LFX18" s="91"/>
      <c r="LFY18" s="93"/>
      <c r="LFZ18" s="93"/>
      <c r="LGA18" s="88"/>
      <c r="LGB18" s="88"/>
      <c r="LGC18" s="90"/>
      <c r="LGD18" s="93"/>
      <c r="LGE18" s="88"/>
      <c r="LGF18" s="88"/>
      <c r="LGG18" s="90"/>
      <c r="LGH18" s="93"/>
      <c r="LGI18" s="88"/>
      <c r="LGJ18" s="88"/>
      <c r="LGK18" s="91"/>
      <c r="LGL18" s="93"/>
      <c r="LGM18" s="93"/>
      <c r="LGN18" s="88"/>
      <c r="LGO18" s="88"/>
      <c r="LGP18" s="90"/>
      <c r="LGQ18" s="93"/>
      <c r="LGR18" s="88"/>
      <c r="LGS18" s="88"/>
      <c r="LGT18" s="90"/>
      <c r="LGU18" s="93"/>
      <c r="LGV18" s="88"/>
      <c r="LGW18" s="88"/>
      <c r="LGX18" s="91"/>
      <c r="LGY18" s="93"/>
      <c r="LGZ18" s="93"/>
      <c r="LHA18" s="88"/>
      <c r="LHB18" s="88"/>
      <c r="LHC18" s="90"/>
      <c r="LHD18" s="93"/>
      <c r="LHE18" s="88"/>
      <c r="LHF18" s="88"/>
      <c r="LHG18" s="90"/>
      <c r="LHH18" s="93"/>
      <c r="LHI18" s="88"/>
      <c r="LHJ18" s="88"/>
      <c r="LHK18" s="91"/>
      <c r="LHL18" s="93"/>
      <c r="LHM18" s="93"/>
      <c r="LHN18" s="88"/>
      <c r="LHO18" s="88"/>
      <c r="LHP18" s="90"/>
      <c r="LHQ18" s="93"/>
      <c r="LHR18" s="88"/>
      <c r="LHS18" s="88"/>
      <c r="LHT18" s="90"/>
      <c r="LHU18" s="93"/>
      <c r="LHV18" s="88"/>
      <c r="LHW18" s="88"/>
      <c r="LHX18" s="91"/>
      <c r="LHY18" s="93"/>
      <c r="LHZ18" s="93"/>
      <c r="LIA18" s="88"/>
      <c r="LIB18" s="88"/>
      <c r="LIC18" s="90"/>
      <c r="LID18" s="93"/>
      <c r="LIE18" s="88"/>
      <c r="LIF18" s="88"/>
      <c r="LIG18" s="90"/>
      <c r="LIH18" s="93"/>
      <c r="LII18" s="88"/>
      <c r="LIJ18" s="88"/>
      <c r="LIK18" s="91"/>
      <c r="LIL18" s="93"/>
      <c r="LIM18" s="93"/>
      <c r="LIN18" s="88"/>
      <c r="LIO18" s="88"/>
      <c r="LIP18" s="90"/>
      <c r="LIQ18" s="93"/>
      <c r="LIR18" s="88"/>
      <c r="LIS18" s="88"/>
      <c r="LIT18" s="90"/>
      <c r="LIU18" s="93"/>
      <c r="LIV18" s="88"/>
      <c r="LIW18" s="88"/>
      <c r="LIX18" s="91"/>
      <c r="LIY18" s="93"/>
      <c r="LIZ18" s="93"/>
      <c r="LJA18" s="88"/>
      <c r="LJB18" s="88"/>
      <c r="LJC18" s="90"/>
      <c r="LJD18" s="93"/>
      <c r="LJE18" s="88"/>
      <c r="LJF18" s="88"/>
      <c r="LJG18" s="90"/>
      <c r="LJH18" s="93"/>
      <c r="LJI18" s="88"/>
      <c r="LJJ18" s="88"/>
      <c r="LJK18" s="91"/>
      <c r="LJL18" s="93"/>
      <c r="LJM18" s="93"/>
      <c r="LJN18" s="88"/>
      <c r="LJO18" s="88"/>
      <c r="LJP18" s="90"/>
      <c r="LJQ18" s="93"/>
      <c r="LJR18" s="88"/>
      <c r="LJS18" s="88"/>
      <c r="LJT18" s="90"/>
      <c r="LJU18" s="93"/>
      <c r="LJV18" s="88"/>
      <c r="LJW18" s="88"/>
      <c r="LJX18" s="91"/>
      <c r="LJY18" s="93"/>
      <c r="LJZ18" s="93"/>
      <c r="LKA18" s="88"/>
      <c r="LKB18" s="88"/>
      <c r="LKC18" s="90"/>
      <c r="LKD18" s="93"/>
      <c r="LKE18" s="88"/>
      <c r="LKF18" s="88"/>
      <c r="LKG18" s="90"/>
      <c r="LKH18" s="93"/>
      <c r="LKI18" s="88"/>
      <c r="LKJ18" s="88"/>
      <c r="LKK18" s="91"/>
      <c r="LKL18" s="93"/>
      <c r="LKM18" s="93"/>
      <c r="LKN18" s="88"/>
      <c r="LKO18" s="88"/>
      <c r="LKP18" s="90"/>
      <c r="LKQ18" s="93"/>
      <c r="LKR18" s="88"/>
      <c r="LKS18" s="88"/>
      <c r="LKT18" s="90"/>
      <c r="LKU18" s="93"/>
      <c r="LKV18" s="88"/>
      <c r="LKW18" s="88"/>
      <c r="LKX18" s="91"/>
      <c r="LKY18" s="93"/>
      <c r="LKZ18" s="93"/>
      <c r="LLA18" s="88"/>
      <c r="LLB18" s="88"/>
      <c r="LLC18" s="90"/>
      <c r="LLD18" s="93"/>
      <c r="LLE18" s="88"/>
      <c r="LLF18" s="88"/>
      <c r="LLG18" s="90"/>
      <c r="LLH18" s="93"/>
      <c r="LLI18" s="88"/>
      <c r="LLJ18" s="88"/>
      <c r="LLK18" s="91"/>
      <c r="LLL18" s="93"/>
      <c r="LLM18" s="93"/>
      <c r="LLN18" s="88"/>
      <c r="LLO18" s="88"/>
      <c r="LLP18" s="90"/>
      <c r="LLQ18" s="93"/>
      <c r="LLR18" s="88"/>
      <c r="LLS18" s="88"/>
      <c r="LLT18" s="90"/>
      <c r="LLU18" s="93"/>
      <c r="LLV18" s="88"/>
      <c r="LLW18" s="88"/>
      <c r="LLX18" s="91"/>
      <c r="LLY18" s="93"/>
      <c r="LLZ18" s="93"/>
      <c r="LMA18" s="88"/>
      <c r="LMB18" s="88"/>
      <c r="LMC18" s="90"/>
      <c r="LMD18" s="93"/>
      <c r="LME18" s="88"/>
      <c r="LMF18" s="88"/>
      <c r="LMG18" s="90"/>
      <c r="LMH18" s="93"/>
      <c r="LMI18" s="88"/>
      <c r="LMJ18" s="88"/>
      <c r="LMK18" s="91"/>
      <c r="LML18" s="93"/>
      <c r="LMM18" s="93"/>
      <c r="LMN18" s="88"/>
      <c r="LMO18" s="88"/>
      <c r="LMP18" s="90"/>
      <c r="LMQ18" s="93"/>
      <c r="LMR18" s="88"/>
      <c r="LMS18" s="88"/>
      <c r="LMT18" s="90"/>
      <c r="LMU18" s="93"/>
      <c r="LMV18" s="88"/>
      <c r="LMW18" s="88"/>
      <c r="LMX18" s="91"/>
      <c r="LMY18" s="93"/>
      <c r="LMZ18" s="93"/>
      <c r="LNA18" s="88"/>
      <c r="LNB18" s="88"/>
      <c r="LNC18" s="90"/>
      <c r="LND18" s="93"/>
      <c r="LNE18" s="88"/>
      <c r="LNF18" s="88"/>
      <c r="LNG18" s="90"/>
      <c r="LNH18" s="93"/>
      <c r="LNI18" s="88"/>
      <c r="LNJ18" s="88"/>
      <c r="LNK18" s="91"/>
      <c r="LNL18" s="93"/>
      <c r="LNM18" s="93"/>
      <c r="LNN18" s="88"/>
      <c r="LNO18" s="88"/>
      <c r="LNP18" s="90"/>
      <c r="LNQ18" s="93"/>
      <c r="LNR18" s="88"/>
      <c r="LNS18" s="88"/>
      <c r="LNT18" s="90"/>
      <c r="LNU18" s="93"/>
      <c r="LNV18" s="88"/>
      <c r="LNW18" s="88"/>
      <c r="LNX18" s="91"/>
      <c r="LNY18" s="93"/>
      <c r="LNZ18" s="93"/>
      <c r="LOA18" s="88"/>
      <c r="LOB18" s="88"/>
      <c r="LOC18" s="90"/>
      <c r="LOD18" s="93"/>
      <c r="LOE18" s="88"/>
      <c r="LOF18" s="88"/>
      <c r="LOG18" s="90"/>
      <c r="LOH18" s="93"/>
      <c r="LOI18" s="88"/>
      <c r="LOJ18" s="88"/>
      <c r="LOK18" s="91"/>
      <c r="LOL18" s="93"/>
      <c r="LOM18" s="93"/>
      <c r="LON18" s="88"/>
      <c r="LOO18" s="88"/>
      <c r="LOP18" s="90"/>
      <c r="LOQ18" s="93"/>
      <c r="LOR18" s="88"/>
      <c r="LOS18" s="88"/>
      <c r="LOT18" s="90"/>
      <c r="LOU18" s="93"/>
      <c r="LOV18" s="88"/>
      <c r="LOW18" s="88"/>
      <c r="LOX18" s="91"/>
      <c r="LOY18" s="93"/>
      <c r="LOZ18" s="93"/>
      <c r="LPA18" s="88"/>
      <c r="LPB18" s="88"/>
      <c r="LPC18" s="90"/>
      <c r="LPD18" s="93"/>
      <c r="LPE18" s="88"/>
      <c r="LPF18" s="88"/>
      <c r="LPG18" s="90"/>
      <c r="LPH18" s="93"/>
      <c r="LPI18" s="88"/>
      <c r="LPJ18" s="88"/>
      <c r="LPK18" s="91"/>
      <c r="LPL18" s="93"/>
      <c r="LPM18" s="93"/>
      <c r="LPN18" s="88"/>
      <c r="LPO18" s="88"/>
      <c r="LPP18" s="90"/>
      <c r="LPQ18" s="93"/>
      <c r="LPR18" s="88"/>
      <c r="LPS18" s="88"/>
      <c r="LPT18" s="90"/>
      <c r="LPU18" s="93"/>
      <c r="LPV18" s="88"/>
      <c r="LPW18" s="88"/>
      <c r="LPX18" s="91"/>
      <c r="LPY18" s="93"/>
      <c r="LPZ18" s="93"/>
      <c r="LQA18" s="88"/>
      <c r="LQB18" s="88"/>
      <c r="LQC18" s="90"/>
      <c r="LQD18" s="93"/>
      <c r="LQE18" s="88"/>
      <c r="LQF18" s="88"/>
      <c r="LQG18" s="90"/>
      <c r="LQH18" s="93"/>
      <c r="LQI18" s="88"/>
      <c r="LQJ18" s="88"/>
      <c r="LQK18" s="91"/>
      <c r="LQL18" s="93"/>
      <c r="LQM18" s="93"/>
      <c r="LQN18" s="88"/>
      <c r="LQO18" s="88"/>
      <c r="LQP18" s="90"/>
      <c r="LQQ18" s="93"/>
      <c r="LQR18" s="88"/>
      <c r="LQS18" s="88"/>
      <c r="LQT18" s="90"/>
      <c r="LQU18" s="93"/>
      <c r="LQV18" s="88"/>
      <c r="LQW18" s="88"/>
      <c r="LQX18" s="91"/>
      <c r="LQY18" s="93"/>
      <c r="LQZ18" s="93"/>
      <c r="LRA18" s="88"/>
      <c r="LRB18" s="88"/>
      <c r="LRC18" s="90"/>
      <c r="LRD18" s="93"/>
      <c r="LRE18" s="88"/>
      <c r="LRF18" s="88"/>
      <c r="LRG18" s="90"/>
      <c r="LRH18" s="93"/>
      <c r="LRI18" s="88"/>
      <c r="LRJ18" s="88"/>
      <c r="LRK18" s="91"/>
      <c r="LRL18" s="93"/>
      <c r="LRM18" s="93"/>
      <c r="LRN18" s="88"/>
      <c r="LRO18" s="88"/>
      <c r="LRP18" s="90"/>
      <c r="LRQ18" s="93"/>
      <c r="LRR18" s="88"/>
      <c r="LRS18" s="88"/>
      <c r="LRT18" s="90"/>
      <c r="LRU18" s="93"/>
      <c r="LRV18" s="88"/>
      <c r="LRW18" s="88"/>
      <c r="LRX18" s="91"/>
      <c r="LRY18" s="93"/>
      <c r="LRZ18" s="93"/>
      <c r="LSA18" s="88"/>
      <c r="LSB18" s="88"/>
      <c r="LSC18" s="90"/>
      <c r="LSD18" s="93"/>
      <c r="LSE18" s="88"/>
      <c r="LSF18" s="88"/>
      <c r="LSG18" s="90"/>
      <c r="LSH18" s="93"/>
      <c r="LSI18" s="88"/>
      <c r="LSJ18" s="88"/>
      <c r="LSK18" s="91"/>
      <c r="LSL18" s="93"/>
      <c r="LSM18" s="93"/>
      <c r="LSN18" s="88"/>
      <c r="LSO18" s="88"/>
      <c r="LSP18" s="90"/>
      <c r="LSQ18" s="93"/>
      <c r="LSR18" s="88"/>
      <c r="LSS18" s="88"/>
      <c r="LST18" s="90"/>
      <c r="LSU18" s="93"/>
      <c r="LSV18" s="88"/>
      <c r="LSW18" s="88"/>
      <c r="LSX18" s="91"/>
      <c r="LSY18" s="93"/>
      <c r="LSZ18" s="93"/>
      <c r="LTA18" s="88"/>
      <c r="LTB18" s="88"/>
      <c r="LTC18" s="90"/>
      <c r="LTD18" s="93"/>
      <c r="LTE18" s="88"/>
      <c r="LTF18" s="88"/>
      <c r="LTG18" s="90"/>
      <c r="LTH18" s="93"/>
      <c r="LTI18" s="88"/>
      <c r="LTJ18" s="88"/>
      <c r="LTK18" s="91"/>
      <c r="LTL18" s="93"/>
      <c r="LTM18" s="93"/>
      <c r="LTN18" s="88"/>
      <c r="LTO18" s="88"/>
      <c r="LTP18" s="90"/>
      <c r="LTQ18" s="93"/>
      <c r="LTR18" s="88"/>
      <c r="LTS18" s="88"/>
      <c r="LTT18" s="90"/>
      <c r="LTU18" s="93"/>
      <c r="LTV18" s="88"/>
      <c r="LTW18" s="88"/>
      <c r="LTX18" s="91"/>
      <c r="LTY18" s="93"/>
      <c r="LTZ18" s="93"/>
      <c r="LUA18" s="88"/>
      <c r="LUB18" s="88"/>
      <c r="LUC18" s="90"/>
      <c r="LUD18" s="93"/>
      <c r="LUE18" s="88"/>
      <c r="LUF18" s="88"/>
      <c r="LUG18" s="90"/>
      <c r="LUH18" s="93"/>
      <c r="LUI18" s="88"/>
      <c r="LUJ18" s="88"/>
      <c r="LUK18" s="91"/>
      <c r="LUL18" s="93"/>
      <c r="LUM18" s="93"/>
      <c r="LUN18" s="88"/>
      <c r="LUO18" s="88"/>
      <c r="LUP18" s="90"/>
      <c r="LUQ18" s="93"/>
      <c r="LUR18" s="88"/>
      <c r="LUS18" s="88"/>
      <c r="LUT18" s="90"/>
      <c r="LUU18" s="93"/>
      <c r="LUV18" s="88"/>
      <c r="LUW18" s="88"/>
      <c r="LUX18" s="91"/>
      <c r="LUY18" s="93"/>
      <c r="LUZ18" s="93"/>
      <c r="LVA18" s="88"/>
      <c r="LVB18" s="88"/>
      <c r="LVC18" s="90"/>
      <c r="LVD18" s="93"/>
      <c r="LVE18" s="88"/>
      <c r="LVF18" s="88"/>
      <c r="LVG18" s="90"/>
      <c r="LVH18" s="93"/>
      <c r="LVI18" s="88"/>
      <c r="LVJ18" s="88"/>
      <c r="LVK18" s="91"/>
      <c r="LVL18" s="93"/>
      <c r="LVM18" s="93"/>
      <c r="LVN18" s="88"/>
      <c r="LVO18" s="88"/>
      <c r="LVP18" s="90"/>
      <c r="LVQ18" s="93"/>
      <c r="LVR18" s="88"/>
      <c r="LVS18" s="88"/>
      <c r="LVT18" s="90"/>
      <c r="LVU18" s="93"/>
      <c r="LVV18" s="88"/>
      <c r="LVW18" s="88"/>
      <c r="LVX18" s="91"/>
      <c r="LVY18" s="93"/>
      <c r="LVZ18" s="93"/>
      <c r="LWA18" s="88"/>
      <c r="LWB18" s="88"/>
      <c r="LWC18" s="90"/>
      <c r="LWD18" s="93"/>
      <c r="LWE18" s="88"/>
      <c r="LWF18" s="88"/>
      <c r="LWG18" s="90"/>
      <c r="LWH18" s="93"/>
      <c r="LWI18" s="88"/>
      <c r="LWJ18" s="88"/>
      <c r="LWK18" s="91"/>
      <c r="LWL18" s="93"/>
      <c r="LWM18" s="93"/>
      <c r="LWN18" s="88"/>
      <c r="LWO18" s="88"/>
      <c r="LWP18" s="90"/>
      <c r="LWQ18" s="93"/>
      <c r="LWR18" s="88"/>
      <c r="LWS18" s="88"/>
      <c r="LWT18" s="90"/>
      <c r="LWU18" s="93"/>
      <c r="LWV18" s="88"/>
      <c r="LWW18" s="88"/>
      <c r="LWX18" s="91"/>
      <c r="LWY18" s="93"/>
      <c r="LWZ18" s="93"/>
      <c r="LXA18" s="88"/>
      <c r="LXB18" s="88"/>
      <c r="LXC18" s="90"/>
      <c r="LXD18" s="93"/>
      <c r="LXE18" s="88"/>
      <c r="LXF18" s="88"/>
      <c r="LXG18" s="90"/>
      <c r="LXH18" s="93"/>
      <c r="LXI18" s="88"/>
      <c r="LXJ18" s="88"/>
      <c r="LXK18" s="91"/>
      <c r="LXL18" s="93"/>
      <c r="LXM18" s="93"/>
      <c r="LXN18" s="88"/>
      <c r="LXO18" s="88"/>
      <c r="LXP18" s="90"/>
      <c r="LXQ18" s="93"/>
      <c r="LXR18" s="88"/>
      <c r="LXS18" s="88"/>
      <c r="LXT18" s="90"/>
      <c r="LXU18" s="93"/>
      <c r="LXV18" s="88"/>
      <c r="LXW18" s="88"/>
      <c r="LXX18" s="91"/>
      <c r="LXY18" s="93"/>
      <c r="LXZ18" s="93"/>
      <c r="LYA18" s="88"/>
      <c r="LYB18" s="88"/>
      <c r="LYC18" s="90"/>
      <c r="LYD18" s="93"/>
      <c r="LYE18" s="88"/>
      <c r="LYF18" s="88"/>
      <c r="LYG18" s="90"/>
      <c r="LYH18" s="93"/>
      <c r="LYI18" s="88"/>
      <c r="LYJ18" s="88"/>
      <c r="LYK18" s="91"/>
      <c r="LYL18" s="93"/>
      <c r="LYM18" s="93"/>
      <c r="LYN18" s="88"/>
      <c r="LYO18" s="88"/>
      <c r="LYP18" s="90"/>
      <c r="LYQ18" s="93"/>
      <c r="LYR18" s="88"/>
      <c r="LYS18" s="88"/>
      <c r="LYT18" s="90"/>
      <c r="LYU18" s="93"/>
      <c r="LYV18" s="88"/>
      <c r="LYW18" s="88"/>
      <c r="LYX18" s="91"/>
      <c r="LYY18" s="93"/>
      <c r="LYZ18" s="93"/>
      <c r="LZA18" s="88"/>
      <c r="LZB18" s="88"/>
      <c r="LZC18" s="90"/>
      <c r="LZD18" s="93"/>
      <c r="LZE18" s="88"/>
      <c r="LZF18" s="88"/>
      <c r="LZG18" s="90"/>
      <c r="LZH18" s="93"/>
      <c r="LZI18" s="88"/>
      <c r="LZJ18" s="88"/>
      <c r="LZK18" s="91"/>
      <c r="LZL18" s="93"/>
      <c r="LZM18" s="93"/>
      <c r="LZN18" s="88"/>
      <c r="LZO18" s="88"/>
      <c r="LZP18" s="90"/>
      <c r="LZQ18" s="93"/>
      <c r="LZR18" s="88"/>
      <c r="LZS18" s="88"/>
      <c r="LZT18" s="90"/>
      <c r="LZU18" s="93"/>
      <c r="LZV18" s="88"/>
      <c r="LZW18" s="88"/>
      <c r="LZX18" s="91"/>
      <c r="LZY18" s="93"/>
      <c r="LZZ18" s="93"/>
      <c r="MAA18" s="88"/>
      <c r="MAB18" s="88"/>
      <c r="MAC18" s="90"/>
      <c r="MAD18" s="93"/>
      <c r="MAE18" s="88"/>
      <c r="MAF18" s="88"/>
      <c r="MAG18" s="90"/>
      <c r="MAH18" s="93"/>
      <c r="MAI18" s="88"/>
      <c r="MAJ18" s="88"/>
      <c r="MAK18" s="91"/>
      <c r="MAL18" s="93"/>
      <c r="MAM18" s="93"/>
      <c r="MAN18" s="88"/>
      <c r="MAO18" s="88"/>
      <c r="MAP18" s="90"/>
      <c r="MAQ18" s="93"/>
      <c r="MAR18" s="88"/>
      <c r="MAS18" s="88"/>
      <c r="MAT18" s="90"/>
      <c r="MAU18" s="93"/>
      <c r="MAV18" s="88"/>
      <c r="MAW18" s="88"/>
      <c r="MAX18" s="91"/>
      <c r="MAY18" s="93"/>
      <c r="MAZ18" s="93"/>
      <c r="MBA18" s="88"/>
      <c r="MBB18" s="88"/>
      <c r="MBC18" s="90"/>
      <c r="MBD18" s="93"/>
      <c r="MBE18" s="88"/>
      <c r="MBF18" s="88"/>
      <c r="MBG18" s="90"/>
      <c r="MBH18" s="93"/>
      <c r="MBI18" s="88"/>
      <c r="MBJ18" s="88"/>
      <c r="MBK18" s="91"/>
      <c r="MBL18" s="93"/>
      <c r="MBM18" s="93"/>
      <c r="MBN18" s="88"/>
      <c r="MBO18" s="88"/>
      <c r="MBP18" s="90"/>
      <c r="MBQ18" s="93"/>
      <c r="MBR18" s="88"/>
      <c r="MBS18" s="88"/>
      <c r="MBT18" s="90"/>
      <c r="MBU18" s="93"/>
      <c r="MBV18" s="88"/>
      <c r="MBW18" s="88"/>
      <c r="MBX18" s="91"/>
      <c r="MBY18" s="93"/>
      <c r="MBZ18" s="93"/>
      <c r="MCA18" s="88"/>
      <c r="MCB18" s="88"/>
      <c r="MCC18" s="90"/>
      <c r="MCD18" s="93"/>
      <c r="MCE18" s="88"/>
      <c r="MCF18" s="88"/>
      <c r="MCG18" s="90"/>
      <c r="MCH18" s="93"/>
      <c r="MCI18" s="88"/>
      <c r="MCJ18" s="88"/>
      <c r="MCK18" s="91"/>
      <c r="MCL18" s="93"/>
      <c r="MCM18" s="93"/>
      <c r="MCN18" s="88"/>
      <c r="MCO18" s="88"/>
      <c r="MCP18" s="90"/>
      <c r="MCQ18" s="93"/>
      <c r="MCR18" s="88"/>
      <c r="MCS18" s="88"/>
      <c r="MCT18" s="90"/>
      <c r="MCU18" s="93"/>
      <c r="MCV18" s="88"/>
      <c r="MCW18" s="88"/>
      <c r="MCX18" s="91"/>
      <c r="MCY18" s="93"/>
      <c r="MCZ18" s="93"/>
      <c r="MDA18" s="88"/>
      <c r="MDB18" s="88"/>
      <c r="MDC18" s="90"/>
      <c r="MDD18" s="93"/>
      <c r="MDE18" s="88"/>
      <c r="MDF18" s="88"/>
      <c r="MDG18" s="90"/>
      <c r="MDH18" s="93"/>
      <c r="MDI18" s="88"/>
      <c r="MDJ18" s="88"/>
      <c r="MDK18" s="91"/>
      <c r="MDL18" s="93"/>
      <c r="MDM18" s="93"/>
      <c r="MDN18" s="88"/>
      <c r="MDO18" s="88"/>
      <c r="MDP18" s="90"/>
      <c r="MDQ18" s="93"/>
      <c r="MDR18" s="88"/>
      <c r="MDS18" s="88"/>
      <c r="MDT18" s="90"/>
      <c r="MDU18" s="93"/>
      <c r="MDV18" s="88"/>
      <c r="MDW18" s="88"/>
      <c r="MDX18" s="91"/>
      <c r="MDY18" s="93"/>
      <c r="MDZ18" s="93"/>
      <c r="MEA18" s="88"/>
      <c r="MEB18" s="88"/>
      <c r="MEC18" s="90"/>
      <c r="MED18" s="93"/>
      <c r="MEE18" s="88"/>
      <c r="MEF18" s="88"/>
      <c r="MEG18" s="90"/>
      <c r="MEH18" s="93"/>
      <c r="MEI18" s="88"/>
      <c r="MEJ18" s="88"/>
      <c r="MEK18" s="91"/>
      <c r="MEL18" s="93"/>
      <c r="MEM18" s="93"/>
      <c r="MEN18" s="88"/>
      <c r="MEO18" s="88"/>
      <c r="MEP18" s="90"/>
      <c r="MEQ18" s="93"/>
      <c r="MER18" s="88"/>
      <c r="MES18" s="88"/>
      <c r="MET18" s="90"/>
      <c r="MEU18" s="93"/>
      <c r="MEV18" s="88"/>
      <c r="MEW18" s="88"/>
      <c r="MEX18" s="91"/>
      <c r="MEY18" s="93"/>
      <c r="MEZ18" s="93"/>
      <c r="MFA18" s="88"/>
      <c r="MFB18" s="88"/>
      <c r="MFC18" s="90"/>
      <c r="MFD18" s="93"/>
      <c r="MFE18" s="88"/>
      <c r="MFF18" s="88"/>
      <c r="MFG18" s="90"/>
      <c r="MFH18" s="93"/>
      <c r="MFI18" s="88"/>
      <c r="MFJ18" s="88"/>
      <c r="MFK18" s="91"/>
      <c r="MFL18" s="93"/>
      <c r="MFM18" s="93"/>
      <c r="MFN18" s="88"/>
      <c r="MFO18" s="88"/>
      <c r="MFP18" s="90"/>
      <c r="MFQ18" s="93"/>
      <c r="MFR18" s="88"/>
      <c r="MFS18" s="88"/>
      <c r="MFT18" s="90"/>
      <c r="MFU18" s="93"/>
      <c r="MFV18" s="88"/>
      <c r="MFW18" s="88"/>
      <c r="MFX18" s="91"/>
      <c r="MFY18" s="93"/>
      <c r="MFZ18" s="93"/>
      <c r="MGA18" s="88"/>
      <c r="MGB18" s="88"/>
      <c r="MGC18" s="90"/>
      <c r="MGD18" s="93"/>
      <c r="MGE18" s="88"/>
      <c r="MGF18" s="88"/>
      <c r="MGG18" s="90"/>
      <c r="MGH18" s="93"/>
      <c r="MGI18" s="88"/>
      <c r="MGJ18" s="88"/>
      <c r="MGK18" s="91"/>
      <c r="MGL18" s="93"/>
      <c r="MGM18" s="93"/>
      <c r="MGN18" s="88"/>
      <c r="MGO18" s="88"/>
      <c r="MGP18" s="90"/>
      <c r="MGQ18" s="93"/>
      <c r="MGR18" s="88"/>
      <c r="MGS18" s="88"/>
      <c r="MGT18" s="90"/>
      <c r="MGU18" s="93"/>
      <c r="MGV18" s="88"/>
      <c r="MGW18" s="88"/>
      <c r="MGX18" s="91"/>
      <c r="MGY18" s="93"/>
      <c r="MGZ18" s="93"/>
      <c r="MHA18" s="88"/>
      <c r="MHB18" s="88"/>
      <c r="MHC18" s="90"/>
      <c r="MHD18" s="93"/>
      <c r="MHE18" s="88"/>
      <c r="MHF18" s="88"/>
      <c r="MHG18" s="90"/>
      <c r="MHH18" s="93"/>
      <c r="MHI18" s="88"/>
      <c r="MHJ18" s="88"/>
      <c r="MHK18" s="91"/>
      <c r="MHL18" s="93"/>
      <c r="MHM18" s="93"/>
      <c r="MHN18" s="88"/>
      <c r="MHO18" s="88"/>
      <c r="MHP18" s="90"/>
      <c r="MHQ18" s="93"/>
      <c r="MHR18" s="88"/>
      <c r="MHS18" s="88"/>
      <c r="MHT18" s="90"/>
      <c r="MHU18" s="93"/>
      <c r="MHV18" s="88"/>
      <c r="MHW18" s="88"/>
      <c r="MHX18" s="91"/>
      <c r="MHY18" s="93"/>
      <c r="MHZ18" s="93"/>
      <c r="MIA18" s="88"/>
      <c r="MIB18" s="88"/>
      <c r="MIC18" s="90"/>
      <c r="MID18" s="93"/>
      <c r="MIE18" s="88"/>
      <c r="MIF18" s="88"/>
      <c r="MIG18" s="90"/>
      <c r="MIH18" s="93"/>
      <c r="MII18" s="88"/>
      <c r="MIJ18" s="88"/>
      <c r="MIK18" s="91"/>
      <c r="MIL18" s="93"/>
      <c r="MIM18" s="93"/>
      <c r="MIN18" s="88"/>
      <c r="MIO18" s="88"/>
      <c r="MIP18" s="90"/>
      <c r="MIQ18" s="93"/>
      <c r="MIR18" s="88"/>
      <c r="MIS18" s="88"/>
      <c r="MIT18" s="90"/>
      <c r="MIU18" s="93"/>
      <c r="MIV18" s="88"/>
      <c r="MIW18" s="88"/>
      <c r="MIX18" s="91"/>
      <c r="MIY18" s="93"/>
      <c r="MIZ18" s="93"/>
      <c r="MJA18" s="88"/>
      <c r="MJB18" s="88"/>
      <c r="MJC18" s="90"/>
      <c r="MJD18" s="93"/>
      <c r="MJE18" s="88"/>
      <c r="MJF18" s="88"/>
      <c r="MJG18" s="90"/>
      <c r="MJH18" s="93"/>
      <c r="MJI18" s="88"/>
      <c r="MJJ18" s="88"/>
      <c r="MJK18" s="91"/>
      <c r="MJL18" s="93"/>
      <c r="MJM18" s="93"/>
      <c r="MJN18" s="88"/>
      <c r="MJO18" s="88"/>
      <c r="MJP18" s="90"/>
      <c r="MJQ18" s="93"/>
      <c r="MJR18" s="88"/>
      <c r="MJS18" s="88"/>
      <c r="MJT18" s="90"/>
      <c r="MJU18" s="93"/>
      <c r="MJV18" s="88"/>
      <c r="MJW18" s="88"/>
      <c r="MJX18" s="91"/>
      <c r="MJY18" s="93"/>
      <c r="MJZ18" s="93"/>
      <c r="MKA18" s="88"/>
      <c r="MKB18" s="88"/>
      <c r="MKC18" s="90"/>
      <c r="MKD18" s="93"/>
      <c r="MKE18" s="88"/>
      <c r="MKF18" s="88"/>
      <c r="MKG18" s="90"/>
      <c r="MKH18" s="93"/>
      <c r="MKI18" s="88"/>
      <c r="MKJ18" s="88"/>
      <c r="MKK18" s="91"/>
      <c r="MKL18" s="93"/>
      <c r="MKM18" s="93"/>
      <c r="MKN18" s="88"/>
      <c r="MKO18" s="88"/>
      <c r="MKP18" s="90"/>
      <c r="MKQ18" s="93"/>
      <c r="MKR18" s="88"/>
      <c r="MKS18" s="88"/>
      <c r="MKT18" s="90"/>
      <c r="MKU18" s="93"/>
      <c r="MKV18" s="88"/>
      <c r="MKW18" s="88"/>
      <c r="MKX18" s="91"/>
      <c r="MKY18" s="93"/>
      <c r="MKZ18" s="93"/>
      <c r="MLA18" s="88"/>
      <c r="MLB18" s="88"/>
      <c r="MLC18" s="90"/>
      <c r="MLD18" s="93"/>
      <c r="MLE18" s="88"/>
      <c r="MLF18" s="88"/>
      <c r="MLG18" s="90"/>
      <c r="MLH18" s="93"/>
      <c r="MLI18" s="88"/>
      <c r="MLJ18" s="88"/>
      <c r="MLK18" s="91"/>
      <c r="MLL18" s="93"/>
      <c r="MLM18" s="93"/>
      <c r="MLN18" s="88"/>
      <c r="MLO18" s="88"/>
      <c r="MLP18" s="90"/>
      <c r="MLQ18" s="93"/>
      <c r="MLR18" s="88"/>
      <c r="MLS18" s="88"/>
      <c r="MLT18" s="90"/>
      <c r="MLU18" s="93"/>
      <c r="MLV18" s="88"/>
      <c r="MLW18" s="88"/>
      <c r="MLX18" s="91"/>
      <c r="MLY18" s="93"/>
      <c r="MLZ18" s="93"/>
      <c r="MMA18" s="88"/>
      <c r="MMB18" s="88"/>
      <c r="MMC18" s="90"/>
      <c r="MMD18" s="93"/>
      <c r="MME18" s="88"/>
      <c r="MMF18" s="88"/>
      <c r="MMG18" s="90"/>
      <c r="MMH18" s="93"/>
      <c r="MMI18" s="88"/>
      <c r="MMJ18" s="88"/>
      <c r="MMK18" s="91"/>
      <c r="MML18" s="93"/>
      <c r="MMM18" s="93"/>
      <c r="MMN18" s="88"/>
      <c r="MMO18" s="88"/>
      <c r="MMP18" s="90"/>
      <c r="MMQ18" s="93"/>
      <c r="MMR18" s="88"/>
      <c r="MMS18" s="88"/>
      <c r="MMT18" s="90"/>
      <c r="MMU18" s="93"/>
      <c r="MMV18" s="88"/>
      <c r="MMW18" s="88"/>
      <c r="MMX18" s="91"/>
      <c r="MMY18" s="93"/>
      <c r="MMZ18" s="93"/>
      <c r="MNA18" s="88"/>
      <c r="MNB18" s="88"/>
      <c r="MNC18" s="90"/>
      <c r="MND18" s="93"/>
      <c r="MNE18" s="88"/>
      <c r="MNF18" s="88"/>
      <c r="MNG18" s="90"/>
      <c r="MNH18" s="93"/>
      <c r="MNI18" s="88"/>
      <c r="MNJ18" s="88"/>
      <c r="MNK18" s="91"/>
      <c r="MNL18" s="93"/>
      <c r="MNM18" s="93"/>
      <c r="MNN18" s="88"/>
      <c r="MNO18" s="88"/>
      <c r="MNP18" s="90"/>
      <c r="MNQ18" s="93"/>
      <c r="MNR18" s="88"/>
      <c r="MNS18" s="88"/>
      <c r="MNT18" s="90"/>
      <c r="MNU18" s="93"/>
      <c r="MNV18" s="88"/>
      <c r="MNW18" s="88"/>
      <c r="MNX18" s="91"/>
      <c r="MNY18" s="93"/>
      <c r="MNZ18" s="93"/>
      <c r="MOA18" s="88"/>
      <c r="MOB18" s="88"/>
      <c r="MOC18" s="90"/>
      <c r="MOD18" s="93"/>
      <c r="MOE18" s="88"/>
      <c r="MOF18" s="88"/>
      <c r="MOG18" s="90"/>
      <c r="MOH18" s="93"/>
      <c r="MOI18" s="88"/>
      <c r="MOJ18" s="88"/>
      <c r="MOK18" s="91"/>
      <c r="MOL18" s="93"/>
      <c r="MOM18" s="93"/>
      <c r="MON18" s="88"/>
      <c r="MOO18" s="88"/>
      <c r="MOP18" s="90"/>
      <c r="MOQ18" s="93"/>
      <c r="MOR18" s="88"/>
      <c r="MOS18" s="88"/>
      <c r="MOT18" s="90"/>
      <c r="MOU18" s="93"/>
      <c r="MOV18" s="88"/>
      <c r="MOW18" s="88"/>
      <c r="MOX18" s="91"/>
      <c r="MOY18" s="93"/>
      <c r="MOZ18" s="93"/>
      <c r="MPA18" s="88"/>
      <c r="MPB18" s="88"/>
      <c r="MPC18" s="90"/>
      <c r="MPD18" s="93"/>
      <c r="MPE18" s="88"/>
      <c r="MPF18" s="88"/>
      <c r="MPG18" s="90"/>
      <c r="MPH18" s="93"/>
      <c r="MPI18" s="88"/>
      <c r="MPJ18" s="88"/>
      <c r="MPK18" s="91"/>
      <c r="MPL18" s="93"/>
      <c r="MPM18" s="93"/>
      <c r="MPN18" s="88"/>
      <c r="MPO18" s="88"/>
      <c r="MPP18" s="90"/>
      <c r="MPQ18" s="93"/>
      <c r="MPR18" s="88"/>
      <c r="MPS18" s="88"/>
      <c r="MPT18" s="90"/>
      <c r="MPU18" s="93"/>
      <c r="MPV18" s="88"/>
      <c r="MPW18" s="88"/>
      <c r="MPX18" s="91"/>
      <c r="MPY18" s="93"/>
      <c r="MPZ18" s="93"/>
      <c r="MQA18" s="88"/>
      <c r="MQB18" s="88"/>
      <c r="MQC18" s="90"/>
      <c r="MQD18" s="93"/>
      <c r="MQE18" s="88"/>
      <c r="MQF18" s="88"/>
      <c r="MQG18" s="90"/>
      <c r="MQH18" s="93"/>
      <c r="MQI18" s="88"/>
      <c r="MQJ18" s="88"/>
      <c r="MQK18" s="91"/>
      <c r="MQL18" s="93"/>
      <c r="MQM18" s="93"/>
      <c r="MQN18" s="88"/>
      <c r="MQO18" s="88"/>
      <c r="MQP18" s="90"/>
      <c r="MQQ18" s="93"/>
      <c r="MQR18" s="88"/>
      <c r="MQS18" s="88"/>
      <c r="MQT18" s="90"/>
      <c r="MQU18" s="93"/>
      <c r="MQV18" s="88"/>
      <c r="MQW18" s="88"/>
      <c r="MQX18" s="91"/>
      <c r="MQY18" s="93"/>
      <c r="MQZ18" s="93"/>
      <c r="MRA18" s="88"/>
      <c r="MRB18" s="88"/>
      <c r="MRC18" s="90"/>
      <c r="MRD18" s="93"/>
      <c r="MRE18" s="88"/>
      <c r="MRF18" s="88"/>
      <c r="MRG18" s="90"/>
      <c r="MRH18" s="93"/>
      <c r="MRI18" s="88"/>
      <c r="MRJ18" s="88"/>
      <c r="MRK18" s="91"/>
      <c r="MRL18" s="93"/>
      <c r="MRM18" s="93"/>
      <c r="MRN18" s="88"/>
      <c r="MRO18" s="88"/>
      <c r="MRP18" s="90"/>
      <c r="MRQ18" s="93"/>
      <c r="MRR18" s="88"/>
      <c r="MRS18" s="88"/>
      <c r="MRT18" s="90"/>
      <c r="MRU18" s="93"/>
      <c r="MRV18" s="88"/>
      <c r="MRW18" s="88"/>
      <c r="MRX18" s="91"/>
      <c r="MRY18" s="93"/>
      <c r="MRZ18" s="93"/>
      <c r="MSA18" s="88"/>
      <c r="MSB18" s="88"/>
      <c r="MSC18" s="90"/>
      <c r="MSD18" s="93"/>
      <c r="MSE18" s="88"/>
      <c r="MSF18" s="88"/>
      <c r="MSG18" s="90"/>
      <c r="MSH18" s="93"/>
      <c r="MSI18" s="88"/>
      <c r="MSJ18" s="88"/>
      <c r="MSK18" s="91"/>
      <c r="MSL18" s="93"/>
      <c r="MSM18" s="93"/>
      <c r="MSN18" s="88"/>
      <c r="MSO18" s="88"/>
      <c r="MSP18" s="90"/>
      <c r="MSQ18" s="93"/>
      <c r="MSR18" s="88"/>
      <c r="MSS18" s="88"/>
      <c r="MST18" s="90"/>
      <c r="MSU18" s="93"/>
      <c r="MSV18" s="88"/>
      <c r="MSW18" s="88"/>
      <c r="MSX18" s="91"/>
      <c r="MSY18" s="93"/>
      <c r="MSZ18" s="93"/>
      <c r="MTA18" s="88"/>
      <c r="MTB18" s="88"/>
      <c r="MTC18" s="90"/>
      <c r="MTD18" s="93"/>
      <c r="MTE18" s="88"/>
      <c r="MTF18" s="88"/>
      <c r="MTG18" s="90"/>
      <c r="MTH18" s="93"/>
      <c r="MTI18" s="88"/>
      <c r="MTJ18" s="88"/>
      <c r="MTK18" s="91"/>
      <c r="MTL18" s="93"/>
      <c r="MTM18" s="93"/>
      <c r="MTN18" s="88"/>
      <c r="MTO18" s="88"/>
      <c r="MTP18" s="90"/>
      <c r="MTQ18" s="93"/>
      <c r="MTR18" s="88"/>
      <c r="MTS18" s="88"/>
      <c r="MTT18" s="90"/>
      <c r="MTU18" s="93"/>
      <c r="MTV18" s="88"/>
      <c r="MTW18" s="88"/>
      <c r="MTX18" s="91"/>
      <c r="MTY18" s="93"/>
      <c r="MTZ18" s="93"/>
      <c r="MUA18" s="88"/>
      <c r="MUB18" s="88"/>
      <c r="MUC18" s="90"/>
      <c r="MUD18" s="93"/>
      <c r="MUE18" s="88"/>
      <c r="MUF18" s="88"/>
      <c r="MUG18" s="90"/>
      <c r="MUH18" s="93"/>
      <c r="MUI18" s="88"/>
      <c r="MUJ18" s="88"/>
      <c r="MUK18" s="91"/>
      <c r="MUL18" s="93"/>
      <c r="MUM18" s="93"/>
      <c r="MUN18" s="88"/>
      <c r="MUO18" s="88"/>
      <c r="MUP18" s="90"/>
      <c r="MUQ18" s="93"/>
      <c r="MUR18" s="88"/>
      <c r="MUS18" s="88"/>
      <c r="MUT18" s="90"/>
      <c r="MUU18" s="93"/>
      <c r="MUV18" s="88"/>
      <c r="MUW18" s="88"/>
      <c r="MUX18" s="91"/>
      <c r="MUY18" s="93"/>
      <c r="MUZ18" s="93"/>
      <c r="MVA18" s="88"/>
      <c r="MVB18" s="88"/>
      <c r="MVC18" s="90"/>
      <c r="MVD18" s="93"/>
      <c r="MVE18" s="88"/>
      <c r="MVF18" s="88"/>
      <c r="MVG18" s="90"/>
      <c r="MVH18" s="93"/>
      <c r="MVI18" s="88"/>
      <c r="MVJ18" s="88"/>
      <c r="MVK18" s="91"/>
      <c r="MVL18" s="93"/>
      <c r="MVM18" s="93"/>
      <c r="MVN18" s="88"/>
      <c r="MVO18" s="88"/>
      <c r="MVP18" s="90"/>
      <c r="MVQ18" s="93"/>
      <c r="MVR18" s="88"/>
      <c r="MVS18" s="88"/>
      <c r="MVT18" s="90"/>
      <c r="MVU18" s="93"/>
      <c r="MVV18" s="88"/>
      <c r="MVW18" s="88"/>
      <c r="MVX18" s="91"/>
      <c r="MVY18" s="93"/>
      <c r="MVZ18" s="93"/>
      <c r="MWA18" s="88"/>
      <c r="MWB18" s="88"/>
      <c r="MWC18" s="90"/>
      <c r="MWD18" s="93"/>
      <c r="MWE18" s="88"/>
      <c r="MWF18" s="88"/>
      <c r="MWG18" s="90"/>
      <c r="MWH18" s="93"/>
      <c r="MWI18" s="88"/>
      <c r="MWJ18" s="88"/>
      <c r="MWK18" s="91"/>
      <c r="MWL18" s="93"/>
      <c r="MWM18" s="93"/>
      <c r="MWN18" s="88"/>
      <c r="MWO18" s="88"/>
      <c r="MWP18" s="90"/>
      <c r="MWQ18" s="93"/>
      <c r="MWR18" s="88"/>
      <c r="MWS18" s="88"/>
      <c r="MWT18" s="90"/>
      <c r="MWU18" s="93"/>
      <c r="MWV18" s="88"/>
      <c r="MWW18" s="88"/>
      <c r="MWX18" s="91"/>
      <c r="MWY18" s="93"/>
      <c r="MWZ18" s="93"/>
      <c r="MXA18" s="88"/>
      <c r="MXB18" s="88"/>
      <c r="MXC18" s="90"/>
      <c r="MXD18" s="93"/>
      <c r="MXE18" s="88"/>
      <c r="MXF18" s="88"/>
      <c r="MXG18" s="90"/>
      <c r="MXH18" s="93"/>
      <c r="MXI18" s="88"/>
      <c r="MXJ18" s="88"/>
      <c r="MXK18" s="91"/>
      <c r="MXL18" s="93"/>
      <c r="MXM18" s="93"/>
      <c r="MXN18" s="88"/>
      <c r="MXO18" s="88"/>
      <c r="MXP18" s="90"/>
      <c r="MXQ18" s="93"/>
      <c r="MXR18" s="88"/>
      <c r="MXS18" s="88"/>
      <c r="MXT18" s="90"/>
      <c r="MXU18" s="93"/>
      <c r="MXV18" s="88"/>
      <c r="MXW18" s="88"/>
      <c r="MXX18" s="91"/>
      <c r="MXY18" s="93"/>
      <c r="MXZ18" s="93"/>
      <c r="MYA18" s="88"/>
      <c r="MYB18" s="88"/>
      <c r="MYC18" s="90"/>
      <c r="MYD18" s="93"/>
      <c r="MYE18" s="88"/>
      <c r="MYF18" s="88"/>
      <c r="MYG18" s="90"/>
      <c r="MYH18" s="93"/>
      <c r="MYI18" s="88"/>
      <c r="MYJ18" s="88"/>
      <c r="MYK18" s="91"/>
      <c r="MYL18" s="93"/>
      <c r="MYM18" s="93"/>
      <c r="MYN18" s="88"/>
      <c r="MYO18" s="88"/>
      <c r="MYP18" s="90"/>
      <c r="MYQ18" s="93"/>
      <c r="MYR18" s="88"/>
      <c r="MYS18" s="88"/>
      <c r="MYT18" s="90"/>
      <c r="MYU18" s="93"/>
      <c r="MYV18" s="88"/>
      <c r="MYW18" s="88"/>
      <c r="MYX18" s="91"/>
      <c r="MYY18" s="93"/>
      <c r="MYZ18" s="93"/>
      <c r="MZA18" s="88"/>
      <c r="MZB18" s="88"/>
      <c r="MZC18" s="90"/>
      <c r="MZD18" s="93"/>
      <c r="MZE18" s="88"/>
      <c r="MZF18" s="88"/>
      <c r="MZG18" s="90"/>
      <c r="MZH18" s="93"/>
      <c r="MZI18" s="88"/>
      <c r="MZJ18" s="88"/>
      <c r="MZK18" s="91"/>
      <c r="MZL18" s="93"/>
      <c r="MZM18" s="93"/>
      <c r="MZN18" s="88"/>
      <c r="MZO18" s="88"/>
      <c r="MZP18" s="90"/>
      <c r="MZQ18" s="93"/>
      <c r="MZR18" s="88"/>
      <c r="MZS18" s="88"/>
      <c r="MZT18" s="90"/>
      <c r="MZU18" s="93"/>
      <c r="MZV18" s="88"/>
      <c r="MZW18" s="88"/>
      <c r="MZX18" s="91"/>
      <c r="MZY18" s="93"/>
      <c r="MZZ18" s="93"/>
      <c r="NAA18" s="88"/>
      <c r="NAB18" s="88"/>
      <c r="NAC18" s="90"/>
      <c r="NAD18" s="93"/>
      <c r="NAE18" s="88"/>
      <c r="NAF18" s="88"/>
      <c r="NAG18" s="90"/>
      <c r="NAH18" s="93"/>
      <c r="NAI18" s="88"/>
      <c r="NAJ18" s="88"/>
      <c r="NAK18" s="91"/>
      <c r="NAL18" s="93"/>
      <c r="NAM18" s="93"/>
      <c r="NAN18" s="88"/>
      <c r="NAO18" s="88"/>
      <c r="NAP18" s="90"/>
      <c r="NAQ18" s="93"/>
      <c r="NAR18" s="88"/>
      <c r="NAS18" s="88"/>
      <c r="NAT18" s="90"/>
      <c r="NAU18" s="93"/>
      <c r="NAV18" s="88"/>
      <c r="NAW18" s="88"/>
      <c r="NAX18" s="91"/>
      <c r="NAY18" s="93"/>
      <c r="NAZ18" s="93"/>
      <c r="NBA18" s="88"/>
      <c r="NBB18" s="88"/>
      <c r="NBC18" s="90"/>
      <c r="NBD18" s="93"/>
      <c r="NBE18" s="88"/>
      <c r="NBF18" s="88"/>
      <c r="NBG18" s="90"/>
      <c r="NBH18" s="93"/>
      <c r="NBI18" s="88"/>
      <c r="NBJ18" s="88"/>
      <c r="NBK18" s="91"/>
      <c r="NBL18" s="93"/>
      <c r="NBM18" s="93"/>
      <c r="NBN18" s="88"/>
      <c r="NBO18" s="88"/>
      <c r="NBP18" s="90"/>
      <c r="NBQ18" s="93"/>
      <c r="NBR18" s="88"/>
      <c r="NBS18" s="88"/>
      <c r="NBT18" s="90"/>
      <c r="NBU18" s="93"/>
      <c r="NBV18" s="88"/>
      <c r="NBW18" s="88"/>
      <c r="NBX18" s="91"/>
      <c r="NBY18" s="93"/>
      <c r="NBZ18" s="93"/>
      <c r="NCA18" s="88"/>
      <c r="NCB18" s="88"/>
      <c r="NCC18" s="90"/>
      <c r="NCD18" s="93"/>
      <c r="NCE18" s="88"/>
      <c r="NCF18" s="88"/>
      <c r="NCG18" s="90"/>
      <c r="NCH18" s="93"/>
      <c r="NCI18" s="88"/>
      <c r="NCJ18" s="88"/>
      <c r="NCK18" s="91"/>
      <c r="NCL18" s="93"/>
      <c r="NCM18" s="93"/>
      <c r="NCN18" s="88"/>
      <c r="NCO18" s="88"/>
      <c r="NCP18" s="90"/>
      <c r="NCQ18" s="93"/>
      <c r="NCR18" s="88"/>
      <c r="NCS18" s="88"/>
      <c r="NCT18" s="90"/>
      <c r="NCU18" s="93"/>
      <c r="NCV18" s="88"/>
      <c r="NCW18" s="88"/>
      <c r="NCX18" s="91"/>
      <c r="NCY18" s="93"/>
      <c r="NCZ18" s="93"/>
      <c r="NDA18" s="88"/>
      <c r="NDB18" s="88"/>
      <c r="NDC18" s="90"/>
      <c r="NDD18" s="93"/>
      <c r="NDE18" s="88"/>
      <c r="NDF18" s="88"/>
      <c r="NDG18" s="90"/>
      <c r="NDH18" s="93"/>
      <c r="NDI18" s="88"/>
      <c r="NDJ18" s="88"/>
      <c r="NDK18" s="91"/>
      <c r="NDL18" s="93"/>
      <c r="NDM18" s="93"/>
      <c r="NDN18" s="88"/>
      <c r="NDO18" s="88"/>
      <c r="NDP18" s="90"/>
      <c r="NDQ18" s="93"/>
      <c r="NDR18" s="88"/>
      <c r="NDS18" s="88"/>
      <c r="NDT18" s="90"/>
      <c r="NDU18" s="93"/>
      <c r="NDV18" s="88"/>
      <c r="NDW18" s="88"/>
      <c r="NDX18" s="91"/>
      <c r="NDY18" s="93"/>
      <c r="NDZ18" s="93"/>
      <c r="NEA18" s="88"/>
      <c r="NEB18" s="88"/>
      <c r="NEC18" s="90"/>
      <c r="NED18" s="93"/>
      <c r="NEE18" s="88"/>
      <c r="NEF18" s="88"/>
      <c r="NEG18" s="90"/>
      <c r="NEH18" s="93"/>
      <c r="NEI18" s="88"/>
      <c r="NEJ18" s="88"/>
      <c r="NEK18" s="91"/>
      <c r="NEL18" s="93"/>
      <c r="NEM18" s="93"/>
      <c r="NEN18" s="88"/>
      <c r="NEO18" s="88"/>
      <c r="NEP18" s="90"/>
      <c r="NEQ18" s="93"/>
      <c r="NER18" s="88"/>
      <c r="NES18" s="88"/>
      <c r="NET18" s="90"/>
      <c r="NEU18" s="93"/>
      <c r="NEV18" s="88"/>
      <c r="NEW18" s="88"/>
      <c r="NEX18" s="91"/>
      <c r="NEY18" s="93"/>
      <c r="NEZ18" s="93"/>
      <c r="NFA18" s="88"/>
      <c r="NFB18" s="88"/>
      <c r="NFC18" s="90"/>
      <c r="NFD18" s="93"/>
      <c r="NFE18" s="88"/>
      <c r="NFF18" s="88"/>
      <c r="NFG18" s="90"/>
      <c r="NFH18" s="93"/>
      <c r="NFI18" s="88"/>
      <c r="NFJ18" s="88"/>
      <c r="NFK18" s="91"/>
      <c r="NFL18" s="93"/>
      <c r="NFM18" s="93"/>
      <c r="NFN18" s="88"/>
      <c r="NFO18" s="88"/>
      <c r="NFP18" s="90"/>
      <c r="NFQ18" s="93"/>
      <c r="NFR18" s="88"/>
      <c r="NFS18" s="88"/>
      <c r="NFT18" s="90"/>
      <c r="NFU18" s="93"/>
      <c r="NFV18" s="88"/>
      <c r="NFW18" s="88"/>
      <c r="NFX18" s="91"/>
      <c r="NFY18" s="93"/>
      <c r="NFZ18" s="93"/>
      <c r="NGA18" s="88"/>
      <c r="NGB18" s="88"/>
      <c r="NGC18" s="90"/>
      <c r="NGD18" s="93"/>
      <c r="NGE18" s="88"/>
      <c r="NGF18" s="88"/>
      <c r="NGG18" s="90"/>
      <c r="NGH18" s="93"/>
      <c r="NGI18" s="88"/>
      <c r="NGJ18" s="88"/>
      <c r="NGK18" s="91"/>
      <c r="NGL18" s="93"/>
      <c r="NGM18" s="93"/>
      <c r="NGN18" s="88"/>
      <c r="NGO18" s="88"/>
      <c r="NGP18" s="90"/>
      <c r="NGQ18" s="93"/>
      <c r="NGR18" s="88"/>
      <c r="NGS18" s="88"/>
      <c r="NGT18" s="90"/>
      <c r="NGU18" s="93"/>
      <c r="NGV18" s="88"/>
      <c r="NGW18" s="88"/>
      <c r="NGX18" s="91"/>
      <c r="NGY18" s="93"/>
      <c r="NGZ18" s="93"/>
      <c r="NHA18" s="88"/>
      <c r="NHB18" s="88"/>
      <c r="NHC18" s="90"/>
      <c r="NHD18" s="93"/>
      <c r="NHE18" s="88"/>
      <c r="NHF18" s="88"/>
      <c r="NHG18" s="90"/>
      <c r="NHH18" s="93"/>
      <c r="NHI18" s="88"/>
      <c r="NHJ18" s="88"/>
      <c r="NHK18" s="91"/>
      <c r="NHL18" s="93"/>
      <c r="NHM18" s="93"/>
      <c r="NHN18" s="88"/>
      <c r="NHO18" s="88"/>
      <c r="NHP18" s="90"/>
      <c r="NHQ18" s="93"/>
      <c r="NHR18" s="88"/>
      <c r="NHS18" s="88"/>
      <c r="NHT18" s="90"/>
      <c r="NHU18" s="93"/>
      <c r="NHV18" s="88"/>
      <c r="NHW18" s="88"/>
      <c r="NHX18" s="91"/>
      <c r="NHY18" s="93"/>
      <c r="NHZ18" s="93"/>
      <c r="NIA18" s="88"/>
      <c r="NIB18" s="88"/>
      <c r="NIC18" s="90"/>
      <c r="NID18" s="93"/>
      <c r="NIE18" s="88"/>
      <c r="NIF18" s="88"/>
      <c r="NIG18" s="90"/>
      <c r="NIH18" s="93"/>
      <c r="NII18" s="88"/>
      <c r="NIJ18" s="88"/>
      <c r="NIK18" s="91"/>
      <c r="NIL18" s="93"/>
      <c r="NIM18" s="93"/>
      <c r="NIN18" s="88"/>
      <c r="NIO18" s="88"/>
      <c r="NIP18" s="90"/>
      <c r="NIQ18" s="93"/>
      <c r="NIR18" s="88"/>
      <c r="NIS18" s="88"/>
      <c r="NIT18" s="90"/>
      <c r="NIU18" s="93"/>
      <c r="NIV18" s="88"/>
      <c r="NIW18" s="88"/>
      <c r="NIX18" s="91"/>
      <c r="NIY18" s="93"/>
      <c r="NIZ18" s="93"/>
      <c r="NJA18" s="88"/>
      <c r="NJB18" s="88"/>
      <c r="NJC18" s="90"/>
      <c r="NJD18" s="93"/>
      <c r="NJE18" s="88"/>
      <c r="NJF18" s="88"/>
      <c r="NJG18" s="90"/>
      <c r="NJH18" s="93"/>
      <c r="NJI18" s="88"/>
      <c r="NJJ18" s="88"/>
      <c r="NJK18" s="91"/>
      <c r="NJL18" s="93"/>
      <c r="NJM18" s="93"/>
      <c r="NJN18" s="88"/>
      <c r="NJO18" s="88"/>
      <c r="NJP18" s="90"/>
      <c r="NJQ18" s="93"/>
      <c r="NJR18" s="88"/>
      <c r="NJS18" s="88"/>
      <c r="NJT18" s="90"/>
      <c r="NJU18" s="93"/>
      <c r="NJV18" s="88"/>
      <c r="NJW18" s="88"/>
      <c r="NJX18" s="91"/>
      <c r="NJY18" s="93"/>
      <c r="NJZ18" s="93"/>
      <c r="NKA18" s="88"/>
      <c r="NKB18" s="88"/>
      <c r="NKC18" s="90"/>
      <c r="NKD18" s="93"/>
      <c r="NKE18" s="88"/>
      <c r="NKF18" s="88"/>
      <c r="NKG18" s="90"/>
      <c r="NKH18" s="93"/>
      <c r="NKI18" s="88"/>
      <c r="NKJ18" s="88"/>
      <c r="NKK18" s="91"/>
      <c r="NKL18" s="93"/>
      <c r="NKM18" s="93"/>
      <c r="NKN18" s="88"/>
      <c r="NKO18" s="88"/>
      <c r="NKP18" s="90"/>
      <c r="NKQ18" s="93"/>
      <c r="NKR18" s="88"/>
      <c r="NKS18" s="88"/>
      <c r="NKT18" s="90"/>
      <c r="NKU18" s="93"/>
      <c r="NKV18" s="88"/>
      <c r="NKW18" s="88"/>
      <c r="NKX18" s="91"/>
      <c r="NKY18" s="93"/>
      <c r="NKZ18" s="93"/>
      <c r="NLA18" s="88"/>
      <c r="NLB18" s="88"/>
      <c r="NLC18" s="90"/>
      <c r="NLD18" s="93"/>
      <c r="NLE18" s="88"/>
      <c r="NLF18" s="88"/>
      <c r="NLG18" s="90"/>
      <c r="NLH18" s="93"/>
      <c r="NLI18" s="88"/>
      <c r="NLJ18" s="88"/>
      <c r="NLK18" s="91"/>
      <c r="NLL18" s="93"/>
      <c r="NLM18" s="93"/>
      <c r="NLN18" s="88"/>
      <c r="NLO18" s="88"/>
      <c r="NLP18" s="90"/>
      <c r="NLQ18" s="93"/>
      <c r="NLR18" s="88"/>
      <c r="NLS18" s="88"/>
      <c r="NLT18" s="90"/>
      <c r="NLU18" s="93"/>
      <c r="NLV18" s="88"/>
      <c r="NLW18" s="88"/>
      <c r="NLX18" s="91"/>
      <c r="NLY18" s="93"/>
      <c r="NLZ18" s="93"/>
      <c r="NMA18" s="88"/>
      <c r="NMB18" s="88"/>
      <c r="NMC18" s="90"/>
      <c r="NMD18" s="93"/>
      <c r="NME18" s="88"/>
      <c r="NMF18" s="88"/>
      <c r="NMG18" s="90"/>
      <c r="NMH18" s="93"/>
      <c r="NMI18" s="88"/>
      <c r="NMJ18" s="88"/>
      <c r="NMK18" s="91"/>
      <c r="NML18" s="93"/>
      <c r="NMM18" s="93"/>
      <c r="NMN18" s="88"/>
      <c r="NMO18" s="88"/>
      <c r="NMP18" s="90"/>
      <c r="NMQ18" s="93"/>
      <c r="NMR18" s="88"/>
      <c r="NMS18" s="88"/>
      <c r="NMT18" s="90"/>
      <c r="NMU18" s="93"/>
      <c r="NMV18" s="88"/>
      <c r="NMW18" s="88"/>
      <c r="NMX18" s="91"/>
      <c r="NMY18" s="93"/>
      <c r="NMZ18" s="93"/>
      <c r="NNA18" s="88"/>
      <c r="NNB18" s="88"/>
      <c r="NNC18" s="90"/>
      <c r="NND18" s="93"/>
      <c r="NNE18" s="88"/>
      <c r="NNF18" s="88"/>
      <c r="NNG18" s="90"/>
      <c r="NNH18" s="93"/>
      <c r="NNI18" s="88"/>
      <c r="NNJ18" s="88"/>
      <c r="NNK18" s="91"/>
      <c r="NNL18" s="93"/>
      <c r="NNM18" s="93"/>
      <c r="NNN18" s="88"/>
      <c r="NNO18" s="88"/>
      <c r="NNP18" s="90"/>
      <c r="NNQ18" s="93"/>
      <c r="NNR18" s="88"/>
      <c r="NNS18" s="88"/>
      <c r="NNT18" s="90"/>
      <c r="NNU18" s="93"/>
      <c r="NNV18" s="88"/>
      <c r="NNW18" s="88"/>
      <c r="NNX18" s="91"/>
      <c r="NNY18" s="93"/>
      <c r="NNZ18" s="93"/>
      <c r="NOA18" s="88"/>
      <c r="NOB18" s="88"/>
      <c r="NOC18" s="90"/>
      <c r="NOD18" s="93"/>
      <c r="NOE18" s="88"/>
      <c r="NOF18" s="88"/>
      <c r="NOG18" s="90"/>
      <c r="NOH18" s="93"/>
      <c r="NOI18" s="88"/>
      <c r="NOJ18" s="88"/>
      <c r="NOK18" s="91"/>
      <c r="NOL18" s="93"/>
      <c r="NOM18" s="93"/>
      <c r="NON18" s="88"/>
      <c r="NOO18" s="88"/>
      <c r="NOP18" s="90"/>
      <c r="NOQ18" s="93"/>
      <c r="NOR18" s="88"/>
      <c r="NOS18" s="88"/>
      <c r="NOT18" s="90"/>
      <c r="NOU18" s="93"/>
      <c r="NOV18" s="88"/>
      <c r="NOW18" s="88"/>
      <c r="NOX18" s="91"/>
      <c r="NOY18" s="93"/>
      <c r="NOZ18" s="93"/>
      <c r="NPA18" s="88"/>
      <c r="NPB18" s="88"/>
      <c r="NPC18" s="90"/>
      <c r="NPD18" s="93"/>
      <c r="NPE18" s="88"/>
      <c r="NPF18" s="88"/>
      <c r="NPG18" s="90"/>
      <c r="NPH18" s="93"/>
      <c r="NPI18" s="88"/>
      <c r="NPJ18" s="88"/>
      <c r="NPK18" s="91"/>
      <c r="NPL18" s="93"/>
      <c r="NPM18" s="93"/>
      <c r="NPN18" s="88"/>
      <c r="NPO18" s="88"/>
      <c r="NPP18" s="90"/>
      <c r="NPQ18" s="93"/>
      <c r="NPR18" s="88"/>
      <c r="NPS18" s="88"/>
      <c r="NPT18" s="90"/>
      <c r="NPU18" s="93"/>
      <c r="NPV18" s="88"/>
      <c r="NPW18" s="88"/>
      <c r="NPX18" s="91"/>
      <c r="NPY18" s="93"/>
      <c r="NPZ18" s="93"/>
      <c r="NQA18" s="88"/>
      <c r="NQB18" s="88"/>
      <c r="NQC18" s="90"/>
      <c r="NQD18" s="93"/>
      <c r="NQE18" s="88"/>
      <c r="NQF18" s="88"/>
      <c r="NQG18" s="90"/>
      <c r="NQH18" s="93"/>
      <c r="NQI18" s="88"/>
      <c r="NQJ18" s="88"/>
      <c r="NQK18" s="91"/>
      <c r="NQL18" s="93"/>
      <c r="NQM18" s="93"/>
      <c r="NQN18" s="88"/>
      <c r="NQO18" s="88"/>
      <c r="NQP18" s="90"/>
      <c r="NQQ18" s="93"/>
      <c r="NQR18" s="88"/>
      <c r="NQS18" s="88"/>
      <c r="NQT18" s="90"/>
      <c r="NQU18" s="93"/>
      <c r="NQV18" s="88"/>
      <c r="NQW18" s="88"/>
      <c r="NQX18" s="91"/>
      <c r="NQY18" s="93"/>
      <c r="NQZ18" s="93"/>
      <c r="NRA18" s="88"/>
      <c r="NRB18" s="88"/>
      <c r="NRC18" s="90"/>
      <c r="NRD18" s="93"/>
      <c r="NRE18" s="88"/>
      <c r="NRF18" s="88"/>
      <c r="NRG18" s="90"/>
      <c r="NRH18" s="93"/>
      <c r="NRI18" s="88"/>
      <c r="NRJ18" s="88"/>
      <c r="NRK18" s="91"/>
      <c r="NRL18" s="93"/>
      <c r="NRM18" s="93"/>
      <c r="NRN18" s="88"/>
      <c r="NRO18" s="88"/>
      <c r="NRP18" s="90"/>
      <c r="NRQ18" s="93"/>
      <c r="NRR18" s="88"/>
      <c r="NRS18" s="88"/>
      <c r="NRT18" s="90"/>
      <c r="NRU18" s="93"/>
      <c r="NRV18" s="88"/>
      <c r="NRW18" s="88"/>
      <c r="NRX18" s="91"/>
      <c r="NRY18" s="93"/>
      <c r="NRZ18" s="93"/>
      <c r="NSA18" s="88"/>
      <c r="NSB18" s="88"/>
      <c r="NSC18" s="90"/>
      <c r="NSD18" s="93"/>
      <c r="NSE18" s="88"/>
      <c r="NSF18" s="88"/>
      <c r="NSG18" s="90"/>
      <c r="NSH18" s="93"/>
      <c r="NSI18" s="88"/>
      <c r="NSJ18" s="88"/>
      <c r="NSK18" s="91"/>
      <c r="NSL18" s="93"/>
      <c r="NSM18" s="93"/>
      <c r="NSN18" s="88"/>
      <c r="NSO18" s="88"/>
      <c r="NSP18" s="90"/>
      <c r="NSQ18" s="93"/>
      <c r="NSR18" s="88"/>
      <c r="NSS18" s="88"/>
      <c r="NST18" s="90"/>
      <c r="NSU18" s="93"/>
      <c r="NSV18" s="88"/>
      <c r="NSW18" s="88"/>
      <c r="NSX18" s="91"/>
      <c r="NSY18" s="93"/>
      <c r="NSZ18" s="93"/>
      <c r="NTA18" s="88"/>
      <c r="NTB18" s="88"/>
      <c r="NTC18" s="90"/>
      <c r="NTD18" s="93"/>
      <c r="NTE18" s="88"/>
      <c r="NTF18" s="88"/>
      <c r="NTG18" s="90"/>
      <c r="NTH18" s="93"/>
      <c r="NTI18" s="88"/>
      <c r="NTJ18" s="88"/>
      <c r="NTK18" s="91"/>
      <c r="NTL18" s="93"/>
      <c r="NTM18" s="93"/>
      <c r="NTN18" s="88"/>
      <c r="NTO18" s="88"/>
      <c r="NTP18" s="90"/>
      <c r="NTQ18" s="93"/>
      <c r="NTR18" s="88"/>
      <c r="NTS18" s="88"/>
      <c r="NTT18" s="90"/>
      <c r="NTU18" s="93"/>
      <c r="NTV18" s="88"/>
      <c r="NTW18" s="88"/>
      <c r="NTX18" s="91"/>
      <c r="NTY18" s="93"/>
      <c r="NTZ18" s="93"/>
      <c r="NUA18" s="88"/>
      <c r="NUB18" s="88"/>
      <c r="NUC18" s="90"/>
      <c r="NUD18" s="93"/>
      <c r="NUE18" s="88"/>
      <c r="NUF18" s="88"/>
      <c r="NUG18" s="90"/>
      <c r="NUH18" s="93"/>
      <c r="NUI18" s="88"/>
      <c r="NUJ18" s="88"/>
      <c r="NUK18" s="91"/>
      <c r="NUL18" s="93"/>
      <c r="NUM18" s="93"/>
      <c r="NUN18" s="88"/>
      <c r="NUO18" s="88"/>
      <c r="NUP18" s="90"/>
      <c r="NUQ18" s="93"/>
      <c r="NUR18" s="88"/>
      <c r="NUS18" s="88"/>
      <c r="NUT18" s="90"/>
      <c r="NUU18" s="93"/>
      <c r="NUV18" s="88"/>
      <c r="NUW18" s="88"/>
      <c r="NUX18" s="91"/>
      <c r="NUY18" s="93"/>
      <c r="NUZ18" s="93"/>
      <c r="NVA18" s="88"/>
      <c r="NVB18" s="88"/>
      <c r="NVC18" s="90"/>
      <c r="NVD18" s="93"/>
      <c r="NVE18" s="88"/>
      <c r="NVF18" s="88"/>
      <c r="NVG18" s="90"/>
      <c r="NVH18" s="93"/>
      <c r="NVI18" s="88"/>
      <c r="NVJ18" s="88"/>
      <c r="NVK18" s="91"/>
      <c r="NVL18" s="93"/>
      <c r="NVM18" s="93"/>
      <c r="NVN18" s="88"/>
      <c r="NVO18" s="88"/>
      <c r="NVP18" s="90"/>
      <c r="NVQ18" s="93"/>
      <c r="NVR18" s="88"/>
      <c r="NVS18" s="88"/>
      <c r="NVT18" s="90"/>
      <c r="NVU18" s="93"/>
      <c r="NVV18" s="88"/>
      <c r="NVW18" s="88"/>
      <c r="NVX18" s="91"/>
      <c r="NVY18" s="93"/>
      <c r="NVZ18" s="93"/>
      <c r="NWA18" s="88"/>
      <c r="NWB18" s="88"/>
      <c r="NWC18" s="90"/>
      <c r="NWD18" s="93"/>
      <c r="NWE18" s="88"/>
      <c r="NWF18" s="88"/>
      <c r="NWG18" s="90"/>
      <c r="NWH18" s="93"/>
      <c r="NWI18" s="88"/>
      <c r="NWJ18" s="88"/>
      <c r="NWK18" s="91"/>
      <c r="NWL18" s="93"/>
      <c r="NWM18" s="93"/>
      <c r="NWN18" s="88"/>
      <c r="NWO18" s="88"/>
      <c r="NWP18" s="90"/>
      <c r="NWQ18" s="93"/>
      <c r="NWR18" s="88"/>
      <c r="NWS18" s="88"/>
      <c r="NWT18" s="90"/>
      <c r="NWU18" s="93"/>
      <c r="NWV18" s="88"/>
      <c r="NWW18" s="88"/>
      <c r="NWX18" s="91"/>
      <c r="NWY18" s="93"/>
      <c r="NWZ18" s="93"/>
      <c r="NXA18" s="88"/>
      <c r="NXB18" s="88"/>
      <c r="NXC18" s="90"/>
      <c r="NXD18" s="93"/>
      <c r="NXE18" s="88"/>
      <c r="NXF18" s="88"/>
      <c r="NXG18" s="90"/>
      <c r="NXH18" s="93"/>
      <c r="NXI18" s="88"/>
      <c r="NXJ18" s="88"/>
      <c r="NXK18" s="91"/>
      <c r="NXL18" s="93"/>
      <c r="NXM18" s="93"/>
      <c r="NXN18" s="88"/>
      <c r="NXO18" s="88"/>
      <c r="NXP18" s="90"/>
      <c r="NXQ18" s="93"/>
      <c r="NXR18" s="88"/>
      <c r="NXS18" s="88"/>
      <c r="NXT18" s="90"/>
      <c r="NXU18" s="93"/>
      <c r="NXV18" s="88"/>
      <c r="NXW18" s="88"/>
      <c r="NXX18" s="91"/>
      <c r="NXY18" s="93"/>
      <c r="NXZ18" s="93"/>
      <c r="NYA18" s="88"/>
      <c r="NYB18" s="88"/>
      <c r="NYC18" s="90"/>
      <c r="NYD18" s="93"/>
      <c r="NYE18" s="88"/>
      <c r="NYF18" s="88"/>
      <c r="NYG18" s="90"/>
      <c r="NYH18" s="93"/>
      <c r="NYI18" s="88"/>
      <c r="NYJ18" s="88"/>
      <c r="NYK18" s="91"/>
      <c r="NYL18" s="93"/>
      <c r="NYM18" s="93"/>
      <c r="NYN18" s="88"/>
      <c r="NYO18" s="88"/>
      <c r="NYP18" s="90"/>
      <c r="NYQ18" s="93"/>
      <c r="NYR18" s="88"/>
      <c r="NYS18" s="88"/>
      <c r="NYT18" s="90"/>
      <c r="NYU18" s="93"/>
      <c r="NYV18" s="88"/>
      <c r="NYW18" s="88"/>
      <c r="NYX18" s="91"/>
      <c r="NYY18" s="93"/>
      <c r="NYZ18" s="93"/>
      <c r="NZA18" s="88"/>
      <c r="NZB18" s="88"/>
      <c r="NZC18" s="90"/>
      <c r="NZD18" s="93"/>
      <c r="NZE18" s="88"/>
      <c r="NZF18" s="88"/>
      <c r="NZG18" s="90"/>
      <c r="NZH18" s="93"/>
      <c r="NZI18" s="88"/>
      <c r="NZJ18" s="88"/>
      <c r="NZK18" s="91"/>
      <c r="NZL18" s="93"/>
      <c r="NZM18" s="93"/>
      <c r="NZN18" s="88"/>
      <c r="NZO18" s="88"/>
      <c r="NZP18" s="90"/>
      <c r="NZQ18" s="93"/>
      <c r="NZR18" s="88"/>
      <c r="NZS18" s="88"/>
      <c r="NZT18" s="90"/>
      <c r="NZU18" s="93"/>
      <c r="NZV18" s="88"/>
      <c r="NZW18" s="88"/>
      <c r="NZX18" s="91"/>
      <c r="NZY18" s="93"/>
      <c r="NZZ18" s="93"/>
      <c r="OAA18" s="88"/>
      <c r="OAB18" s="88"/>
      <c r="OAC18" s="90"/>
      <c r="OAD18" s="93"/>
      <c r="OAE18" s="88"/>
      <c r="OAF18" s="88"/>
      <c r="OAG18" s="90"/>
      <c r="OAH18" s="93"/>
      <c r="OAI18" s="88"/>
      <c r="OAJ18" s="88"/>
      <c r="OAK18" s="91"/>
      <c r="OAL18" s="93"/>
      <c r="OAM18" s="93"/>
      <c r="OAN18" s="88"/>
      <c r="OAO18" s="88"/>
      <c r="OAP18" s="90"/>
      <c r="OAQ18" s="93"/>
      <c r="OAR18" s="88"/>
      <c r="OAS18" s="88"/>
      <c r="OAT18" s="90"/>
      <c r="OAU18" s="93"/>
      <c r="OAV18" s="88"/>
      <c r="OAW18" s="88"/>
      <c r="OAX18" s="91"/>
      <c r="OAY18" s="93"/>
      <c r="OAZ18" s="93"/>
      <c r="OBA18" s="88"/>
      <c r="OBB18" s="88"/>
      <c r="OBC18" s="90"/>
      <c r="OBD18" s="93"/>
      <c r="OBE18" s="88"/>
      <c r="OBF18" s="88"/>
      <c r="OBG18" s="90"/>
      <c r="OBH18" s="93"/>
      <c r="OBI18" s="88"/>
      <c r="OBJ18" s="88"/>
      <c r="OBK18" s="91"/>
      <c r="OBL18" s="93"/>
      <c r="OBM18" s="93"/>
      <c r="OBN18" s="88"/>
      <c r="OBO18" s="88"/>
      <c r="OBP18" s="90"/>
      <c r="OBQ18" s="93"/>
      <c r="OBR18" s="88"/>
      <c r="OBS18" s="88"/>
      <c r="OBT18" s="90"/>
      <c r="OBU18" s="93"/>
      <c r="OBV18" s="88"/>
      <c r="OBW18" s="88"/>
      <c r="OBX18" s="91"/>
      <c r="OBY18" s="93"/>
      <c r="OBZ18" s="93"/>
      <c r="OCA18" s="88"/>
      <c r="OCB18" s="88"/>
      <c r="OCC18" s="90"/>
      <c r="OCD18" s="93"/>
      <c r="OCE18" s="88"/>
      <c r="OCF18" s="88"/>
      <c r="OCG18" s="90"/>
      <c r="OCH18" s="93"/>
      <c r="OCI18" s="88"/>
      <c r="OCJ18" s="88"/>
      <c r="OCK18" s="91"/>
      <c r="OCL18" s="93"/>
      <c r="OCM18" s="93"/>
      <c r="OCN18" s="88"/>
      <c r="OCO18" s="88"/>
      <c r="OCP18" s="90"/>
      <c r="OCQ18" s="93"/>
      <c r="OCR18" s="88"/>
      <c r="OCS18" s="88"/>
      <c r="OCT18" s="90"/>
      <c r="OCU18" s="93"/>
      <c r="OCV18" s="88"/>
      <c r="OCW18" s="88"/>
      <c r="OCX18" s="91"/>
      <c r="OCY18" s="93"/>
      <c r="OCZ18" s="93"/>
      <c r="ODA18" s="88"/>
      <c r="ODB18" s="88"/>
      <c r="ODC18" s="90"/>
      <c r="ODD18" s="93"/>
      <c r="ODE18" s="88"/>
      <c r="ODF18" s="88"/>
      <c r="ODG18" s="90"/>
      <c r="ODH18" s="93"/>
      <c r="ODI18" s="88"/>
      <c r="ODJ18" s="88"/>
      <c r="ODK18" s="91"/>
      <c r="ODL18" s="93"/>
      <c r="ODM18" s="93"/>
      <c r="ODN18" s="88"/>
      <c r="ODO18" s="88"/>
      <c r="ODP18" s="90"/>
      <c r="ODQ18" s="93"/>
      <c r="ODR18" s="88"/>
      <c r="ODS18" s="88"/>
      <c r="ODT18" s="90"/>
      <c r="ODU18" s="93"/>
      <c r="ODV18" s="88"/>
      <c r="ODW18" s="88"/>
      <c r="ODX18" s="91"/>
      <c r="ODY18" s="93"/>
      <c r="ODZ18" s="93"/>
      <c r="OEA18" s="88"/>
      <c r="OEB18" s="88"/>
      <c r="OEC18" s="90"/>
      <c r="OED18" s="93"/>
      <c r="OEE18" s="88"/>
      <c r="OEF18" s="88"/>
      <c r="OEG18" s="90"/>
      <c r="OEH18" s="93"/>
      <c r="OEI18" s="88"/>
      <c r="OEJ18" s="88"/>
      <c r="OEK18" s="91"/>
      <c r="OEL18" s="93"/>
      <c r="OEM18" s="93"/>
      <c r="OEN18" s="88"/>
      <c r="OEO18" s="88"/>
      <c r="OEP18" s="90"/>
      <c r="OEQ18" s="93"/>
      <c r="OER18" s="88"/>
      <c r="OES18" s="88"/>
      <c r="OET18" s="90"/>
      <c r="OEU18" s="93"/>
      <c r="OEV18" s="88"/>
      <c r="OEW18" s="88"/>
      <c r="OEX18" s="91"/>
      <c r="OEY18" s="93"/>
      <c r="OEZ18" s="93"/>
      <c r="OFA18" s="88"/>
      <c r="OFB18" s="88"/>
      <c r="OFC18" s="90"/>
      <c r="OFD18" s="93"/>
      <c r="OFE18" s="88"/>
      <c r="OFF18" s="88"/>
      <c r="OFG18" s="90"/>
      <c r="OFH18" s="93"/>
      <c r="OFI18" s="88"/>
      <c r="OFJ18" s="88"/>
      <c r="OFK18" s="91"/>
      <c r="OFL18" s="93"/>
      <c r="OFM18" s="93"/>
      <c r="OFN18" s="88"/>
      <c r="OFO18" s="88"/>
      <c r="OFP18" s="90"/>
      <c r="OFQ18" s="93"/>
      <c r="OFR18" s="88"/>
      <c r="OFS18" s="88"/>
      <c r="OFT18" s="90"/>
      <c r="OFU18" s="93"/>
      <c r="OFV18" s="88"/>
      <c r="OFW18" s="88"/>
      <c r="OFX18" s="91"/>
      <c r="OFY18" s="93"/>
      <c r="OFZ18" s="93"/>
      <c r="OGA18" s="88"/>
      <c r="OGB18" s="88"/>
      <c r="OGC18" s="90"/>
      <c r="OGD18" s="93"/>
      <c r="OGE18" s="88"/>
      <c r="OGF18" s="88"/>
      <c r="OGG18" s="90"/>
      <c r="OGH18" s="93"/>
      <c r="OGI18" s="88"/>
      <c r="OGJ18" s="88"/>
      <c r="OGK18" s="91"/>
      <c r="OGL18" s="93"/>
      <c r="OGM18" s="93"/>
      <c r="OGN18" s="88"/>
      <c r="OGO18" s="88"/>
      <c r="OGP18" s="90"/>
      <c r="OGQ18" s="93"/>
      <c r="OGR18" s="88"/>
      <c r="OGS18" s="88"/>
      <c r="OGT18" s="90"/>
      <c r="OGU18" s="93"/>
      <c r="OGV18" s="88"/>
      <c r="OGW18" s="88"/>
      <c r="OGX18" s="91"/>
      <c r="OGY18" s="93"/>
      <c r="OGZ18" s="93"/>
      <c r="OHA18" s="88"/>
      <c r="OHB18" s="88"/>
      <c r="OHC18" s="90"/>
      <c r="OHD18" s="93"/>
      <c r="OHE18" s="88"/>
      <c r="OHF18" s="88"/>
      <c r="OHG18" s="90"/>
      <c r="OHH18" s="93"/>
      <c r="OHI18" s="88"/>
      <c r="OHJ18" s="88"/>
      <c r="OHK18" s="91"/>
      <c r="OHL18" s="93"/>
      <c r="OHM18" s="93"/>
      <c r="OHN18" s="88"/>
      <c r="OHO18" s="88"/>
      <c r="OHP18" s="90"/>
      <c r="OHQ18" s="93"/>
      <c r="OHR18" s="88"/>
      <c r="OHS18" s="88"/>
      <c r="OHT18" s="90"/>
      <c r="OHU18" s="93"/>
      <c r="OHV18" s="88"/>
      <c r="OHW18" s="88"/>
      <c r="OHX18" s="91"/>
      <c r="OHY18" s="93"/>
      <c r="OHZ18" s="93"/>
      <c r="OIA18" s="88"/>
      <c r="OIB18" s="88"/>
      <c r="OIC18" s="90"/>
      <c r="OID18" s="93"/>
      <c r="OIE18" s="88"/>
      <c r="OIF18" s="88"/>
      <c r="OIG18" s="90"/>
      <c r="OIH18" s="93"/>
      <c r="OII18" s="88"/>
      <c r="OIJ18" s="88"/>
      <c r="OIK18" s="91"/>
      <c r="OIL18" s="93"/>
      <c r="OIM18" s="93"/>
      <c r="OIN18" s="88"/>
      <c r="OIO18" s="88"/>
      <c r="OIP18" s="90"/>
      <c r="OIQ18" s="93"/>
      <c r="OIR18" s="88"/>
      <c r="OIS18" s="88"/>
      <c r="OIT18" s="90"/>
      <c r="OIU18" s="93"/>
      <c r="OIV18" s="88"/>
      <c r="OIW18" s="88"/>
      <c r="OIX18" s="91"/>
      <c r="OIY18" s="93"/>
      <c r="OIZ18" s="93"/>
      <c r="OJA18" s="88"/>
      <c r="OJB18" s="88"/>
      <c r="OJC18" s="90"/>
      <c r="OJD18" s="93"/>
      <c r="OJE18" s="88"/>
      <c r="OJF18" s="88"/>
      <c r="OJG18" s="90"/>
      <c r="OJH18" s="93"/>
      <c r="OJI18" s="88"/>
      <c r="OJJ18" s="88"/>
      <c r="OJK18" s="91"/>
      <c r="OJL18" s="93"/>
      <c r="OJM18" s="93"/>
      <c r="OJN18" s="88"/>
      <c r="OJO18" s="88"/>
      <c r="OJP18" s="90"/>
      <c r="OJQ18" s="93"/>
      <c r="OJR18" s="88"/>
      <c r="OJS18" s="88"/>
      <c r="OJT18" s="90"/>
      <c r="OJU18" s="93"/>
      <c r="OJV18" s="88"/>
      <c r="OJW18" s="88"/>
      <c r="OJX18" s="91"/>
      <c r="OJY18" s="93"/>
      <c r="OJZ18" s="93"/>
      <c r="OKA18" s="88"/>
      <c r="OKB18" s="88"/>
      <c r="OKC18" s="90"/>
      <c r="OKD18" s="93"/>
      <c r="OKE18" s="88"/>
      <c r="OKF18" s="88"/>
      <c r="OKG18" s="90"/>
      <c r="OKH18" s="93"/>
      <c r="OKI18" s="88"/>
      <c r="OKJ18" s="88"/>
      <c r="OKK18" s="91"/>
      <c r="OKL18" s="93"/>
      <c r="OKM18" s="93"/>
      <c r="OKN18" s="88"/>
      <c r="OKO18" s="88"/>
      <c r="OKP18" s="90"/>
      <c r="OKQ18" s="93"/>
      <c r="OKR18" s="88"/>
      <c r="OKS18" s="88"/>
      <c r="OKT18" s="90"/>
      <c r="OKU18" s="93"/>
      <c r="OKV18" s="88"/>
      <c r="OKW18" s="88"/>
      <c r="OKX18" s="91"/>
      <c r="OKY18" s="93"/>
      <c r="OKZ18" s="93"/>
      <c r="OLA18" s="88"/>
      <c r="OLB18" s="88"/>
      <c r="OLC18" s="90"/>
      <c r="OLD18" s="93"/>
      <c r="OLE18" s="88"/>
      <c r="OLF18" s="88"/>
      <c r="OLG18" s="90"/>
      <c r="OLH18" s="93"/>
      <c r="OLI18" s="88"/>
      <c r="OLJ18" s="88"/>
      <c r="OLK18" s="91"/>
      <c r="OLL18" s="93"/>
      <c r="OLM18" s="93"/>
      <c r="OLN18" s="88"/>
      <c r="OLO18" s="88"/>
      <c r="OLP18" s="90"/>
      <c r="OLQ18" s="93"/>
      <c r="OLR18" s="88"/>
      <c r="OLS18" s="88"/>
      <c r="OLT18" s="90"/>
      <c r="OLU18" s="93"/>
      <c r="OLV18" s="88"/>
      <c r="OLW18" s="88"/>
      <c r="OLX18" s="91"/>
      <c r="OLY18" s="93"/>
      <c r="OLZ18" s="93"/>
      <c r="OMA18" s="88"/>
      <c r="OMB18" s="88"/>
      <c r="OMC18" s="90"/>
      <c r="OMD18" s="93"/>
      <c r="OME18" s="88"/>
      <c r="OMF18" s="88"/>
      <c r="OMG18" s="90"/>
      <c r="OMH18" s="93"/>
      <c r="OMI18" s="88"/>
      <c r="OMJ18" s="88"/>
      <c r="OMK18" s="91"/>
      <c r="OML18" s="93"/>
      <c r="OMM18" s="93"/>
      <c r="OMN18" s="88"/>
      <c r="OMO18" s="88"/>
      <c r="OMP18" s="90"/>
      <c r="OMQ18" s="93"/>
      <c r="OMR18" s="88"/>
      <c r="OMS18" s="88"/>
      <c r="OMT18" s="90"/>
      <c r="OMU18" s="93"/>
      <c r="OMV18" s="88"/>
      <c r="OMW18" s="88"/>
      <c r="OMX18" s="91"/>
      <c r="OMY18" s="93"/>
      <c r="OMZ18" s="93"/>
      <c r="ONA18" s="88"/>
      <c r="ONB18" s="88"/>
      <c r="ONC18" s="90"/>
      <c r="OND18" s="93"/>
      <c r="ONE18" s="88"/>
      <c r="ONF18" s="88"/>
      <c r="ONG18" s="90"/>
      <c r="ONH18" s="93"/>
      <c r="ONI18" s="88"/>
      <c r="ONJ18" s="88"/>
      <c r="ONK18" s="91"/>
      <c r="ONL18" s="93"/>
      <c r="ONM18" s="93"/>
      <c r="ONN18" s="88"/>
      <c r="ONO18" s="88"/>
      <c r="ONP18" s="90"/>
      <c r="ONQ18" s="93"/>
      <c r="ONR18" s="88"/>
      <c r="ONS18" s="88"/>
      <c r="ONT18" s="90"/>
      <c r="ONU18" s="93"/>
      <c r="ONV18" s="88"/>
      <c r="ONW18" s="88"/>
      <c r="ONX18" s="91"/>
      <c r="ONY18" s="93"/>
      <c r="ONZ18" s="93"/>
      <c r="OOA18" s="88"/>
      <c r="OOB18" s="88"/>
      <c r="OOC18" s="90"/>
      <c r="OOD18" s="93"/>
      <c r="OOE18" s="88"/>
      <c r="OOF18" s="88"/>
      <c r="OOG18" s="90"/>
      <c r="OOH18" s="93"/>
      <c r="OOI18" s="88"/>
      <c r="OOJ18" s="88"/>
      <c r="OOK18" s="91"/>
      <c r="OOL18" s="93"/>
      <c r="OOM18" s="93"/>
      <c r="OON18" s="88"/>
      <c r="OOO18" s="88"/>
      <c r="OOP18" s="90"/>
      <c r="OOQ18" s="93"/>
      <c r="OOR18" s="88"/>
      <c r="OOS18" s="88"/>
      <c r="OOT18" s="90"/>
      <c r="OOU18" s="93"/>
      <c r="OOV18" s="88"/>
      <c r="OOW18" s="88"/>
      <c r="OOX18" s="91"/>
      <c r="OOY18" s="93"/>
      <c r="OOZ18" s="93"/>
      <c r="OPA18" s="88"/>
      <c r="OPB18" s="88"/>
      <c r="OPC18" s="90"/>
      <c r="OPD18" s="93"/>
      <c r="OPE18" s="88"/>
      <c r="OPF18" s="88"/>
      <c r="OPG18" s="90"/>
      <c r="OPH18" s="93"/>
      <c r="OPI18" s="88"/>
      <c r="OPJ18" s="88"/>
      <c r="OPK18" s="91"/>
      <c r="OPL18" s="93"/>
      <c r="OPM18" s="93"/>
      <c r="OPN18" s="88"/>
      <c r="OPO18" s="88"/>
      <c r="OPP18" s="90"/>
      <c r="OPQ18" s="93"/>
      <c r="OPR18" s="88"/>
      <c r="OPS18" s="88"/>
      <c r="OPT18" s="90"/>
      <c r="OPU18" s="93"/>
      <c r="OPV18" s="88"/>
      <c r="OPW18" s="88"/>
      <c r="OPX18" s="91"/>
      <c r="OPY18" s="93"/>
      <c r="OPZ18" s="93"/>
      <c r="OQA18" s="88"/>
      <c r="OQB18" s="88"/>
      <c r="OQC18" s="90"/>
      <c r="OQD18" s="93"/>
      <c r="OQE18" s="88"/>
      <c r="OQF18" s="88"/>
      <c r="OQG18" s="90"/>
      <c r="OQH18" s="93"/>
      <c r="OQI18" s="88"/>
      <c r="OQJ18" s="88"/>
      <c r="OQK18" s="91"/>
      <c r="OQL18" s="93"/>
      <c r="OQM18" s="93"/>
      <c r="OQN18" s="88"/>
      <c r="OQO18" s="88"/>
      <c r="OQP18" s="90"/>
      <c r="OQQ18" s="93"/>
      <c r="OQR18" s="88"/>
      <c r="OQS18" s="88"/>
      <c r="OQT18" s="90"/>
      <c r="OQU18" s="93"/>
      <c r="OQV18" s="88"/>
      <c r="OQW18" s="88"/>
      <c r="OQX18" s="91"/>
      <c r="OQY18" s="93"/>
      <c r="OQZ18" s="93"/>
      <c r="ORA18" s="88"/>
      <c r="ORB18" s="88"/>
      <c r="ORC18" s="90"/>
      <c r="ORD18" s="93"/>
      <c r="ORE18" s="88"/>
      <c r="ORF18" s="88"/>
      <c r="ORG18" s="90"/>
      <c r="ORH18" s="93"/>
      <c r="ORI18" s="88"/>
      <c r="ORJ18" s="88"/>
      <c r="ORK18" s="91"/>
      <c r="ORL18" s="93"/>
      <c r="ORM18" s="93"/>
      <c r="ORN18" s="88"/>
      <c r="ORO18" s="88"/>
      <c r="ORP18" s="90"/>
      <c r="ORQ18" s="93"/>
      <c r="ORR18" s="88"/>
      <c r="ORS18" s="88"/>
      <c r="ORT18" s="90"/>
      <c r="ORU18" s="93"/>
      <c r="ORV18" s="88"/>
      <c r="ORW18" s="88"/>
      <c r="ORX18" s="91"/>
      <c r="ORY18" s="93"/>
      <c r="ORZ18" s="93"/>
      <c r="OSA18" s="88"/>
      <c r="OSB18" s="88"/>
      <c r="OSC18" s="90"/>
      <c r="OSD18" s="93"/>
      <c r="OSE18" s="88"/>
      <c r="OSF18" s="88"/>
      <c r="OSG18" s="90"/>
      <c r="OSH18" s="93"/>
      <c r="OSI18" s="88"/>
      <c r="OSJ18" s="88"/>
      <c r="OSK18" s="91"/>
      <c r="OSL18" s="93"/>
      <c r="OSM18" s="93"/>
      <c r="OSN18" s="88"/>
      <c r="OSO18" s="88"/>
      <c r="OSP18" s="90"/>
      <c r="OSQ18" s="93"/>
      <c r="OSR18" s="88"/>
      <c r="OSS18" s="88"/>
      <c r="OST18" s="90"/>
      <c r="OSU18" s="93"/>
      <c r="OSV18" s="88"/>
      <c r="OSW18" s="88"/>
      <c r="OSX18" s="91"/>
      <c r="OSY18" s="93"/>
      <c r="OSZ18" s="93"/>
      <c r="OTA18" s="88"/>
      <c r="OTB18" s="88"/>
      <c r="OTC18" s="90"/>
      <c r="OTD18" s="93"/>
      <c r="OTE18" s="88"/>
      <c r="OTF18" s="88"/>
      <c r="OTG18" s="90"/>
      <c r="OTH18" s="93"/>
      <c r="OTI18" s="88"/>
      <c r="OTJ18" s="88"/>
      <c r="OTK18" s="91"/>
      <c r="OTL18" s="93"/>
      <c r="OTM18" s="93"/>
      <c r="OTN18" s="88"/>
      <c r="OTO18" s="88"/>
      <c r="OTP18" s="90"/>
      <c r="OTQ18" s="93"/>
      <c r="OTR18" s="88"/>
      <c r="OTS18" s="88"/>
      <c r="OTT18" s="90"/>
      <c r="OTU18" s="93"/>
      <c r="OTV18" s="88"/>
      <c r="OTW18" s="88"/>
      <c r="OTX18" s="91"/>
      <c r="OTY18" s="93"/>
      <c r="OTZ18" s="93"/>
      <c r="OUA18" s="88"/>
      <c r="OUB18" s="88"/>
      <c r="OUC18" s="90"/>
      <c r="OUD18" s="93"/>
      <c r="OUE18" s="88"/>
      <c r="OUF18" s="88"/>
      <c r="OUG18" s="90"/>
      <c r="OUH18" s="93"/>
      <c r="OUI18" s="88"/>
      <c r="OUJ18" s="88"/>
      <c r="OUK18" s="91"/>
      <c r="OUL18" s="93"/>
      <c r="OUM18" s="93"/>
      <c r="OUN18" s="88"/>
      <c r="OUO18" s="88"/>
      <c r="OUP18" s="90"/>
      <c r="OUQ18" s="93"/>
      <c r="OUR18" s="88"/>
      <c r="OUS18" s="88"/>
      <c r="OUT18" s="90"/>
      <c r="OUU18" s="93"/>
      <c r="OUV18" s="88"/>
      <c r="OUW18" s="88"/>
      <c r="OUX18" s="91"/>
      <c r="OUY18" s="93"/>
      <c r="OUZ18" s="93"/>
      <c r="OVA18" s="88"/>
      <c r="OVB18" s="88"/>
      <c r="OVC18" s="90"/>
      <c r="OVD18" s="93"/>
      <c r="OVE18" s="88"/>
      <c r="OVF18" s="88"/>
      <c r="OVG18" s="90"/>
      <c r="OVH18" s="93"/>
      <c r="OVI18" s="88"/>
      <c r="OVJ18" s="88"/>
      <c r="OVK18" s="91"/>
      <c r="OVL18" s="93"/>
      <c r="OVM18" s="93"/>
      <c r="OVN18" s="88"/>
      <c r="OVO18" s="88"/>
      <c r="OVP18" s="90"/>
      <c r="OVQ18" s="93"/>
      <c r="OVR18" s="88"/>
      <c r="OVS18" s="88"/>
      <c r="OVT18" s="90"/>
      <c r="OVU18" s="93"/>
      <c r="OVV18" s="88"/>
      <c r="OVW18" s="88"/>
      <c r="OVX18" s="91"/>
      <c r="OVY18" s="93"/>
      <c r="OVZ18" s="93"/>
      <c r="OWA18" s="88"/>
      <c r="OWB18" s="88"/>
      <c r="OWC18" s="90"/>
      <c r="OWD18" s="93"/>
      <c r="OWE18" s="88"/>
      <c r="OWF18" s="88"/>
      <c r="OWG18" s="90"/>
      <c r="OWH18" s="93"/>
      <c r="OWI18" s="88"/>
      <c r="OWJ18" s="88"/>
      <c r="OWK18" s="91"/>
      <c r="OWL18" s="93"/>
      <c r="OWM18" s="93"/>
      <c r="OWN18" s="88"/>
      <c r="OWO18" s="88"/>
      <c r="OWP18" s="90"/>
      <c r="OWQ18" s="93"/>
      <c r="OWR18" s="88"/>
      <c r="OWS18" s="88"/>
      <c r="OWT18" s="90"/>
      <c r="OWU18" s="93"/>
      <c r="OWV18" s="88"/>
      <c r="OWW18" s="88"/>
      <c r="OWX18" s="91"/>
      <c r="OWY18" s="93"/>
      <c r="OWZ18" s="93"/>
      <c r="OXA18" s="88"/>
      <c r="OXB18" s="88"/>
      <c r="OXC18" s="90"/>
      <c r="OXD18" s="93"/>
      <c r="OXE18" s="88"/>
      <c r="OXF18" s="88"/>
      <c r="OXG18" s="90"/>
      <c r="OXH18" s="93"/>
      <c r="OXI18" s="88"/>
      <c r="OXJ18" s="88"/>
      <c r="OXK18" s="91"/>
      <c r="OXL18" s="93"/>
      <c r="OXM18" s="93"/>
      <c r="OXN18" s="88"/>
      <c r="OXO18" s="88"/>
      <c r="OXP18" s="90"/>
      <c r="OXQ18" s="93"/>
      <c r="OXR18" s="88"/>
      <c r="OXS18" s="88"/>
      <c r="OXT18" s="90"/>
      <c r="OXU18" s="93"/>
      <c r="OXV18" s="88"/>
      <c r="OXW18" s="88"/>
      <c r="OXX18" s="91"/>
      <c r="OXY18" s="93"/>
      <c r="OXZ18" s="93"/>
      <c r="OYA18" s="88"/>
      <c r="OYB18" s="88"/>
      <c r="OYC18" s="90"/>
      <c r="OYD18" s="93"/>
      <c r="OYE18" s="88"/>
      <c r="OYF18" s="88"/>
      <c r="OYG18" s="90"/>
      <c r="OYH18" s="93"/>
      <c r="OYI18" s="88"/>
      <c r="OYJ18" s="88"/>
      <c r="OYK18" s="91"/>
      <c r="OYL18" s="93"/>
      <c r="OYM18" s="93"/>
      <c r="OYN18" s="88"/>
      <c r="OYO18" s="88"/>
      <c r="OYP18" s="90"/>
      <c r="OYQ18" s="93"/>
      <c r="OYR18" s="88"/>
      <c r="OYS18" s="88"/>
      <c r="OYT18" s="90"/>
      <c r="OYU18" s="93"/>
      <c r="OYV18" s="88"/>
      <c r="OYW18" s="88"/>
      <c r="OYX18" s="91"/>
      <c r="OYY18" s="93"/>
      <c r="OYZ18" s="93"/>
      <c r="OZA18" s="88"/>
      <c r="OZB18" s="88"/>
      <c r="OZC18" s="90"/>
      <c r="OZD18" s="93"/>
      <c r="OZE18" s="88"/>
      <c r="OZF18" s="88"/>
      <c r="OZG18" s="90"/>
      <c r="OZH18" s="93"/>
      <c r="OZI18" s="88"/>
      <c r="OZJ18" s="88"/>
      <c r="OZK18" s="91"/>
      <c r="OZL18" s="93"/>
      <c r="OZM18" s="93"/>
      <c r="OZN18" s="88"/>
      <c r="OZO18" s="88"/>
      <c r="OZP18" s="90"/>
      <c r="OZQ18" s="93"/>
      <c r="OZR18" s="88"/>
      <c r="OZS18" s="88"/>
      <c r="OZT18" s="90"/>
      <c r="OZU18" s="93"/>
      <c r="OZV18" s="88"/>
      <c r="OZW18" s="88"/>
      <c r="OZX18" s="91"/>
      <c r="OZY18" s="93"/>
      <c r="OZZ18" s="93"/>
      <c r="PAA18" s="88"/>
      <c r="PAB18" s="88"/>
      <c r="PAC18" s="90"/>
      <c r="PAD18" s="93"/>
      <c r="PAE18" s="88"/>
      <c r="PAF18" s="88"/>
      <c r="PAG18" s="90"/>
      <c r="PAH18" s="93"/>
      <c r="PAI18" s="88"/>
      <c r="PAJ18" s="88"/>
      <c r="PAK18" s="91"/>
      <c r="PAL18" s="93"/>
      <c r="PAM18" s="93"/>
      <c r="PAN18" s="88"/>
      <c r="PAO18" s="88"/>
      <c r="PAP18" s="90"/>
      <c r="PAQ18" s="93"/>
      <c r="PAR18" s="88"/>
      <c r="PAS18" s="88"/>
      <c r="PAT18" s="90"/>
      <c r="PAU18" s="93"/>
      <c r="PAV18" s="88"/>
      <c r="PAW18" s="88"/>
      <c r="PAX18" s="91"/>
      <c r="PAY18" s="93"/>
      <c r="PAZ18" s="93"/>
      <c r="PBA18" s="88"/>
      <c r="PBB18" s="88"/>
      <c r="PBC18" s="90"/>
      <c r="PBD18" s="93"/>
      <c r="PBE18" s="88"/>
      <c r="PBF18" s="88"/>
      <c r="PBG18" s="90"/>
      <c r="PBH18" s="93"/>
      <c r="PBI18" s="88"/>
      <c r="PBJ18" s="88"/>
      <c r="PBK18" s="91"/>
      <c r="PBL18" s="93"/>
      <c r="PBM18" s="93"/>
      <c r="PBN18" s="88"/>
      <c r="PBO18" s="88"/>
      <c r="PBP18" s="90"/>
      <c r="PBQ18" s="93"/>
      <c r="PBR18" s="88"/>
      <c r="PBS18" s="88"/>
      <c r="PBT18" s="90"/>
      <c r="PBU18" s="93"/>
      <c r="PBV18" s="88"/>
      <c r="PBW18" s="88"/>
      <c r="PBX18" s="91"/>
      <c r="PBY18" s="93"/>
      <c r="PBZ18" s="93"/>
      <c r="PCA18" s="88"/>
      <c r="PCB18" s="88"/>
      <c r="PCC18" s="90"/>
      <c r="PCD18" s="93"/>
      <c r="PCE18" s="88"/>
      <c r="PCF18" s="88"/>
      <c r="PCG18" s="90"/>
      <c r="PCH18" s="93"/>
      <c r="PCI18" s="88"/>
      <c r="PCJ18" s="88"/>
      <c r="PCK18" s="91"/>
      <c r="PCL18" s="93"/>
      <c r="PCM18" s="93"/>
      <c r="PCN18" s="88"/>
      <c r="PCO18" s="88"/>
      <c r="PCP18" s="90"/>
      <c r="PCQ18" s="93"/>
      <c r="PCR18" s="88"/>
      <c r="PCS18" s="88"/>
      <c r="PCT18" s="90"/>
      <c r="PCU18" s="93"/>
      <c r="PCV18" s="88"/>
      <c r="PCW18" s="88"/>
      <c r="PCX18" s="91"/>
      <c r="PCY18" s="93"/>
      <c r="PCZ18" s="93"/>
      <c r="PDA18" s="88"/>
      <c r="PDB18" s="88"/>
      <c r="PDC18" s="90"/>
      <c r="PDD18" s="93"/>
      <c r="PDE18" s="88"/>
      <c r="PDF18" s="88"/>
      <c r="PDG18" s="90"/>
      <c r="PDH18" s="93"/>
      <c r="PDI18" s="88"/>
      <c r="PDJ18" s="88"/>
      <c r="PDK18" s="91"/>
      <c r="PDL18" s="93"/>
      <c r="PDM18" s="93"/>
      <c r="PDN18" s="88"/>
      <c r="PDO18" s="88"/>
      <c r="PDP18" s="90"/>
      <c r="PDQ18" s="93"/>
      <c r="PDR18" s="88"/>
      <c r="PDS18" s="88"/>
      <c r="PDT18" s="90"/>
      <c r="PDU18" s="93"/>
      <c r="PDV18" s="88"/>
      <c r="PDW18" s="88"/>
      <c r="PDX18" s="91"/>
      <c r="PDY18" s="93"/>
      <c r="PDZ18" s="93"/>
      <c r="PEA18" s="88"/>
      <c r="PEB18" s="88"/>
      <c r="PEC18" s="90"/>
      <c r="PED18" s="93"/>
      <c r="PEE18" s="88"/>
      <c r="PEF18" s="88"/>
      <c r="PEG18" s="90"/>
      <c r="PEH18" s="93"/>
      <c r="PEI18" s="88"/>
      <c r="PEJ18" s="88"/>
      <c r="PEK18" s="91"/>
      <c r="PEL18" s="93"/>
      <c r="PEM18" s="93"/>
      <c r="PEN18" s="88"/>
      <c r="PEO18" s="88"/>
      <c r="PEP18" s="90"/>
      <c r="PEQ18" s="93"/>
      <c r="PER18" s="88"/>
      <c r="PES18" s="88"/>
      <c r="PET18" s="90"/>
      <c r="PEU18" s="93"/>
      <c r="PEV18" s="88"/>
      <c r="PEW18" s="88"/>
      <c r="PEX18" s="91"/>
      <c r="PEY18" s="93"/>
      <c r="PEZ18" s="93"/>
      <c r="PFA18" s="88"/>
      <c r="PFB18" s="88"/>
      <c r="PFC18" s="90"/>
      <c r="PFD18" s="93"/>
      <c r="PFE18" s="88"/>
      <c r="PFF18" s="88"/>
      <c r="PFG18" s="90"/>
      <c r="PFH18" s="93"/>
      <c r="PFI18" s="88"/>
      <c r="PFJ18" s="88"/>
      <c r="PFK18" s="91"/>
      <c r="PFL18" s="93"/>
      <c r="PFM18" s="93"/>
      <c r="PFN18" s="88"/>
      <c r="PFO18" s="88"/>
      <c r="PFP18" s="90"/>
      <c r="PFQ18" s="93"/>
      <c r="PFR18" s="88"/>
      <c r="PFS18" s="88"/>
      <c r="PFT18" s="90"/>
      <c r="PFU18" s="93"/>
      <c r="PFV18" s="88"/>
      <c r="PFW18" s="88"/>
      <c r="PFX18" s="91"/>
      <c r="PFY18" s="93"/>
      <c r="PFZ18" s="93"/>
      <c r="PGA18" s="88"/>
      <c r="PGB18" s="88"/>
      <c r="PGC18" s="90"/>
      <c r="PGD18" s="93"/>
      <c r="PGE18" s="88"/>
      <c r="PGF18" s="88"/>
      <c r="PGG18" s="90"/>
      <c r="PGH18" s="93"/>
      <c r="PGI18" s="88"/>
      <c r="PGJ18" s="88"/>
      <c r="PGK18" s="91"/>
      <c r="PGL18" s="93"/>
      <c r="PGM18" s="93"/>
      <c r="PGN18" s="88"/>
      <c r="PGO18" s="88"/>
      <c r="PGP18" s="90"/>
      <c r="PGQ18" s="93"/>
      <c r="PGR18" s="88"/>
      <c r="PGS18" s="88"/>
      <c r="PGT18" s="90"/>
      <c r="PGU18" s="93"/>
      <c r="PGV18" s="88"/>
      <c r="PGW18" s="88"/>
      <c r="PGX18" s="91"/>
      <c r="PGY18" s="93"/>
      <c r="PGZ18" s="93"/>
      <c r="PHA18" s="88"/>
      <c r="PHB18" s="88"/>
      <c r="PHC18" s="90"/>
      <c r="PHD18" s="93"/>
      <c r="PHE18" s="88"/>
      <c r="PHF18" s="88"/>
      <c r="PHG18" s="90"/>
      <c r="PHH18" s="93"/>
      <c r="PHI18" s="88"/>
      <c r="PHJ18" s="88"/>
      <c r="PHK18" s="91"/>
      <c r="PHL18" s="93"/>
      <c r="PHM18" s="93"/>
      <c r="PHN18" s="88"/>
      <c r="PHO18" s="88"/>
      <c r="PHP18" s="90"/>
      <c r="PHQ18" s="93"/>
      <c r="PHR18" s="88"/>
      <c r="PHS18" s="88"/>
      <c r="PHT18" s="90"/>
      <c r="PHU18" s="93"/>
      <c r="PHV18" s="88"/>
      <c r="PHW18" s="88"/>
      <c r="PHX18" s="91"/>
      <c r="PHY18" s="93"/>
      <c r="PHZ18" s="93"/>
      <c r="PIA18" s="88"/>
      <c r="PIB18" s="88"/>
      <c r="PIC18" s="90"/>
      <c r="PID18" s="93"/>
      <c r="PIE18" s="88"/>
      <c r="PIF18" s="88"/>
      <c r="PIG18" s="90"/>
      <c r="PIH18" s="93"/>
      <c r="PII18" s="88"/>
      <c r="PIJ18" s="88"/>
      <c r="PIK18" s="91"/>
      <c r="PIL18" s="93"/>
      <c r="PIM18" s="93"/>
      <c r="PIN18" s="88"/>
      <c r="PIO18" s="88"/>
      <c r="PIP18" s="90"/>
      <c r="PIQ18" s="93"/>
      <c r="PIR18" s="88"/>
      <c r="PIS18" s="88"/>
      <c r="PIT18" s="90"/>
      <c r="PIU18" s="93"/>
      <c r="PIV18" s="88"/>
      <c r="PIW18" s="88"/>
      <c r="PIX18" s="91"/>
      <c r="PIY18" s="93"/>
      <c r="PIZ18" s="93"/>
      <c r="PJA18" s="88"/>
      <c r="PJB18" s="88"/>
      <c r="PJC18" s="90"/>
      <c r="PJD18" s="93"/>
      <c r="PJE18" s="88"/>
      <c r="PJF18" s="88"/>
      <c r="PJG18" s="90"/>
      <c r="PJH18" s="93"/>
      <c r="PJI18" s="88"/>
      <c r="PJJ18" s="88"/>
      <c r="PJK18" s="91"/>
      <c r="PJL18" s="93"/>
      <c r="PJM18" s="93"/>
      <c r="PJN18" s="88"/>
      <c r="PJO18" s="88"/>
      <c r="PJP18" s="90"/>
      <c r="PJQ18" s="93"/>
      <c r="PJR18" s="88"/>
      <c r="PJS18" s="88"/>
      <c r="PJT18" s="90"/>
      <c r="PJU18" s="93"/>
      <c r="PJV18" s="88"/>
      <c r="PJW18" s="88"/>
      <c r="PJX18" s="91"/>
      <c r="PJY18" s="93"/>
      <c r="PJZ18" s="93"/>
      <c r="PKA18" s="88"/>
      <c r="PKB18" s="88"/>
      <c r="PKC18" s="90"/>
      <c r="PKD18" s="93"/>
      <c r="PKE18" s="88"/>
      <c r="PKF18" s="88"/>
      <c r="PKG18" s="90"/>
      <c r="PKH18" s="93"/>
      <c r="PKI18" s="88"/>
      <c r="PKJ18" s="88"/>
      <c r="PKK18" s="91"/>
      <c r="PKL18" s="93"/>
      <c r="PKM18" s="93"/>
      <c r="PKN18" s="88"/>
      <c r="PKO18" s="88"/>
      <c r="PKP18" s="90"/>
      <c r="PKQ18" s="93"/>
      <c r="PKR18" s="88"/>
      <c r="PKS18" s="88"/>
      <c r="PKT18" s="90"/>
      <c r="PKU18" s="93"/>
      <c r="PKV18" s="88"/>
      <c r="PKW18" s="88"/>
      <c r="PKX18" s="91"/>
      <c r="PKY18" s="93"/>
      <c r="PKZ18" s="93"/>
      <c r="PLA18" s="88"/>
      <c r="PLB18" s="88"/>
      <c r="PLC18" s="90"/>
      <c r="PLD18" s="93"/>
      <c r="PLE18" s="88"/>
      <c r="PLF18" s="88"/>
      <c r="PLG18" s="90"/>
      <c r="PLH18" s="93"/>
      <c r="PLI18" s="88"/>
      <c r="PLJ18" s="88"/>
      <c r="PLK18" s="91"/>
      <c r="PLL18" s="93"/>
      <c r="PLM18" s="93"/>
      <c r="PLN18" s="88"/>
      <c r="PLO18" s="88"/>
      <c r="PLP18" s="90"/>
      <c r="PLQ18" s="93"/>
      <c r="PLR18" s="88"/>
      <c r="PLS18" s="88"/>
      <c r="PLT18" s="90"/>
      <c r="PLU18" s="93"/>
      <c r="PLV18" s="88"/>
      <c r="PLW18" s="88"/>
      <c r="PLX18" s="91"/>
      <c r="PLY18" s="93"/>
      <c r="PLZ18" s="93"/>
      <c r="PMA18" s="88"/>
      <c r="PMB18" s="88"/>
      <c r="PMC18" s="90"/>
      <c r="PMD18" s="93"/>
      <c r="PME18" s="88"/>
      <c r="PMF18" s="88"/>
      <c r="PMG18" s="90"/>
      <c r="PMH18" s="93"/>
      <c r="PMI18" s="88"/>
      <c r="PMJ18" s="88"/>
      <c r="PMK18" s="91"/>
      <c r="PML18" s="93"/>
      <c r="PMM18" s="93"/>
      <c r="PMN18" s="88"/>
      <c r="PMO18" s="88"/>
      <c r="PMP18" s="90"/>
      <c r="PMQ18" s="93"/>
      <c r="PMR18" s="88"/>
      <c r="PMS18" s="88"/>
      <c r="PMT18" s="90"/>
      <c r="PMU18" s="93"/>
      <c r="PMV18" s="88"/>
      <c r="PMW18" s="88"/>
      <c r="PMX18" s="91"/>
      <c r="PMY18" s="93"/>
      <c r="PMZ18" s="93"/>
      <c r="PNA18" s="88"/>
      <c r="PNB18" s="88"/>
      <c r="PNC18" s="90"/>
      <c r="PND18" s="93"/>
      <c r="PNE18" s="88"/>
      <c r="PNF18" s="88"/>
      <c r="PNG18" s="90"/>
      <c r="PNH18" s="93"/>
      <c r="PNI18" s="88"/>
      <c r="PNJ18" s="88"/>
      <c r="PNK18" s="91"/>
      <c r="PNL18" s="93"/>
      <c r="PNM18" s="93"/>
      <c r="PNN18" s="88"/>
      <c r="PNO18" s="88"/>
      <c r="PNP18" s="90"/>
      <c r="PNQ18" s="93"/>
      <c r="PNR18" s="88"/>
      <c r="PNS18" s="88"/>
      <c r="PNT18" s="90"/>
      <c r="PNU18" s="93"/>
      <c r="PNV18" s="88"/>
      <c r="PNW18" s="88"/>
      <c r="PNX18" s="91"/>
      <c r="PNY18" s="93"/>
      <c r="PNZ18" s="93"/>
      <c r="POA18" s="88"/>
      <c r="POB18" s="88"/>
      <c r="POC18" s="90"/>
      <c r="POD18" s="93"/>
      <c r="POE18" s="88"/>
      <c r="POF18" s="88"/>
      <c r="POG18" s="90"/>
      <c r="POH18" s="93"/>
      <c r="POI18" s="88"/>
      <c r="POJ18" s="88"/>
      <c r="POK18" s="91"/>
      <c r="POL18" s="93"/>
      <c r="POM18" s="93"/>
      <c r="PON18" s="88"/>
      <c r="POO18" s="88"/>
      <c r="POP18" s="90"/>
      <c r="POQ18" s="93"/>
      <c r="POR18" s="88"/>
      <c r="POS18" s="88"/>
      <c r="POT18" s="90"/>
      <c r="POU18" s="93"/>
      <c r="POV18" s="88"/>
      <c r="POW18" s="88"/>
      <c r="POX18" s="91"/>
      <c r="POY18" s="93"/>
      <c r="POZ18" s="93"/>
      <c r="PPA18" s="88"/>
      <c r="PPB18" s="88"/>
      <c r="PPC18" s="90"/>
      <c r="PPD18" s="93"/>
      <c r="PPE18" s="88"/>
      <c r="PPF18" s="88"/>
      <c r="PPG18" s="90"/>
      <c r="PPH18" s="93"/>
      <c r="PPI18" s="88"/>
      <c r="PPJ18" s="88"/>
      <c r="PPK18" s="91"/>
      <c r="PPL18" s="93"/>
      <c r="PPM18" s="93"/>
      <c r="PPN18" s="88"/>
      <c r="PPO18" s="88"/>
      <c r="PPP18" s="90"/>
      <c r="PPQ18" s="93"/>
      <c r="PPR18" s="88"/>
      <c r="PPS18" s="88"/>
      <c r="PPT18" s="90"/>
      <c r="PPU18" s="93"/>
      <c r="PPV18" s="88"/>
      <c r="PPW18" s="88"/>
      <c r="PPX18" s="91"/>
      <c r="PPY18" s="93"/>
      <c r="PPZ18" s="93"/>
      <c r="PQA18" s="88"/>
      <c r="PQB18" s="88"/>
      <c r="PQC18" s="90"/>
      <c r="PQD18" s="93"/>
      <c r="PQE18" s="88"/>
      <c r="PQF18" s="88"/>
      <c r="PQG18" s="90"/>
      <c r="PQH18" s="93"/>
      <c r="PQI18" s="88"/>
      <c r="PQJ18" s="88"/>
      <c r="PQK18" s="91"/>
      <c r="PQL18" s="93"/>
      <c r="PQM18" s="93"/>
      <c r="PQN18" s="88"/>
      <c r="PQO18" s="88"/>
      <c r="PQP18" s="90"/>
      <c r="PQQ18" s="93"/>
      <c r="PQR18" s="88"/>
      <c r="PQS18" s="88"/>
      <c r="PQT18" s="90"/>
      <c r="PQU18" s="93"/>
      <c r="PQV18" s="88"/>
      <c r="PQW18" s="88"/>
      <c r="PQX18" s="91"/>
      <c r="PQY18" s="93"/>
      <c r="PQZ18" s="93"/>
      <c r="PRA18" s="88"/>
      <c r="PRB18" s="88"/>
      <c r="PRC18" s="90"/>
      <c r="PRD18" s="93"/>
      <c r="PRE18" s="88"/>
      <c r="PRF18" s="88"/>
      <c r="PRG18" s="90"/>
      <c r="PRH18" s="93"/>
      <c r="PRI18" s="88"/>
      <c r="PRJ18" s="88"/>
      <c r="PRK18" s="91"/>
      <c r="PRL18" s="93"/>
      <c r="PRM18" s="93"/>
      <c r="PRN18" s="88"/>
      <c r="PRO18" s="88"/>
      <c r="PRP18" s="90"/>
      <c r="PRQ18" s="93"/>
      <c r="PRR18" s="88"/>
      <c r="PRS18" s="88"/>
      <c r="PRT18" s="90"/>
      <c r="PRU18" s="93"/>
      <c r="PRV18" s="88"/>
      <c r="PRW18" s="88"/>
      <c r="PRX18" s="91"/>
      <c r="PRY18" s="93"/>
      <c r="PRZ18" s="93"/>
      <c r="PSA18" s="88"/>
      <c r="PSB18" s="88"/>
      <c r="PSC18" s="90"/>
      <c r="PSD18" s="93"/>
      <c r="PSE18" s="88"/>
      <c r="PSF18" s="88"/>
      <c r="PSG18" s="90"/>
      <c r="PSH18" s="93"/>
      <c r="PSI18" s="88"/>
      <c r="PSJ18" s="88"/>
      <c r="PSK18" s="91"/>
      <c r="PSL18" s="93"/>
      <c r="PSM18" s="93"/>
      <c r="PSN18" s="88"/>
      <c r="PSO18" s="88"/>
      <c r="PSP18" s="90"/>
      <c r="PSQ18" s="93"/>
      <c r="PSR18" s="88"/>
      <c r="PSS18" s="88"/>
      <c r="PST18" s="90"/>
      <c r="PSU18" s="93"/>
      <c r="PSV18" s="88"/>
      <c r="PSW18" s="88"/>
      <c r="PSX18" s="91"/>
      <c r="PSY18" s="93"/>
      <c r="PSZ18" s="93"/>
      <c r="PTA18" s="88"/>
      <c r="PTB18" s="88"/>
      <c r="PTC18" s="90"/>
      <c r="PTD18" s="93"/>
      <c r="PTE18" s="88"/>
      <c r="PTF18" s="88"/>
      <c r="PTG18" s="90"/>
      <c r="PTH18" s="93"/>
      <c r="PTI18" s="88"/>
      <c r="PTJ18" s="88"/>
      <c r="PTK18" s="91"/>
      <c r="PTL18" s="93"/>
      <c r="PTM18" s="93"/>
      <c r="PTN18" s="88"/>
      <c r="PTO18" s="88"/>
      <c r="PTP18" s="90"/>
      <c r="PTQ18" s="93"/>
      <c r="PTR18" s="88"/>
      <c r="PTS18" s="88"/>
      <c r="PTT18" s="90"/>
      <c r="PTU18" s="93"/>
      <c r="PTV18" s="88"/>
      <c r="PTW18" s="88"/>
      <c r="PTX18" s="91"/>
      <c r="PTY18" s="93"/>
      <c r="PTZ18" s="93"/>
      <c r="PUA18" s="88"/>
      <c r="PUB18" s="88"/>
      <c r="PUC18" s="90"/>
      <c r="PUD18" s="93"/>
      <c r="PUE18" s="88"/>
      <c r="PUF18" s="88"/>
      <c r="PUG18" s="90"/>
      <c r="PUH18" s="93"/>
      <c r="PUI18" s="88"/>
      <c r="PUJ18" s="88"/>
      <c r="PUK18" s="91"/>
      <c r="PUL18" s="93"/>
      <c r="PUM18" s="93"/>
      <c r="PUN18" s="88"/>
      <c r="PUO18" s="88"/>
      <c r="PUP18" s="90"/>
      <c r="PUQ18" s="93"/>
      <c r="PUR18" s="88"/>
      <c r="PUS18" s="88"/>
      <c r="PUT18" s="90"/>
      <c r="PUU18" s="93"/>
      <c r="PUV18" s="88"/>
      <c r="PUW18" s="88"/>
      <c r="PUX18" s="91"/>
      <c r="PUY18" s="93"/>
      <c r="PUZ18" s="93"/>
      <c r="PVA18" s="88"/>
      <c r="PVB18" s="88"/>
      <c r="PVC18" s="90"/>
      <c r="PVD18" s="93"/>
      <c r="PVE18" s="88"/>
      <c r="PVF18" s="88"/>
      <c r="PVG18" s="90"/>
      <c r="PVH18" s="93"/>
      <c r="PVI18" s="88"/>
      <c r="PVJ18" s="88"/>
      <c r="PVK18" s="91"/>
      <c r="PVL18" s="93"/>
      <c r="PVM18" s="93"/>
      <c r="PVN18" s="88"/>
      <c r="PVO18" s="88"/>
      <c r="PVP18" s="90"/>
      <c r="PVQ18" s="93"/>
      <c r="PVR18" s="88"/>
      <c r="PVS18" s="88"/>
      <c r="PVT18" s="90"/>
      <c r="PVU18" s="93"/>
      <c r="PVV18" s="88"/>
      <c r="PVW18" s="88"/>
      <c r="PVX18" s="91"/>
      <c r="PVY18" s="93"/>
      <c r="PVZ18" s="93"/>
      <c r="PWA18" s="88"/>
      <c r="PWB18" s="88"/>
      <c r="PWC18" s="90"/>
      <c r="PWD18" s="93"/>
      <c r="PWE18" s="88"/>
      <c r="PWF18" s="88"/>
      <c r="PWG18" s="90"/>
      <c r="PWH18" s="93"/>
      <c r="PWI18" s="88"/>
      <c r="PWJ18" s="88"/>
      <c r="PWK18" s="91"/>
      <c r="PWL18" s="93"/>
      <c r="PWM18" s="93"/>
      <c r="PWN18" s="88"/>
      <c r="PWO18" s="88"/>
      <c r="PWP18" s="90"/>
      <c r="PWQ18" s="93"/>
      <c r="PWR18" s="88"/>
      <c r="PWS18" s="88"/>
      <c r="PWT18" s="90"/>
      <c r="PWU18" s="93"/>
      <c r="PWV18" s="88"/>
      <c r="PWW18" s="88"/>
      <c r="PWX18" s="91"/>
      <c r="PWY18" s="93"/>
      <c r="PWZ18" s="93"/>
      <c r="PXA18" s="88"/>
      <c r="PXB18" s="88"/>
      <c r="PXC18" s="90"/>
      <c r="PXD18" s="93"/>
      <c r="PXE18" s="88"/>
      <c r="PXF18" s="88"/>
      <c r="PXG18" s="90"/>
      <c r="PXH18" s="93"/>
      <c r="PXI18" s="88"/>
      <c r="PXJ18" s="88"/>
      <c r="PXK18" s="91"/>
      <c r="PXL18" s="93"/>
      <c r="PXM18" s="93"/>
      <c r="PXN18" s="88"/>
      <c r="PXO18" s="88"/>
      <c r="PXP18" s="90"/>
      <c r="PXQ18" s="93"/>
      <c r="PXR18" s="88"/>
      <c r="PXS18" s="88"/>
      <c r="PXT18" s="90"/>
      <c r="PXU18" s="93"/>
      <c r="PXV18" s="88"/>
      <c r="PXW18" s="88"/>
      <c r="PXX18" s="91"/>
      <c r="PXY18" s="93"/>
      <c r="PXZ18" s="93"/>
      <c r="PYA18" s="88"/>
      <c r="PYB18" s="88"/>
      <c r="PYC18" s="90"/>
      <c r="PYD18" s="93"/>
      <c r="PYE18" s="88"/>
      <c r="PYF18" s="88"/>
      <c r="PYG18" s="90"/>
      <c r="PYH18" s="93"/>
      <c r="PYI18" s="88"/>
      <c r="PYJ18" s="88"/>
      <c r="PYK18" s="91"/>
      <c r="PYL18" s="93"/>
      <c r="PYM18" s="93"/>
      <c r="PYN18" s="88"/>
      <c r="PYO18" s="88"/>
      <c r="PYP18" s="90"/>
      <c r="PYQ18" s="93"/>
      <c r="PYR18" s="88"/>
      <c r="PYS18" s="88"/>
      <c r="PYT18" s="90"/>
      <c r="PYU18" s="93"/>
      <c r="PYV18" s="88"/>
      <c r="PYW18" s="88"/>
      <c r="PYX18" s="91"/>
      <c r="PYY18" s="93"/>
      <c r="PYZ18" s="93"/>
      <c r="PZA18" s="88"/>
      <c r="PZB18" s="88"/>
      <c r="PZC18" s="90"/>
      <c r="PZD18" s="93"/>
      <c r="PZE18" s="88"/>
      <c r="PZF18" s="88"/>
      <c r="PZG18" s="90"/>
      <c r="PZH18" s="93"/>
      <c r="PZI18" s="88"/>
      <c r="PZJ18" s="88"/>
      <c r="PZK18" s="91"/>
      <c r="PZL18" s="93"/>
      <c r="PZM18" s="93"/>
      <c r="PZN18" s="88"/>
      <c r="PZO18" s="88"/>
      <c r="PZP18" s="90"/>
      <c r="PZQ18" s="93"/>
      <c r="PZR18" s="88"/>
      <c r="PZS18" s="88"/>
      <c r="PZT18" s="90"/>
      <c r="PZU18" s="93"/>
      <c r="PZV18" s="88"/>
      <c r="PZW18" s="88"/>
      <c r="PZX18" s="91"/>
      <c r="PZY18" s="93"/>
      <c r="PZZ18" s="93"/>
      <c r="QAA18" s="88"/>
      <c r="QAB18" s="88"/>
      <c r="QAC18" s="90"/>
      <c r="QAD18" s="93"/>
      <c r="QAE18" s="88"/>
      <c r="QAF18" s="88"/>
      <c r="QAG18" s="90"/>
      <c r="QAH18" s="93"/>
      <c r="QAI18" s="88"/>
      <c r="QAJ18" s="88"/>
      <c r="QAK18" s="91"/>
      <c r="QAL18" s="93"/>
      <c r="QAM18" s="93"/>
      <c r="QAN18" s="88"/>
      <c r="QAO18" s="88"/>
      <c r="QAP18" s="90"/>
      <c r="QAQ18" s="93"/>
      <c r="QAR18" s="88"/>
      <c r="QAS18" s="88"/>
      <c r="QAT18" s="90"/>
      <c r="QAU18" s="93"/>
      <c r="QAV18" s="88"/>
      <c r="QAW18" s="88"/>
      <c r="QAX18" s="91"/>
      <c r="QAY18" s="93"/>
      <c r="QAZ18" s="93"/>
      <c r="QBA18" s="88"/>
      <c r="QBB18" s="88"/>
      <c r="QBC18" s="90"/>
      <c r="QBD18" s="93"/>
      <c r="QBE18" s="88"/>
      <c r="QBF18" s="88"/>
      <c r="QBG18" s="90"/>
      <c r="QBH18" s="93"/>
      <c r="QBI18" s="88"/>
      <c r="QBJ18" s="88"/>
      <c r="QBK18" s="91"/>
      <c r="QBL18" s="93"/>
      <c r="QBM18" s="93"/>
      <c r="QBN18" s="88"/>
      <c r="QBO18" s="88"/>
      <c r="QBP18" s="90"/>
      <c r="QBQ18" s="93"/>
      <c r="QBR18" s="88"/>
      <c r="QBS18" s="88"/>
      <c r="QBT18" s="90"/>
      <c r="QBU18" s="93"/>
      <c r="QBV18" s="88"/>
      <c r="QBW18" s="88"/>
      <c r="QBX18" s="91"/>
      <c r="QBY18" s="93"/>
      <c r="QBZ18" s="93"/>
      <c r="QCA18" s="88"/>
      <c r="QCB18" s="88"/>
      <c r="QCC18" s="90"/>
      <c r="QCD18" s="93"/>
      <c r="QCE18" s="88"/>
      <c r="QCF18" s="88"/>
      <c r="QCG18" s="90"/>
      <c r="QCH18" s="93"/>
      <c r="QCI18" s="88"/>
      <c r="QCJ18" s="88"/>
      <c r="QCK18" s="91"/>
      <c r="QCL18" s="93"/>
      <c r="QCM18" s="93"/>
      <c r="QCN18" s="88"/>
      <c r="QCO18" s="88"/>
      <c r="QCP18" s="90"/>
      <c r="QCQ18" s="93"/>
      <c r="QCR18" s="88"/>
      <c r="QCS18" s="88"/>
      <c r="QCT18" s="90"/>
      <c r="QCU18" s="93"/>
      <c r="QCV18" s="88"/>
      <c r="QCW18" s="88"/>
      <c r="QCX18" s="91"/>
      <c r="QCY18" s="93"/>
      <c r="QCZ18" s="93"/>
      <c r="QDA18" s="88"/>
      <c r="QDB18" s="88"/>
      <c r="QDC18" s="90"/>
      <c r="QDD18" s="93"/>
      <c r="QDE18" s="88"/>
      <c r="QDF18" s="88"/>
      <c r="QDG18" s="90"/>
      <c r="QDH18" s="93"/>
      <c r="QDI18" s="88"/>
      <c r="QDJ18" s="88"/>
      <c r="QDK18" s="91"/>
      <c r="QDL18" s="93"/>
      <c r="QDM18" s="93"/>
      <c r="QDN18" s="88"/>
      <c r="QDO18" s="88"/>
      <c r="QDP18" s="90"/>
      <c r="QDQ18" s="93"/>
      <c r="QDR18" s="88"/>
      <c r="QDS18" s="88"/>
      <c r="QDT18" s="90"/>
      <c r="QDU18" s="93"/>
      <c r="QDV18" s="88"/>
      <c r="QDW18" s="88"/>
      <c r="QDX18" s="91"/>
      <c r="QDY18" s="93"/>
      <c r="QDZ18" s="93"/>
      <c r="QEA18" s="88"/>
      <c r="QEB18" s="88"/>
      <c r="QEC18" s="90"/>
      <c r="QED18" s="93"/>
      <c r="QEE18" s="88"/>
      <c r="QEF18" s="88"/>
      <c r="QEG18" s="90"/>
      <c r="QEH18" s="93"/>
      <c r="QEI18" s="88"/>
      <c r="QEJ18" s="88"/>
      <c r="QEK18" s="91"/>
      <c r="QEL18" s="93"/>
      <c r="QEM18" s="93"/>
      <c r="QEN18" s="88"/>
      <c r="QEO18" s="88"/>
      <c r="QEP18" s="90"/>
      <c r="QEQ18" s="93"/>
      <c r="QER18" s="88"/>
      <c r="QES18" s="88"/>
      <c r="QET18" s="90"/>
      <c r="QEU18" s="93"/>
      <c r="QEV18" s="88"/>
      <c r="QEW18" s="88"/>
      <c r="QEX18" s="91"/>
      <c r="QEY18" s="93"/>
      <c r="QEZ18" s="93"/>
      <c r="QFA18" s="88"/>
      <c r="QFB18" s="88"/>
      <c r="QFC18" s="90"/>
      <c r="QFD18" s="93"/>
      <c r="QFE18" s="88"/>
      <c r="QFF18" s="88"/>
      <c r="QFG18" s="90"/>
      <c r="QFH18" s="93"/>
      <c r="QFI18" s="88"/>
      <c r="QFJ18" s="88"/>
      <c r="QFK18" s="91"/>
      <c r="QFL18" s="93"/>
      <c r="QFM18" s="93"/>
      <c r="QFN18" s="88"/>
      <c r="QFO18" s="88"/>
      <c r="QFP18" s="90"/>
      <c r="QFQ18" s="93"/>
      <c r="QFR18" s="88"/>
      <c r="QFS18" s="88"/>
      <c r="QFT18" s="90"/>
      <c r="QFU18" s="93"/>
      <c r="QFV18" s="88"/>
      <c r="QFW18" s="88"/>
      <c r="QFX18" s="91"/>
      <c r="QFY18" s="93"/>
      <c r="QFZ18" s="93"/>
      <c r="QGA18" s="88"/>
      <c r="QGB18" s="88"/>
      <c r="QGC18" s="90"/>
      <c r="QGD18" s="93"/>
      <c r="QGE18" s="88"/>
      <c r="QGF18" s="88"/>
      <c r="QGG18" s="90"/>
      <c r="QGH18" s="93"/>
      <c r="QGI18" s="88"/>
      <c r="QGJ18" s="88"/>
      <c r="QGK18" s="91"/>
      <c r="QGL18" s="93"/>
      <c r="QGM18" s="93"/>
      <c r="QGN18" s="88"/>
      <c r="QGO18" s="88"/>
      <c r="QGP18" s="90"/>
      <c r="QGQ18" s="93"/>
      <c r="QGR18" s="88"/>
      <c r="QGS18" s="88"/>
      <c r="QGT18" s="90"/>
      <c r="QGU18" s="93"/>
      <c r="QGV18" s="88"/>
      <c r="QGW18" s="88"/>
      <c r="QGX18" s="91"/>
      <c r="QGY18" s="93"/>
      <c r="QGZ18" s="93"/>
      <c r="QHA18" s="88"/>
      <c r="QHB18" s="88"/>
      <c r="QHC18" s="90"/>
      <c r="QHD18" s="93"/>
      <c r="QHE18" s="88"/>
      <c r="QHF18" s="88"/>
      <c r="QHG18" s="90"/>
      <c r="QHH18" s="93"/>
      <c r="QHI18" s="88"/>
      <c r="QHJ18" s="88"/>
      <c r="QHK18" s="91"/>
      <c r="QHL18" s="93"/>
      <c r="QHM18" s="93"/>
      <c r="QHN18" s="88"/>
      <c r="QHO18" s="88"/>
      <c r="QHP18" s="90"/>
      <c r="QHQ18" s="93"/>
      <c r="QHR18" s="88"/>
      <c r="QHS18" s="88"/>
      <c r="QHT18" s="90"/>
      <c r="QHU18" s="93"/>
      <c r="QHV18" s="88"/>
      <c r="QHW18" s="88"/>
      <c r="QHX18" s="91"/>
      <c r="QHY18" s="93"/>
      <c r="QHZ18" s="93"/>
      <c r="QIA18" s="88"/>
      <c r="QIB18" s="88"/>
      <c r="QIC18" s="90"/>
      <c r="QID18" s="93"/>
      <c r="QIE18" s="88"/>
      <c r="QIF18" s="88"/>
      <c r="QIG18" s="90"/>
      <c r="QIH18" s="93"/>
      <c r="QII18" s="88"/>
      <c r="QIJ18" s="88"/>
      <c r="QIK18" s="91"/>
      <c r="QIL18" s="93"/>
      <c r="QIM18" s="93"/>
      <c r="QIN18" s="88"/>
      <c r="QIO18" s="88"/>
      <c r="QIP18" s="90"/>
      <c r="QIQ18" s="93"/>
      <c r="QIR18" s="88"/>
      <c r="QIS18" s="88"/>
      <c r="QIT18" s="90"/>
      <c r="QIU18" s="93"/>
      <c r="QIV18" s="88"/>
      <c r="QIW18" s="88"/>
      <c r="QIX18" s="91"/>
      <c r="QIY18" s="93"/>
      <c r="QIZ18" s="93"/>
      <c r="QJA18" s="88"/>
      <c r="QJB18" s="88"/>
      <c r="QJC18" s="90"/>
      <c r="QJD18" s="93"/>
      <c r="QJE18" s="88"/>
      <c r="QJF18" s="88"/>
      <c r="QJG18" s="90"/>
      <c r="QJH18" s="93"/>
      <c r="QJI18" s="88"/>
      <c r="QJJ18" s="88"/>
      <c r="QJK18" s="91"/>
      <c r="QJL18" s="93"/>
      <c r="QJM18" s="93"/>
      <c r="QJN18" s="88"/>
      <c r="QJO18" s="88"/>
      <c r="QJP18" s="90"/>
      <c r="QJQ18" s="93"/>
      <c r="QJR18" s="88"/>
      <c r="QJS18" s="88"/>
      <c r="QJT18" s="90"/>
      <c r="QJU18" s="93"/>
      <c r="QJV18" s="88"/>
      <c r="QJW18" s="88"/>
      <c r="QJX18" s="91"/>
      <c r="QJY18" s="93"/>
      <c r="QJZ18" s="93"/>
      <c r="QKA18" s="88"/>
      <c r="QKB18" s="88"/>
      <c r="QKC18" s="90"/>
      <c r="QKD18" s="93"/>
      <c r="QKE18" s="88"/>
      <c r="QKF18" s="88"/>
      <c r="QKG18" s="90"/>
      <c r="QKH18" s="93"/>
      <c r="QKI18" s="88"/>
      <c r="QKJ18" s="88"/>
      <c r="QKK18" s="91"/>
      <c r="QKL18" s="93"/>
      <c r="QKM18" s="93"/>
      <c r="QKN18" s="88"/>
      <c r="QKO18" s="88"/>
      <c r="QKP18" s="90"/>
      <c r="QKQ18" s="93"/>
      <c r="QKR18" s="88"/>
      <c r="QKS18" s="88"/>
      <c r="QKT18" s="90"/>
      <c r="QKU18" s="93"/>
      <c r="QKV18" s="88"/>
      <c r="QKW18" s="88"/>
      <c r="QKX18" s="91"/>
      <c r="QKY18" s="93"/>
      <c r="QKZ18" s="93"/>
      <c r="QLA18" s="88"/>
      <c r="QLB18" s="88"/>
      <c r="QLC18" s="90"/>
      <c r="QLD18" s="93"/>
      <c r="QLE18" s="88"/>
      <c r="QLF18" s="88"/>
      <c r="QLG18" s="90"/>
      <c r="QLH18" s="93"/>
      <c r="QLI18" s="88"/>
      <c r="QLJ18" s="88"/>
      <c r="QLK18" s="91"/>
      <c r="QLL18" s="93"/>
      <c r="QLM18" s="93"/>
      <c r="QLN18" s="88"/>
      <c r="QLO18" s="88"/>
      <c r="QLP18" s="90"/>
      <c r="QLQ18" s="93"/>
      <c r="QLR18" s="88"/>
      <c r="QLS18" s="88"/>
      <c r="QLT18" s="90"/>
      <c r="QLU18" s="93"/>
      <c r="QLV18" s="88"/>
      <c r="QLW18" s="88"/>
      <c r="QLX18" s="91"/>
      <c r="QLY18" s="93"/>
      <c r="QLZ18" s="93"/>
      <c r="QMA18" s="88"/>
      <c r="QMB18" s="88"/>
      <c r="QMC18" s="90"/>
      <c r="QMD18" s="93"/>
      <c r="QME18" s="88"/>
      <c r="QMF18" s="88"/>
      <c r="QMG18" s="90"/>
      <c r="QMH18" s="93"/>
      <c r="QMI18" s="88"/>
      <c r="QMJ18" s="88"/>
      <c r="QMK18" s="91"/>
      <c r="QML18" s="93"/>
      <c r="QMM18" s="93"/>
      <c r="QMN18" s="88"/>
      <c r="QMO18" s="88"/>
      <c r="QMP18" s="90"/>
      <c r="QMQ18" s="93"/>
      <c r="QMR18" s="88"/>
      <c r="QMS18" s="88"/>
      <c r="QMT18" s="90"/>
      <c r="QMU18" s="93"/>
      <c r="QMV18" s="88"/>
      <c r="QMW18" s="88"/>
      <c r="QMX18" s="91"/>
      <c r="QMY18" s="93"/>
      <c r="QMZ18" s="93"/>
      <c r="QNA18" s="88"/>
      <c r="QNB18" s="88"/>
      <c r="QNC18" s="90"/>
      <c r="QND18" s="93"/>
      <c r="QNE18" s="88"/>
      <c r="QNF18" s="88"/>
      <c r="QNG18" s="90"/>
      <c r="QNH18" s="93"/>
      <c r="QNI18" s="88"/>
      <c r="QNJ18" s="88"/>
      <c r="QNK18" s="91"/>
      <c r="QNL18" s="93"/>
      <c r="QNM18" s="93"/>
      <c r="QNN18" s="88"/>
      <c r="QNO18" s="88"/>
      <c r="QNP18" s="90"/>
      <c r="QNQ18" s="93"/>
      <c r="QNR18" s="88"/>
      <c r="QNS18" s="88"/>
      <c r="QNT18" s="90"/>
      <c r="QNU18" s="93"/>
      <c r="QNV18" s="88"/>
      <c r="QNW18" s="88"/>
      <c r="QNX18" s="91"/>
      <c r="QNY18" s="93"/>
      <c r="QNZ18" s="93"/>
      <c r="QOA18" s="88"/>
      <c r="QOB18" s="88"/>
      <c r="QOC18" s="90"/>
      <c r="QOD18" s="93"/>
      <c r="QOE18" s="88"/>
      <c r="QOF18" s="88"/>
      <c r="QOG18" s="90"/>
      <c r="QOH18" s="93"/>
      <c r="QOI18" s="88"/>
      <c r="QOJ18" s="88"/>
      <c r="QOK18" s="91"/>
      <c r="QOL18" s="93"/>
      <c r="QOM18" s="93"/>
      <c r="QON18" s="88"/>
      <c r="QOO18" s="88"/>
      <c r="QOP18" s="90"/>
      <c r="QOQ18" s="93"/>
      <c r="QOR18" s="88"/>
      <c r="QOS18" s="88"/>
      <c r="QOT18" s="90"/>
      <c r="QOU18" s="93"/>
      <c r="QOV18" s="88"/>
      <c r="QOW18" s="88"/>
      <c r="QOX18" s="91"/>
      <c r="QOY18" s="93"/>
      <c r="QOZ18" s="93"/>
      <c r="QPA18" s="88"/>
      <c r="QPB18" s="88"/>
      <c r="QPC18" s="90"/>
      <c r="QPD18" s="93"/>
      <c r="QPE18" s="88"/>
      <c r="QPF18" s="88"/>
      <c r="QPG18" s="90"/>
      <c r="QPH18" s="93"/>
      <c r="QPI18" s="88"/>
      <c r="QPJ18" s="88"/>
      <c r="QPK18" s="91"/>
      <c r="QPL18" s="93"/>
      <c r="QPM18" s="93"/>
      <c r="QPN18" s="88"/>
      <c r="QPO18" s="88"/>
      <c r="QPP18" s="90"/>
      <c r="QPQ18" s="93"/>
      <c r="QPR18" s="88"/>
      <c r="QPS18" s="88"/>
      <c r="QPT18" s="90"/>
      <c r="QPU18" s="93"/>
      <c r="QPV18" s="88"/>
      <c r="QPW18" s="88"/>
      <c r="QPX18" s="91"/>
      <c r="QPY18" s="93"/>
      <c r="QPZ18" s="93"/>
      <c r="QQA18" s="88"/>
      <c r="QQB18" s="88"/>
      <c r="QQC18" s="90"/>
      <c r="QQD18" s="93"/>
      <c r="QQE18" s="88"/>
      <c r="QQF18" s="88"/>
      <c r="QQG18" s="90"/>
      <c r="QQH18" s="93"/>
      <c r="QQI18" s="88"/>
      <c r="QQJ18" s="88"/>
      <c r="QQK18" s="91"/>
      <c r="QQL18" s="93"/>
      <c r="QQM18" s="93"/>
      <c r="QQN18" s="88"/>
      <c r="QQO18" s="88"/>
      <c r="QQP18" s="90"/>
      <c r="QQQ18" s="93"/>
      <c r="QQR18" s="88"/>
      <c r="QQS18" s="88"/>
      <c r="QQT18" s="90"/>
      <c r="QQU18" s="93"/>
      <c r="QQV18" s="88"/>
      <c r="QQW18" s="88"/>
      <c r="QQX18" s="91"/>
      <c r="QQY18" s="93"/>
      <c r="QQZ18" s="93"/>
      <c r="QRA18" s="88"/>
      <c r="QRB18" s="88"/>
      <c r="QRC18" s="90"/>
      <c r="QRD18" s="93"/>
      <c r="QRE18" s="88"/>
      <c r="QRF18" s="88"/>
      <c r="QRG18" s="90"/>
      <c r="QRH18" s="93"/>
      <c r="QRI18" s="88"/>
      <c r="QRJ18" s="88"/>
      <c r="QRK18" s="91"/>
      <c r="QRL18" s="93"/>
      <c r="QRM18" s="93"/>
      <c r="QRN18" s="88"/>
      <c r="QRO18" s="88"/>
      <c r="QRP18" s="90"/>
      <c r="QRQ18" s="93"/>
      <c r="QRR18" s="88"/>
      <c r="QRS18" s="88"/>
      <c r="QRT18" s="90"/>
      <c r="QRU18" s="93"/>
      <c r="QRV18" s="88"/>
      <c r="QRW18" s="88"/>
      <c r="QRX18" s="91"/>
      <c r="QRY18" s="93"/>
      <c r="QRZ18" s="93"/>
      <c r="QSA18" s="88"/>
      <c r="QSB18" s="88"/>
      <c r="QSC18" s="90"/>
      <c r="QSD18" s="93"/>
      <c r="QSE18" s="88"/>
      <c r="QSF18" s="88"/>
      <c r="QSG18" s="90"/>
      <c r="QSH18" s="93"/>
      <c r="QSI18" s="88"/>
      <c r="QSJ18" s="88"/>
      <c r="QSK18" s="91"/>
      <c r="QSL18" s="93"/>
      <c r="QSM18" s="93"/>
      <c r="QSN18" s="88"/>
      <c r="QSO18" s="88"/>
      <c r="QSP18" s="90"/>
      <c r="QSQ18" s="93"/>
      <c r="QSR18" s="88"/>
      <c r="QSS18" s="88"/>
      <c r="QST18" s="90"/>
      <c r="QSU18" s="93"/>
      <c r="QSV18" s="88"/>
      <c r="QSW18" s="88"/>
      <c r="QSX18" s="91"/>
      <c r="QSY18" s="93"/>
      <c r="QSZ18" s="93"/>
      <c r="QTA18" s="88"/>
      <c r="QTB18" s="88"/>
      <c r="QTC18" s="90"/>
      <c r="QTD18" s="93"/>
      <c r="QTE18" s="88"/>
      <c r="QTF18" s="88"/>
      <c r="QTG18" s="90"/>
      <c r="QTH18" s="93"/>
      <c r="QTI18" s="88"/>
      <c r="QTJ18" s="88"/>
      <c r="QTK18" s="91"/>
      <c r="QTL18" s="93"/>
      <c r="QTM18" s="93"/>
      <c r="QTN18" s="88"/>
      <c r="QTO18" s="88"/>
      <c r="QTP18" s="90"/>
      <c r="QTQ18" s="93"/>
      <c r="QTR18" s="88"/>
      <c r="QTS18" s="88"/>
      <c r="QTT18" s="90"/>
      <c r="QTU18" s="93"/>
      <c r="QTV18" s="88"/>
      <c r="QTW18" s="88"/>
      <c r="QTX18" s="91"/>
      <c r="QTY18" s="93"/>
      <c r="QTZ18" s="93"/>
      <c r="QUA18" s="88"/>
      <c r="QUB18" s="88"/>
      <c r="QUC18" s="90"/>
      <c r="QUD18" s="93"/>
      <c r="QUE18" s="88"/>
      <c r="QUF18" s="88"/>
      <c r="QUG18" s="90"/>
      <c r="QUH18" s="93"/>
      <c r="QUI18" s="88"/>
      <c r="QUJ18" s="88"/>
      <c r="QUK18" s="91"/>
      <c r="QUL18" s="93"/>
      <c r="QUM18" s="93"/>
      <c r="QUN18" s="88"/>
      <c r="QUO18" s="88"/>
      <c r="QUP18" s="90"/>
      <c r="QUQ18" s="93"/>
      <c r="QUR18" s="88"/>
      <c r="QUS18" s="88"/>
      <c r="QUT18" s="90"/>
      <c r="QUU18" s="93"/>
      <c r="QUV18" s="88"/>
      <c r="QUW18" s="88"/>
      <c r="QUX18" s="91"/>
      <c r="QUY18" s="93"/>
      <c r="QUZ18" s="93"/>
      <c r="QVA18" s="88"/>
      <c r="QVB18" s="88"/>
      <c r="QVC18" s="90"/>
      <c r="QVD18" s="93"/>
      <c r="QVE18" s="88"/>
      <c r="QVF18" s="88"/>
      <c r="QVG18" s="90"/>
      <c r="QVH18" s="93"/>
      <c r="QVI18" s="88"/>
      <c r="QVJ18" s="88"/>
      <c r="QVK18" s="91"/>
      <c r="QVL18" s="93"/>
      <c r="QVM18" s="93"/>
      <c r="QVN18" s="88"/>
      <c r="QVO18" s="88"/>
      <c r="QVP18" s="90"/>
      <c r="QVQ18" s="93"/>
      <c r="QVR18" s="88"/>
      <c r="QVS18" s="88"/>
      <c r="QVT18" s="90"/>
      <c r="QVU18" s="93"/>
      <c r="QVV18" s="88"/>
      <c r="QVW18" s="88"/>
      <c r="QVX18" s="91"/>
      <c r="QVY18" s="93"/>
      <c r="QVZ18" s="93"/>
      <c r="QWA18" s="88"/>
      <c r="QWB18" s="88"/>
      <c r="QWC18" s="90"/>
      <c r="QWD18" s="93"/>
      <c r="QWE18" s="88"/>
      <c r="QWF18" s="88"/>
      <c r="QWG18" s="90"/>
      <c r="QWH18" s="93"/>
      <c r="QWI18" s="88"/>
      <c r="QWJ18" s="88"/>
      <c r="QWK18" s="91"/>
      <c r="QWL18" s="93"/>
      <c r="QWM18" s="93"/>
      <c r="QWN18" s="88"/>
      <c r="QWO18" s="88"/>
      <c r="QWP18" s="90"/>
      <c r="QWQ18" s="93"/>
      <c r="QWR18" s="88"/>
      <c r="QWS18" s="88"/>
      <c r="QWT18" s="90"/>
      <c r="QWU18" s="93"/>
      <c r="QWV18" s="88"/>
      <c r="QWW18" s="88"/>
      <c r="QWX18" s="91"/>
      <c r="QWY18" s="93"/>
      <c r="QWZ18" s="93"/>
      <c r="QXA18" s="88"/>
      <c r="QXB18" s="88"/>
      <c r="QXC18" s="90"/>
      <c r="QXD18" s="93"/>
      <c r="QXE18" s="88"/>
      <c r="QXF18" s="88"/>
      <c r="QXG18" s="90"/>
      <c r="QXH18" s="93"/>
      <c r="QXI18" s="88"/>
      <c r="QXJ18" s="88"/>
      <c r="QXK18" s="91"/>
      <c r="QXL18" s="93"/>
      <c r="QXM18" s="93"/>
      <c r="QXN18" s="88"/>
      <c r="QXO18" s="88"/>
      <c r="QXP18" s="90"/>
      <c r="QXQ18" s="93"/>
      <c r="QXR18" s="88"/>
      <c r="QXS18" s="88"/>
      <c r="QXT18" s="90"/>
      <c r="QXU18" s="93"/>
      <c r="QXV18" s="88"/>
      <c r="QXW18" s="88"/>
      <c r="QXX18" s="91"/>
      <c r="QXY18" s="93"/>
      <c r="QXZ18" s="93"/>
      <c r="QYA18" s="88"/>
      <c r="QYB18" s="88"/>
      <c r="QYC18" s="90"/>
      <c r="QYD18" s="93"/>
      <c r="QYE18" s="88"/>
      <c r="QYF18" s="88"/>
      <c r="QYG18" s="90"/>
      <c r="QYH18" s="93"/>
      <c r="QYI18" s="88"/>
      <c r="QYJ18" s="88"/>
      <c r="QYK18" s="91"/>
      <c r="QYL18" s="93"/>
      <c r="QYM18" s="93"/>
      <c r="QYN18" s="88"/>
      <c r="QYO18" s="88"/>
      <c r="QYP18" s="90"/>
      <c r="QYQ18" s="93"/>
      <c r="QYR18" s="88"/>
      <c r="QYS18" s="88"/>
      <c r="QYT18" s="90"/>
      <c r="QYU18" s="93"/>
      <c r="QYV18" s="88"/>
      <c r="QYW18" s="88"/>
      <c r="QYX18" s="91"/>
      <c r="QYY18" s="93"/>
      <c r="QYZ18" s="93"/>
      <c r="QZA18" s="88"/>
      <c r="QZB18" s="88"/>
      <c r="QZC18" s="90"/>
      <c r="QZD18" s="93"/>
      <c r="QZE18" s="88"/>
      <c r="QZF18" s="88"/>
      <c r="QZG18" s="90"/>
      <c r="QZH18" s="93"/>
      <c r="QZI18" s="88"/>
      <c r="QZJ18" s="88"/>
      <c r="QZK18" s="91"/>
      <c r="QZL18" s="93"/>
      <c r="QZM18" s="93"/>
      <c r="QZN18" s="88"/>
      <c r="QZO18" s="88"/>
      <c r="QZP18" s="90"/>
      <c r="QZQ18" s="93"/>
      <c r="QZR18" s="88"/>
      <c r="QZS18" s="88"/>
      <c r="QZT18" s="90"/>
      <c r="QZU18" s="93"/>
      <c r="QZV18" s="88"/>
      <c r="QZW18" s="88"/>
      <c r="QZX18" s="91"/>
      <c r="QZY18" s="93"/>
      <c r="QZZ18" s="93"/>
      <c r="RAA18" s="88"/>
      <c r="RAB18" s="88"/>
      <c r="RAC18" s="90"/>
      <c r="RAD18" s="93"/>
      <c r="RAE18" s="88"/>
      <c r="RAF18" s="88"/>
      <c r="RAG18" s="90"/>
      <c r="RAH18" s="93"/>
      <c r="RAI18" s="88"/>
      <c r="RAJ18" s="88"/>
      <c r="RAK18" s="91"/>
      <c r="RAL18" s="93"/>
      <c r="RAM18" s="93"/>
      <c r="RAN18" s="88"/>
      <c r="RAO18" s="88"/>
      <c r="RAP18" s="90"/>
      <c r="RAQ18" s="93"/>
      <c r="RAR18" s="88"/>
      <c r="RAS18" s="88"/>
      <c r="RAT18" s="90"/>
      <c r="RAU18" s="93"/>
      <c r="RAV18" s="88"/>
      <c r="RAW18" s="88"/>
      <c r="RAX18" s="91"/>
      <c r="RAY18" s="93"/>
      <c r="RAZ18" s="93"/>
      <c r="RBA18" s="88"/>
      <c r="RBB18" s="88"/>
      <c r="RBC18" s="90"/>
      <c r="RBD18" s="93"/>
      <c r="RBE18" s="88"/>
      <c r="RBF18" s="88"/>
      <c r="RBG18" s="90"/>
      <c r="RBH18" s="93"/>
      <c r="RBI18" s="88"/>
      <c r="RBJ18" s="88"/>
      <c r="RBK18" s="91"/>
      <c r="RBL18" s="93"/>
      <c r="RBM18" s="93"/>
      <c r="RBN18" s="88"/>
      <c r="RBO18" s="88"/>
      <c r="RBP18" s="90"/>
      <c r="RBQ18" s="93"/>
      <c r="RBR18" s="88"/>
      <c r="RBS18" s="88"/>
      <c r="RBT18" s="90"/>
      <c r="RBU18" s="93"/>
      <c r="RBV18" s="88"/>
      <c r="RBW18" s="88"/>
      <c r="RBX18" s="91"/>
      <c r="RBY18" s="93"/>
      <c r="RBZ18" s="93"/>
      <c r="RCA18" s="88"/>
      <c r="RCB18" s="88"/>
      <c r="RCC18" s="90"/>
      <c r="RCD18" s="93"/>
      <c r="RCE18" s="88"/>
      <c r="RCF18" s="88"/>
      <c r="RCG18" s="90"/>
      <c r="RCH18" s="93"/>
      <c r="RCI18" s="88"/>
      <c r="RCJ18" s="88"/>
      <c r="RCK18" s="91"/>
      <c r="RCL18" s="93"/>
      <c r="RCM18" s="93"/>
      <c r="RCN18" s="88"/>
      <c r="RCO18" s="88"/>
      <c r="RCP18" s="90"/>
      <c r="RCQ18" s="93"/>
      <c r="RCR18" s="88"/>
      <c r="RCS18" s="88"/>
      <c r="RCT18" s="90"/>
      <c r="RCU18" s="93"/>
      <c r="RCV18" s="88"/>
      <c r="RCW18" s="88"/>
      <c r="RCX18" s="91"/>
      <c r="RCY18" s="93"/>
      <c r="RCZ18" s="93"/>
      <c r="RDA18" s="88"/>
      <c r="RDB18" s="88"/>
      <c r="RDC18" s="90"/>
      <c r="RDD18" s="93"/>
      <c r="RDE18" s="88"/>
      <c r="RDF18" s="88"/>
      <c r="RDG18" s="90"/>
      <c r="RDH18" s="93"/>
      <c r="RDI18" s="88"/>
      <c r="RDJ18" s="88"/>
      <c r="RDK18" s="91"/>
      <c r="RDL18" s="93"/>
      <c r="RDM18" s="93"/>
      <c r="RDN18" s="88"/>
      <c r="RDO18" s="88"/>
      <c r="RDP18" s="90"/>
      <c r="RDQ18" s="93"/>
      <c r="RDR18" s="88"/>
      <c r="RDS18" s="88"/>
      <c r="RDT18" s="90"/>
      <c r="RDU18" s="93"/>
      <c r="RDV18" s="88"/>
      <c r="RDW18" s="88"/>
      <c r="RDX18" s="91"/>
      <c r="RDY18" s="93"/>
      <c r="RDZ18" s="93"/>
      <c r="REA18" s="88"/>
      <c r="REB18" s="88"/>
      <c r="REC18" s="90"/>
      <c r="RED18" s="93"/>
      <c r="REE18" s="88"/>
      <c r="REF18" s="88"/>
      <c r="REG18" s="90"/>
      <c r="REH18" s="93"/>
      <c r="REI18" s="88"/>
      <c r="REJ18" s="88"/>
      <c r="REK18" s="91"/>
      <c r="REL18" s="93"/>
      <c r="REM18" s="93"/>
      <c r="REN18" s="88"/>
      <c r="REO18" s="88"/>
      <c r="REP18" s="90"/>
      <c r="REQ18" s="93"/>
      <c r="RER18" s="88"/>
      <c r="RES18" s="88"/>
      <c r="RET18" s="90"/>
      <c r="REU18" s="93"/>
      <c r="REV18" s="88"/>
      <c r="REW18" s="88"/>
      <c r="REX18" s="91"/>
      <c r="REY18" s="93"/>
      <c r="REZ18" s="93"/>
      <c r="RFA18" s="88"/>
      <c r="RFB18" s="88"/>
      <c r="RFC18" s="90"/>
      <c r="RFD18" s="93"/>
      <c r="RFE18" s="88"/>
      <c r="RFF18" s="88"/>
      <c r="RFG18" s="90"/>
      <c r="RFH18" s="93"/>
      <c r="RFI18" s="88"/>
      <c r="RFJ18" s="88"/>
      <c r="RFK18" s="91"/>
      <c r="RFL18" s="93"/>
      <c r="RFM18" s="93"/>
      <c r="RFN18" s="88"/>
      <c r="RFO18" s="88"/>
      <c r="RFP18" s="90"/>
      <c r="RFQ18" s="93"/>
      <c r="RFR18" s="88"/>
      <c r="RFS18" s="88"/>
      <c r="RFT18" s="90"/>
      <c r="RFU18" s="93"/>
      <c r="RFV18" s="88"/>
      <c r="RFW18" s="88"/>
      <c r="RFX18" s="91"/>
      <c r="RFY18" s="93"/>
      <c r="RFZ18" s="93"/>
      <c r="RGA18" s="88"/>
      <c r="RGB18" s="88"/>
      <c r="RGC18" s="90"/>
      <c r="RGD18" s="93"/>
      <c r="RGE18" s="88"/>
      <c r="RGF18" s="88"/>
      <c r="RGG18" s="90"/>
      <c r="RGH18" s="93"/>
      <c r="RGI18" s="88"/>
      <c r="RGJ18" s="88"/>
      <c r="RGK18" s="91"/>
      <c r="RGL18" s="93"/>
      <c r="RGM18" s="93"/>
      <c r="RGN18" s="88"/>
      <c r="RGO18" s="88"/>
      <c r="RGP18" s="90"/>
      <c r="RGQ18" s="93"/>
      <c r="RGR18" s="88"/>
      <c r="RGS18" s="88"/>
      <c r="RGT18" s="90"/>
      <c r="RGU18" s="93"/>
      <c r="RGV18" s="88"/>
      <c r="RGW18" s="88"/>
      <c r="RGX18" s="91"/>
      <c r="RGY18" s="93"/>
      <c r="RGZ18" s="93"/>
      <c r="RHA18" s="88"/>
      <c r="RHB18" s="88"/>
      <c r="RHC18" s="90"/>
      <c r="RHD18" s="93"/>
      <c r="RHE18" s="88"/>
      <c r="RHF18" s="88"/>
      <c r="RHG18" s="90"/>
      <c r="RHH18" s="93"/>
      <c r="RHI18" s="88"/>
      <c r="RHJ18" s="88"/>
      <c r="RHK18" s="91"/>
      <c r="RHL18" s="93"/>
      <c r="RHM18" s="93"/>
      <c r="RHN18" s="88"/>
      <c r="RHO18" s="88"/>
      <c r="RHP18" s="90"/>
      <c r="RHQ18" s="93"/>
      <c r="RHR18" s="88"/>
      <c r="RHS18" s="88"/>
      <c r="RHT18" s="90"/>
      <c r="RHU18" s="93"/>
      <c r="RHV18" s="88"/>
      <c r="RHW18" s="88"/>
      <c r="RHX18" s="91"/>
      <c r="RHY18" s="93"/>
      <c r="RHZ18" s="93"/>
      <c r="RIA18" s="88"/>
      <c r="RIB18" s="88"/>
      <c r="RIC18" s="90"/>
      <c r="RID18" s="93"/>
      <c r="RIE18" s="88"/>
      <c r="RIF18" s="88"/>
      <c r="RIG18" s="90"/>
      <c r="RIH18" s="93"/>
      <c r="RII18" s="88"/>
      <c r="RIJ18" s="88"/>
      <c r="RIK18" s="91"/>
      <c r="RIL18" s="93"/>
      <c r="RIM18" s="93"/>
      <c r="RIN18" s="88"/>
      <c r="RIO18" s="88"/>
      <c r="RIP18" s="90"/>
      <c r="RIQ18" s="93"/>
      <c r="RIR18" s="88"/>
      <c r="RIS18" s="88"/>
      <c r="RIT18" s="90"/>
      <c r="RIU18" s="93"/>
      <c r="RIV18" s="88"/>
      <c r="RIW18" s="88"/>
      <c r="RIX18" s="91"/>
      <c r="RIY18" s="93"/>
      <c r="RIZ18" s="93"/>
      <c r="RJA18" s="88"/>
      <c r="RJB18" s="88"/>
      <c r="RJC18" s="90"/>
      <c r="RJD18" s="93"/>
      <c r="RJE18" s="88"/>
      <c r="RJF18" s="88"/>
      <c r="RJG18" s="90"/>
      <c r="RJH18" s="93"/>
      <c r="RJI18" s="88"/>
      <c r="RJJ18" s="88"/>
      <c r="RJK18" s="91"/>
      <c r="RJL18" s="93"/>
      <c r="RJM18" s="93"/>
      <c r="RJN18" s="88"/>
      <c r="RJO18" s="88"/>
      <c r="RJP18" s="90"/>
      <c r="RJQ18" s="93"/>
      <c r="RJR18" s="88"/>
      <c r="RJS18" s="88"/>
      <c r="RJT18" s="90"/>
      <c r="RJU18" s="93"/>
      <c r="RJV18" s="88"/>
      <c r="RJW18" s="88"/>
      <c r="RJX18" s="91"/>
      <c r="RJY18" s="93"/>
      <c r="RJZ18" s="93"/>
      <c r="RKA18" s="88"/>
      <c r="RKB18" s="88"/>
      <c r="RKC18" s="90"/>
      <c r="RKD18" s="93"/>
      <c r="RKE18" s="88"/>
      <c r="RKF18" s="88"/>
      <c r="RKG18" s="90"/>
      <c r="RKH18" s="93"/>
      <c r="RKI18" s="88"/>
      <c r="RKJ18" s="88"/>
      <c r="RKK18" s="91"/>
      <c r="RKL18" s="93"/>
      <c r="RKM18" s="93"/>
      <c r="RKN18" s="88"/>
      <c r="RKO18" s="88"/>
      <c r="RKP18" s="90"/>
      <c r="RKQ18" s="93"/>
      <c r="RKR18" s="88"/>
      <c r="RKS18" s="88"/>
      <c r="RKT18" s="90"/>
      <c r="RKU18" s="93"/>
      <c r="RKV18" s="88"/>
      <c r="RKW18" s="88"/>
      <c r="RKX18" s="91"/>
      <c r="RKY18" s="93"/>
      <c r="RKZ18" s="93"/>
      <c r="RLA18" s="88"/>
      <c r="RLB18" s="88"/>
      <c r="RLC18" s="90"/>
      <c r="RLD18" s="93"/>
      <c r="RLE18" s="88"/>
      <c r="RLF18" s="88"/>
      <c r="RLG18" s="90"/>
      <c r="RLH18" s="93"/>
      <c r="RLI18" s="88"/>
      <c r="RLJ18" s="88"/>
      <c r="RLK18" s="91"/>
      <c r="RLL18" s="93"/>
      <c r="RLM18" s="93"/>
      <c r="RLN18" s="88"/>
      <c r="RLO18" s="88"/>
      <c r="RLP18" s="90"/>
      <c r="RLQ18" s="93"/>
      <c r="RLR18" s="88"/>
      <c r="RLS18" s="88"/>
      <c r="RLT18" s="90"/>
      <c r="RLU18" s="93"/>
      <c r="RLV18" s="88"/>
      <c r="RLW18" s="88"/>
      <c r="RLX18" s="91"/>
      <c r="RLY18" s="93"/>
      <c r="RLZ18" s="93"/>
      <c r="RMA18" s="88"/>
      <c r="RMB18" s="88"/>
      <c r="RMC18" s="90"/>
      <c r="RMD18" s="93"/>
      <c r="RME18" s="88"/>
      <c r="RMF18" s="88"/>
      <c r="RMG18" s="90"/>
      <c r="RMH18" s="93"/>
      <c r="RMI18" s="88"/>
      <c r="RMJ18" s="88"/>
      <c r="RMK18" s="91"/>
      <c r="RML18" s="93"/>
      <c r="RMM18" s="93"/>
      <c r="RMN18" s="88"/>
      <c r="RMO18" s="88"/>
      <c r="RMP18" s="90"/>
      <c r="RMQ18" s="93"/>
      <c r="RMR18" s="88"/>
      <c r="RMS18" s="88"/>
      <c r="RMT18" s="90"/>
      <c r="RMU18" s="93"/>
      <c r="RMV18" s="88"/>
      <c r="RMW18" s="88"/>
      <c r="RMX18" s="91"/>
      <c r="RMY18" s="93"/>
      <c r="RMZ18" s="93"/>
      <c r="RNA18" s="88"/>
      <c r="RNB18" s="88"/>
      <c r="RNC18" s="90"/>
      <c r="RND18" s="93"/>
      <c r="RNE18" s="88"/>
      <c r="RNF18" s="88"/>
      <c r="RNG18" s="90"/>
      <c r="RNH18" s="93"/>
      <c r="RNI18" s="88"/>
      <c r="RNJ18" s="88"/>
      <c r="RNK18" s="91"/>
      <c r="RNL18" s="93"/>
      <c r="RNM18" s="93"/>
      <c r="RNN18" s="88"/>
      <c r="RNO18" s="88"/>
      <c r="RNP18" s="90"/>
      <c r="RNQ18" s="93"/>
      <c r="RNR18" s="88"/>
      <c r="RNS18" s="88"/>
      <c r="RNT18" s="90"/>
      <c r="RNU18" s="93"/>
      <c r="RNV18" s="88"/>
      <c r="RNW18" s="88"/>
      <c r="RNX18" s="91"/>
      <c r="RNY18" s="93"/>
      <c r="RNZ18" s="93"/>
      <c r="ROA18" s="88"/>
      <c r="ROB18" s="88"/>
      <c r="ROC18" s="90"/>
      <c r="ROD18" s="93"/>
      <c r="ROE18" s="88"/>
      <c r="ROF18" s="88"/>
      <c r="ROG18" s="90"/>
      <c r="ROH18" s="93"/>
      <c r="ROI18" s="88"/>
      <c r="ROJ18" s="88"/>
      <c r="ROK18" s="91"/>
      <c r="ROL18" s="93"/>
      <c r="ROM18" s="93"/>
      <c r="RON18" s="88"/>
      <c r="ROO18" s="88"/>
      <c r="ROP18" s="90"/>
      <c r="ROQ18" s="93"/>
      <c r="ROR18" s="88"/>
      <c r="ROS18" s="88"/>
      <c r="ROT18" s="90"/>
      <c r="ROU18" s="93"/>
      <c r="ROV18" s="88"/>
      <c r="ROW18" s="88"/>
      <c r="ROX18" s="91"/>
      <c r="ROY18" s="93"/>
      <c r="ROZ18" s="93"/>
      <c r="RPA18" s="88"/>
      <c r="RPB18" s="88"/>
      <c r="RPC18" s="90"/>
      <c r="RPD18" s="93"/>
      <c r="RPE18" s="88"/>
      <c r="RPF18" s="88"/>
      <c r="RPG18" s="90"/>
      <c r="RPH18" s="93"/>
      <c r="RPI18" s="88"/>
      <c r="RPJ18" s="88"/>
      <c r="RPK18" s="91"/>
      <c r="RPL18" s="93"/>
      <c r="RPM18" s="93"/>
      <c r="RPN18" s="88"/>
      <c r="RPO18" s="88"/>
      <c r="RPP18" s="90"/>
      <c r="RPQ18" s="93"/>
      <c r="RPR18" s="88"/>
      <c r="RPS18" s="88"/>
      <c r="RPT18" s="90"/>
      <c r="RPU18" s="93"/>
      <c r="RPV18" s="88"/>
      <c r="RPW18" s="88"/>
      <c r="RPX18" s="91"/>
      <c r="RPY18" s="93"/>
      <c r="RPZ18" s="93"/>
      <c r="RQA18" s="88"/>
      <c r="RQB18" s="88"/>
      <c r="RQC18" s="90"/>
      <c r="RQD18" s="93"/>
      <c r="RQE18" s="88"/>
      <c r="RQF18" s="88"/>
      <c r="RQG18" s="90"/>
      <c r="RQH18" s="93"/>
      <c r="RQI18" s="88"/>
      <c r="RQJ18" s="88"/>
      <c r="RQK18" s="91"/>
      <c r="RQL18" s="93"/>
      <c r="RQM18" s="93"/>
      <c r="RQN18" s="88"/>
      <c r="RQO18" s="88"/>
      <c r="RQP18" s="90"/>
      <c r="RQQ18" s="93"/>
      <c r="RQR18" s="88"/>
      <c r="RQS18" s="88"/>
      <c r="RQT18" s="90"/>
      <c r="RQU18" s="93"/>
      <c r="RQV18" s="88"/>
      <c r="RQW18" s="88"/>
      <c r="RQX18" s="91"/>
      <c r="RQY18" s="93"/>
      <c r="RQZ18" s="93"/>
      <c r="RRA18" s="88"/>
      <c r="RRB18" s="88"/>
      <c r="RRC18" s="90"/>
      <c r="RRD18" s="93"/>
      <c r="RRE18" s="88"/>
      <c r="RRF18" s="88"/>
      <c r="RRG18" s="90"/>
      <c r="RRH18" s="93"/>
      <c r="RRI18" s="88"/>
      <c r="RRJ18" s="88"/>
      <c r="RRK18" s="91"/>
      <c r="RRL18" s="93"/>
      <c r="RRM18" s="93"/>
      <c r="RRN18" s="88"/>
      <c r="RRO18" s="88"/>
      <c r="RRP18" s="90"/>
      <c r="RRQ18" s="93"/>
      <c r="RRR18" s="88"/>
      <c r="RRS18" s="88"/>
      <c r="RRT18" s="90"/>
      <c r="RRU18" s="93"/>
      <c r="RRV18" s="88"/>
      <c r="RRW18" s="88"/>
      <c r="RRX18" s="91"/>
      <c r="RRY18" s="93"/>
      <c r="RRZ18" s="93"/>
      <c r="RSA18" s="88"/>
      <c r="RSB18" s="88"/>
      <c r="RSC18" s="90"/>
      <c r="RSD18" s="93"/>
      <c r="RSE18" s="88"/>
      <c r="RSF18" s="88"/>
      <c r="RSG18" s="90"/>
      <c r="RSH18" s="93"/>
      <c r="RSI18" s="88"/>
      <c r="RSJ18" s="88"/>
      <c r="RSK18" s="91"/>
      <c r="RSL18" s="93"/>
      <c r="RSM18" s="93"/>
      <c r="RSN18" s="88"/>
      <c r="RSO18" s="88"/>
      <c r="RSP18" s="90"/>
      <c r="RSQ18" s="93"/>
      <c r="RSR18" s="88"/>
      <c r="RSS18" s="88"/>
      <c r="RST18" s="90"/>
      <c r="RSU18" s="93"/>
      <c r="RSV18" s="88"/>
      <c r="RSW18" s="88"/>
      <c r="RSX18" s="91"/>
      <c r="RSY18" s="93"/>
      <c r="RSZ18" s="93"/>
      <c r="RTA18" s="88"/>
      <c r="RTB18" s="88"/>
      <c r="RTC18" s="90"/>
      <c r="RTD18" s="93"/>
      <c r="RTE18" s="88"/>
      <c r="RTF18" s="88"/>
      <c r="RTG18" s="90"/>
      <c r="RTH18" s="93"/>
      <c r="RTI18" s="88"/>
      <c r="RTJ18" s="88"/>
      <c r="RTK18" s="91"/>
      <c r="RTL18" s="93"/>
      <c r="RTM18" s="93"/>
      <c r="RTN18" s="88"/>
      <c r="RTO18" s="88"/>
      <c r="RTP18" s="90"/>
      <c r="RTQ18" s="93"/>
      <c r="RTR18" s="88"/>
      <c r="RTS18" s="88"/>
      <c r="RTT18" s="90"/>
      <c r="RTU18" s="93"/>
      <c r="RTV18" s="88"/>
      <c r="RTW18" s="88"/>
      <c r="RTX18" s="91"/>
      <c r="RTY18" s="93"/>
      <c r="RTZ18" s="93"/>
      <c r="RUA18" s="88"/>
      <c r="RUB18" s="88"/>
      <c r="RUC18" s="90"/>
      <c r="RUD18" s="93"/>
      <c r="RUE18" s="88"/>
      <c r="RUF18" s="88"/>
      <c r="RUG18" s="90"/>
      <c r="RUH18" s="93"/>
      <c r="RUI18" s="88"/>
      <c r="RUJ18" s="88"/>
      <c r="RUK18" s="91"/>
      <c r="RUL18" s="93"/>
      <c r="RUM18" s="93"/>
      <c r="RUN18" s="88"/>
      <c r="RUO18" s="88"/>
      <c r="RUP18" s="90"/>
      <c r="RUQ18" s="93"/>
      <c r="RUR18" s="88"/>
      <c r="RUS18" s="88"/>
      <c r="RUT18" s="90"/>
      <c r="RUU18" s="93"/>
      <c r="RUV18" s="88"/>
      <c r="RUW18" s="88"/>
      <c r="RUX18" s="91"/>
      <c r="RUY18" s="93"/>
      <c r="RUZ18" s="93"/>
      <c r="RVA18" s="88"/>
      <c r="RVB18" s="88"/>
      <c r="RVC18" s="90"/>
      <c r="RVD18" s="93"/>
      <c r="RVE18" s="88"/>
      <c r="RVF18" s="88"/>
      <c r="RVG18" s="90"/>
      <c r="RVH18" s="93"/>
      <c r="RVI18" s="88"/>
      <c r="RVJ18" s="88"/>
      <c r="RVK18" s="91"/>
      <c r="RVL18" s="93"/>
      <c r="RVM18" s="93"/>
      <c r="RVN18" s="88"/>
      <c r="RVO18" s="88"/>
      <c r="RVP18" s="90"/>
      <c r="RVQ18" s="93"/>
      <c r="RVR18" s="88"/>
      <c r="RVS18" s="88"/>
      <c r="RVT18" s="90"/>
      <c r="RVU18" s="93"/>
      <c r="RVV18" s="88"/>
      <c r="RVW18" s="88"/>
      <c r="RVX18" s="91"/>
      <c r="RVY18" s="93"/>
      <c r="RVZ18" s="93"/>
      <c r="RWA18" s="88"/>
      <c r="RWB18" s="88"/>
      <c r="RWC18" s="90"/>
      <c r="RWD18" s="93"/>
      <c r="RWE18" s="88"/>
      <c r="RWF18" s="88"/>
      <c r="RWG18" s="90"/>
      <c r="RWH18" s="93"/>
      <c r="RWI18" s="88"/>
      <c r="RWJ18" s="88"/>
      <c r="RWK18" s="91"/>
      <c r="RWL18" s="93"/>
      <c r="RWM18" s="93"/>
      <c r="RWN18" s="88"/>
      <c r="RWO18" s="88"/>
      <c r="RWP18" s="90"/>
      <c r="RWQ18" s="93"/>
      <c r="RWR18" s="88"/>
      <c r="RWS18" s="88"/>
      <c r="RWT18" s="90"/>
      <c r="RWU18" s="93"/>
      <c r="RWV18" s="88"/>
      <c r="RWW18" s="88"/>
      <c r="RWX18" s="91"/>
      <c r="RWY18" s="93"/>
      <c r="RWZ18" s="93"/>
      <c r="RXA18" s="88"/>
      <c r="RXB18" s="88"/>
      <c r="RXC18" s="90"/>
      <c r="RXD18" s="93"/>
      <c r="RXE18" s="88"/>
      <c r="RXF18" s="88"/>
      <c r="RXG18" s="90"/>
      <c r="RXH18" s="93"/>
      <c r="RXI18" s="88"/>
      <c r="RXJ18" s="88"/>
      <c r="RXK18" s="91"/>
      <c r="RXL18" s="93"/>
      <c r="RXM18" s="93"/>
      <c r="RXN18" s="88"/>
      <c r="RXO18" s="88"/>
      <c r="RXP18" s="90"/>
      <c r="RXQ18" s="93"/>
      <c r="RXR18" s="88"/>
      <c r="RXS18" s="88"/>
      <c r="RXT18" s="90"/>
      <c r="RXU18" s="93"/>
      <c r="RXV18" s="88"/>
      <c r="RXW18" s="88"/>
      <c r="RXX18" s="91"/>
      <c r="RXY18" s="93"/>
      <c r="RXZ18" s="93"/>
      <c r="RYA18" s="88"/>
      <c r="RYB18" s="88"/>
      <c r="RYC18" s="90"/>
      <c r="RYD18" s="93"/>
      <c r="RYE18" s="88"/>
      <c r="RYF18" s="88"/>
      <c r="RYG18" s="90"/>
      <c r="RYH18" s="93"/>
      <c r="RYI18" s="88"/>
      <c r="RYJ18" s="88"/>
      <c r="RYK18" s="91"/>
      <c r="RYL18" s="93"/>
      <c r="RYM18" s="93"/>
      <c r="RYN18" s="88"/>
      <c r="RYO18" s="88"/>
      <c r="RYP18" s="90"/>
      <c r="RYQ18" s="93"/>
      <c r="RYR18" s="88"/>
      <c r="RYS18" s="88"/>
      <c r="RYT18" s="90"/>
      <c r="RYU18" s="93"/>
      <c r="RYV18" s="88"/>
      <c r="RYW18" s="88"/>
      <c r="RYX18" s="91"/>
      <c r="RYY18" s="93"/>
      <c r="RYZ18" s="93"/>
      <c r="RZA18" s="88"/>
      <c r="RZB18" s="88"/>
      <c r="RZC18" s="90"/>
      <c r="RZD18" s="93"/>
      <c r="RZE18" s="88"/>
      <c r="RZF18" s="88"/>
      <c r="RZG18" s="90"/>
      <c r="RZH18" s="93"/>
      <c r="RZI18" s="88"/>
      <c r="RZJ18" s="88"/>
      <c r="RZK18" s="91"/>
      <c r="RZL18" s="93"/>
      <c r="RZM18" s="93"/>
      <c r="RZN18" s="88"/>
      <c r="RZO18" s="88"/>
      <c r="RZP18" s="90"/>
      <c r="RZQ18" s="93"/>
      <c r="RZR18" s="88"/>
      <c r="RZS18" s="88"/>
      <c r="RZT18" s="90"/>
      <c r="RZU18" s="93"/>
      <c r="RZV18" s="88"/>
      <c r="RZW18" s="88"/>
      <c r="RZX18" s="91"/>
      <c r="RZY18" s="93"/>
      <c r="RZZ18" s="93"/>
      <c r="SAA18" s="88"/>
      <c r="SAB18" s="88"/>
      <c r="SAC18" s="90"/>
      <c r="SAD18" s="93"/>
      <c r="SAE18" s="88"/>
      <c r="SAF18" s="88"/>
      <c r="SAG18" s="90"/>
      <c r="SAH18" s="93"/>
      <c r="SAI18" s="88"/>
      <c r="SAJ18" s="88"/>
      <c r="SAK18" s="91"/>
      <c r="SAL18" s="93"/>
      <c r="SAM18" s="93"/>
      <c r="SAN18" s="88"/>
      <c r="SAO18" s="88"/>
      <c r="SAP18" s="90"/>
      <c r="SAQ18" s="93"/>
      <c r="SAR18" s="88"/>
      <c r="SAS18" s="88"/>
      <c r="SAT18" s="90"/>
      <c r="SAU18" s="93"/>
      <c r="SAV18" s="88"/>
      <c r="SAW18" s="88"/>
      <c r="SAX18" s="91"/>
      <c r="SAY18" s="93"/>
      <c r="SAZ18" s="93"/>
      <c r="SBA18" s="88"/>
      <c r="SBB18" s="88"/>
      <c r="SBC18" s="90"/>
      <c r="SBD18" s="93"/>
      <c r="SBE18" s="88"/>
      <c r="SBF18" s="88"/>
      <c r="SBG18" s="90"/>
      <c r="SBH18" s="93"/>
      <c r="SBI18" s="88"/>
      <c r="SBJ18" s="88"/>
      <c r="SBK18" s="91"/>
      <c r="SBL18" s="93"/>
      <c r="SBM18" s="93"/>
      <c r="SBN18" s="88"/>
      <c r="SBO18" s="88"/>
      <c r="SBP18" s="90"/>
      <c r="SBQ18" s="93"/>
      <c r="SBR18" s="88"/>
      <c r="SBS18" s="88"/>
      <c r="SBT18" s="90"/>
      <c r="SBU18" s="93"/>
      <c r="SBV18" s="88"/>
      <c r="SBW18" s="88"/>
      <c r="SBX18" s="91"/>
      <c r="SBY18" s="93"/>
      <c r="SBZ18" s="93"/>
      <c r="SCA18" s="88"/>
      <c r="SCB18" s="88"/>
      <c r="SCC18" s="90"/>
      <c r="SCD18" s="93"/>
      <c r="SCE18" s="88"/>
      <c r="SCF18" s="88"/>
      <c r="SCG18" s="90"/>
      <c r="SCH18" s="93"/>
      <c r="SCI18" s="88"/>
      <c r="SCJ18" s="88"/>
      <c r="SCK18" s="91"/>
      <c r="SCL18" s="93"/>
      <c r="SCM18" s="93"/>
      <c r="SCN18" s="88"/>
      <c r="SCO18" s="88"/>
      <c r="SCP18" s="90"/>
      <c r="SCQ18" s="93"/>
      <c r="SCR18" s="88"/>
      <c r="SCS18" s="88"/>
      <c r="SCT18" s="90"/>
      <c r="SCU18" s="93"/>
      <c r="SCV18" s="88"/>
      <c r="SCW18" s="88"/>
      <c r="SCX18" s="91"/>
      <c r="SCY18" s="93"/>
      <c r="SCZ18" s="93"/>
      <c r="SDA18" s="88"/>
      <c r="SDB18" s="88"/>
      <c r="SDC18" s="90"/>
      <c r="SDD18" s="93"/>
      <c r="SDE18" s="88"/>
      <c r="SDF18" s="88"/>
      <c r="SDG18" s="90"/>
      <c r="SDH18" s="93"/>
      <c r="SDI18" s="88"/>
      <c r="SDJ18" s="88"/>
      <c r="SDK18" s="91"/>
      <c r="SDL18" s="93"/>
      <c r="SDM18" s="93"/>
      <c r="SDN18" s="88"/>
      <c r="SDO18" s="88"/>
      <c r="SDP18" s="90"/>
      <c r="SDQ18" s="93"/>
      <c r="SDR18" s="88"/>
      <c r="SDS18" s="88"/>
      <c r="SDT18" s="90"/>
      <c r="SDU18" s="93"/>
      <c r="SDV18" s="88"/>
      <c r="SDW18" s="88"/>
      <c r="SDX18" s="91"/>
      <c r="SDY18" s="93"/>
      <c r="SDZ18" s="93"/>
      <c r="SEA18" s="88"/>
      <c r="SEB18" s="88"/>
      <c r="SEC18" s="90"/>
      <c r="SED18" s="93"/>
      <c r="SEE18" s="88"/>
      <c r="SEF18" s="88"/>
      <c r="SEG18" s="90"/>
      <c r="SEH18" s="93"/>
      <c r="SEI18" s="88"/>
      <c r="SEJ18" s="88"/>
      <c r="SEK18" s="91"/>
      <c r="SEL18" s="93"/>
      <c r="SEM18" s="93"/>
      <c r="SEN18" s="88"/>
      <c r="SEO18" s="88"/>
      <c r="SEP18" s="90"/>
      <c r="SEQ18" s="93"/>
      <c r="SER18" s="88"/>
      <c r="SES18" s="88"/>
      <c r="SET18" s="90"/>
      <c r="SEU18" s="93"/>
      <c r="SEV18" s="88"/>
      <c r="SEW18" s="88"/>
      <c r="SEX18" s="91"/>
      <c r="SEY18" s="93"/>
      <c r="SEZ18" s="93"/>
      <c r="SFA18" s="88"/>
      <c r="SFB18" s="88"/>
      <c r="SFC18" s="90"/>
      <c r="SFD18" s="93"/>
      <c r="SFE18" s="88"/>
      <c r="SFF18" s="88"/>
      <c r="SFG18" s="90"/>
      <c r="SFH18" s="93"/>
      <c r="SFI18" s="88"/>
      <c r="SFJ18" s="88"/>
      <c r="SFK18" s="91"/>
      <c r="SFL18" s="93"/>
      <c r="SFM18" s="93"/>
      <c r="SFN18" s="88"/>
      <c r="SFO18" s="88"/>
      <c r="SFP18" s="90"/>
      <c r="SFQ18" s="93"/>
      <c r="SFR18" s="88"/>
      <c r="SFS18" s="88"/>
      <c r="SFT18" s="90"/>
      <c r="SFU18" s="93"/>
      <c r="SFV18" s="88"/>
      <c r="SFW18" s="88"/>
      <c r="SFX18" s="91"/>
      <c r="SFY18" s="93"/>
      <c r="SFZ18" s="93"/>
      <c r="SGA18" s="88"/>
      <c r="SGB18" s="88"/>
      <c r="SGC18" s="90"/>
      <c r="SGD18" s="93"/>
      <c r="SGE18" s="88"/>
      <c r="SGF18" s="88"/>
      <c r="SGG18" s="90"/>
      <c r="SGH18" s="93"/>
      <c r="SGI18" s="88"/>
      <c r="SGJ18" s="88"/>
      <c r="SGK18" s="91"/>
      <c r="SGL18" s="93"/>
      <c r="SGM18" s="93"/>
      <c r="SGN18" s="88"/>
      <c r="SGO18" s="88"/>
      <c r="SGP18" s="90"/>
      <c r="SGQ18" s="93"/>
      <c r="SGR18" s="88"/>
      <c r="SGS18" s="88"/>
      <c r="SGT18" s="90"/>
      <c r="SGU18" s="93"/>
      <c r="SGV18" s="88"/>
      <c r="SGW18" s="88"/>
      <c r="SGX18" s="91"/>
      <c r="SGY18" s="93"/>
      <c r="SGZ18" s="93"/>
      <c r="SHA18" s="88"/>
      <c r="SHB18" s="88"/>
      <c r="SHC18" s="90"/>
      <c r="SHD18" s="93"/>
      <c r="SHE18" s="88"/>
      <c r="SHF18" s="88"/>
      <c r="SHG18" s="90"/>
      <c r="SHH18" s="93"/>
      <c r="SHI18" s="88"/>
      <c r="SHJ18" s="88"/>
      <c r="SHK18" s="91"/>
      <c r="SHL18" s="93"/>
      <c r="SHM18" s="93"/>
      <c r="SHN18" s="88"/>
      <c r="SHO18" s="88"/>
      <c r="SHP18" s="90"/>
      <c r="SHQ18" s="93"/>
      <c r="SHR18" s="88"/>
      <c r="SHS18" s="88"/>
      <c r="SHT18" s="90"/>
      <c r="SHU18" s="93"/>
      <c r="SHV18" s="88"/>
      <c r="SHW18" s="88"/>
      <c r="SHX18" s="91"/>
      <c r="SHY18" s="93"/>
      <c r="SHZ18" s="93"/>
      <c r="SIA18" s="88"/>
      <c r="SIB18" s="88"/>
      <c r="SIC18" s="90"/>
      <c r="SID18" s="93"/>
      <c r="SIE18" s="88"/>
      <c r="SIF18" s="88"/>
      <c r="SIG18" s="90"/>
      <c r="SIH18" s="93"/>
      <c r="SII18" s="88"/>
      <c r="SIJ18" s="88"/>
      <c r="SIK18" s="91"/>
      <c r="SIL18" s="93"/>
      <c r="SIM18" s="93"/>
      <c r="SIN18" s="88"/>
      <c r="SIO18" s="88"/>
      <c r="SIP18" s="90"/>
      <c r="SIQ18" s="93"/>
      <c r="SIR18" s="88"/>
      <c r="SIS18" s="88"/>
      <c r="SIT18" s="90"/>
      <c r="SIU18" s="93"/>
      <c r="SIV18" s="88"/>
      <c r="SIW18" s="88"/>
      <c r="SIX18" s="91"/>
      <c r="SIY18" s="93"/>
      <c r="SIZ18" s="93"/>
      <c r="SJA18" s="88"/>
      <c r="SJB18" s="88"/>
      <c r="SJC18" s="90"/>
      <c r="SJD18" s="93"/>
      <c r="SJE18" s="88"/>
      <c r="SJF18" s="88"/>
      <c r="SJG18" s="90"/>
      <c r="SJH18" s="93"/>
      <c r="SJI18" s="88"/>
      <c r="SJJ18" s="88"/>
      <c r="SJK18" s="91"/>
      <c r="SJL18" s="93"/>
      <c r="SJM18" s="93"/>
      <c r="SJN18" s="88"/>
      <c r="SJO18" s="88"/>
      <c r="SJP18" s="90"/>
      <c r="SJQ18" s="93"/>
      <c r="SJR18" s="88"/>
      <c r="SJS18" s="88"/>
      <c r="SJT18" s="90"/>
      <c r="SJU18" s="93"/>
      <c r="SJV18" s="88"/>
      <c r="SJW18" s="88"/>
      <c r="SJX18" s="91"/>
      <c r="SJY18" s="93"/>
      <c r="SJZ18" s="93"/>
      <c r="SKA18" s="88"/>
      <c r="SKB18" s="88"/>
      <c r="SKC18" s="90"/>
      <c r="SKD18" s="93"/>
      <c r="SKE18" s="88"/>
      <c r="SKF18" s="88"/>
      <c r="SKG18" s="90"/>
      <c r="SKH18" s="93"/>
      <c r="SKI18" s="88"/>
      <c r="SKJ18" s="88"/>
      <c r="SKK18" s="91"/>
      <c r="SKL18" s="93"/>
      <c r="SKM18" s="93"/>
      <c r="SKN18" s="88"/>
      <c r="SKO18" s="88"/>
      <c r="SKP18" s="90"/>
      <c r="SKQ18" s="93"/>
      <c r="SKR18" s="88"/>
      <c r="SKS18" s="88"/>
      <c r="SKT18" s="90"/>
      <c r="SKU18" s="93"/>
      <c r="SKV18" s="88"/>
      <c r="SKW18" s="88"/>
      <c r="SKX18" s="91"/>
      <c r="SKY18" s="93"/>
      <c r="SKZ18" s="93"/>
      <c r="SLA18" s="88"/>
      <c r="SLB18" s="88"/>
      <c r="SLC18" s="90"/>
      <c r="SLD18" s="93"/>
      <c r="SLE18" s="88"/>
      <c r="SLF18" s="88"/>
      <c r="SLG18" s="90"/>
      <c r="SLH18" s="93"/>
      <c r="SLI18" s="88"/>
      <c r="SLJ18" s="88"/>
      <c r="SLK18" s="91"/>
      <c r="SLL18" s="93"/>
      <c r="SLM18" s="93"/>
      <c r="SLN18" s="88"/>
      <c r="SLO18" s="88"/>
      <c r="SLP18" s="90"/>
      <c r="SLQ18" s="93"/>
      <c r="SLR18" s="88"/>
      <c r="SLS18" s="88"/>
      <c r="SLT18" s="90"/>
      <c r="SLU18" s="93"/>
      <c r="SLV18" s="88"/>
      <c r="SLW18" s="88"/>
      <c r="SLX18" s="91"/>
      <c r="SLY18" s="93"/>
      <c r="SLZ18" s="93"/>
      <c r="SMA18" s="88"/>
      <c r="SMB18" s="88"/>
      <c r="SMC18" s="90"/>
      <c r="SMD18" s="93"/>
      <c r="SME18" s="88"/>
      <c r="SMF18" s="88"/>
      <c r="SMG18" s="90"/>
      <c r="SMH18" s="93"/>
      <c r="SMI18" s="88"/>
      <c r="SMJ18" s="88"/>
      <c r="SMK18" s="91"/>
      <c r="SML18" s="93"/>
      <c r="SMM18" s="93"/>
      <c r="SMN18" s="88"/>
      <c r="SMO18" s="88"/>
      <c r="SMP18" s="90"/>
      <c r="SMQ18" s="93"/>
      <c r="SMR18" s="88"/>
      <c r="SMS18" s="88"/>
      <c r="SMT18" s="90"/>
      <c r="SMU18" s="93"/>
      <c r="SMV18" s="88"/>
      <c r="SMW18" s="88"/>
      <c r="SMX18" s="91"/>
      <c r="SMY18" s="93"/>
      <c r="SMZ18" s="93"/>
      <c r="SNA18" s="88"/>
      <c r="SNB18" s="88"/>
      <c r="SNC18" s="90"/>
      <c r="SND18" s="93"/>
      <c r="SNE18" s="88"/>
      <c r="SNF18" s="88"/>
      <c r="SNG18" s="90"/>
      <c r="SNH18" s="93"/>
      <c r="SNI18" s="88"/>
      <c r="SNJ18" s="88"/>
      <c r="SNK18" s="91"/>
      <c r="SNL18" s="93"/>
      <c r="SNM18" s="93"/>
      <c r="SNN18" s="88"/>
      <c r="SNO18" s="88"/>
      <c r="SNP18" s="90"/>
      <c r="SNQ18" s="93"/>
      <c r="SNR18" s="88"/>
      <c r="SNS18" s="88"/>
      <c r="SNT18" s="90"/>
      <c r="SNU18" s="93"/>
      <c r="SNV18" s="88"/>
      <c r="SNW18" s="88"/>
      <c r="SNX18" s="91"/>
      <c r="SNY18" s="93"/>
      <c r="SNZ18" s="93"/>
      <c r="SOA18" s="88"/>
      <c r="SOB18" s="88"/>
      <c r="SOC18" s="90"/>
      <c r="SOD18" s="93"/>
      <c r="SOE18" s="88"/>
      <c r="SOF18" s="88"/>
      <c r="SOG18" s="90"/>
      <c r="SOH18" s="93"/>
      <c r="SOI18" s="88"/>
      <c r="SOJ18" s="88"/>
      <c r="SOK18" s="91"/>
      <c r="SOL18" s="93"/>
      <c r="SOM18" s="93"/>
      <c r="SON18" s="88"/>
      <c r="SOO18" s="88"/>
      <c r="SOP18" s="90"/>
      <c r="SOQ18" s="93"/>
      <c r="SOR18" s="88"/>
      <c r="SOS18" s="88"/>
      <c r="SOT18" s="90"/>
      <c r="SOU18" s="93"/>
      <c r="SOV18" s="88"/>
      <c r="SOW18" s="88"/>
      <c r="SOX18" s="91"/>
      <c r="SOY18" s="93"/>
      <c r="SOZ18" s="93"/>
      <c r="SPA18" s="88"/>
      <c r="SPB18" s="88"/>
      <c r="SPC18" s="90"/>
      <c r="SPD18" s="93"/>
      <c r="SPE18" s="88"/>
      <c r="SPF18" s="88"/>
      <c r="SPG18" s="90"/>
      <c r="SPH18" s="93"/>
      <c r="SPI18" s="88"/>
      <c r="SPJ18" s="88"/>
      <c r="SPK18" s="91"/>
      <c r="SPL18" s="93"/>
      <c r="SPM18" s="93"/>
      <c r="SPN18" s="88"/>
      <c r="SPO18" s="88"/>
      <c r="SPP18" s="90"/>
      <c r="SPQ18" s="93"/>
      <c r="SPR18" s="88"/>
      <c r="SPS18" s="88"/>
      <c r="SPT18" s="90"/>
      <c r="SPU18" s="93"/>
      <c r="SPV18" s="88"/>
      <c r="SPW18" s="88"/>
      <c r="SPX18" s="91"/>
      <c r="SPY18" s="93"/>
      <c r="SPZ18" s="93"/>
      <c r="SQA18" s="88"/>
      <c r="SQB18" s="88"/>
      <c r="SQC18" s="90"/>
      <c r="SQD18" s="93"/>
      <c r="SQE18" s="88"/>
      <c r="SQF18" s="88"/>
      <c r="SQG18" s="90"/>
      <c r="SQH18" s="93"/>
      <c r="SQI18" s="88"/>
      <c r="SQJ18" s="88"/>
      <c r="SQK18" s="91"/>
      <c r="SQL18" s="93"/>
      <c r="SQM18" s="93"/>
      <c r="SQN18" s="88"/>
      <c r="SQO18" s="88"/>
      <c r="SQP18" s="90"/>
      <c r="SQQ18" s="93"/>
      <c r="SQR18" s="88"/>
      <c r="SQS18" s="88"/>
      <c r="SQT18" s="90"/>
      <c r="SQU18" s="93"/>
      <c r="SQV18" s="88"/>
      <c r="SQW18" s="88"/>
      <c r="SQX18" s="91"/>
      <c r="SQY18" s="93"/>
      <c r="SQZ18" s="93"/>
      <c r="SRA18" s="88"/>
      <c r="SRB18" s="88"/>
      <c r="SRC18" s="90"/>
      <c r="SRD18" s="93"/>
      <c r="SRE18" s="88"/>
      <c r="SRF18" s="88"/>
      <c r="SRG18" s="90"/>
      <c r="SRH18" s="93"/>
      <c r="SRI18" s="88"/>
      <c r="SRJ18" s="88"/>
      <c r="SRK18" s="91"/>
      <c r="SRL18" s="93"/>
      <c r="SRM18" s="93"/>
      <c r="SRN18" s="88"/>
      <c r="SRO18" s="88"/>
      <c r="SRP18" s="90"/>
      <c r="SRQ18" s="93"/>
      <c r="SRR18" s="88"/>
      <c r="SRS18" s="88"/>
      <c r="SRT18" s="90"/>
      <c r="SRU18" s="93"/>
      <c r="SRV18" s="88"/>
      <c r="SRW18" s="88"/>
      <c r="SRX18" s="91"/>
      <c r="SRY18" s="93"/>
      <c r="SRZ18" s="93"/>
      <c r="SSA18" s="88"/>
      <c r="SSB18" s="88"/>
      <c r="SSC18" s="90"/>
      <c r="SSD18" s="93"/>
      <c r="SSE18" s="88"/>
      <c r="SSF18" s="88"/>
      <c r="SSG18" s="90"/>
      <c r="SSH18" s="93"/>
      <c r="SSI18" s="88"/>
      <c r="SSJ18" s="88"/>
      <c r="SSK18" s="91"/>
      <c r="SSL18" s="93"/>
      <c r="SSM18" s="93"/>
      <c r="SSN18" s="88"/>
      <c r="SSO18" s="88"/>
      <c r="SSP18" s="90"/>
      <c r="SSQ18" s="93"/>
      <c r="SSR18" s="88"/>
      <c r="SSS18" s="88"/>
      <c r="SST18" s="90"/>
      <c r="SSU18" s="93"/>
      <c r="SSV18" s="88"/>
      <c r="SSW18" s="88"/>
      <c r="SSX18" s="91"/>
      <c r="SSY18" s="93"/>
      <c r="SSZ18" s="93"/>
      <c r="STA18" s="88"/>
      <c r="STB18" s="88"/>
      <c r="STC18" s="90"/>
      <c r="STD18" s="93"/>
      <c r="STE18" s="88"/>
      <c r="STF18" s="88"/>
      <c r="STG18" s="90"/>
      <c r="STH18" s="93"/>
      <c r="STI18" s="88"/>
      <c r="STJ18" s="88"/>
      <c r="STK18" s="91"/>
      <c r="STL18" s="93"/>
      <c r="STM18" s="93"/>
      <c r="STN18" s="88"/>
      <c r="STO18" s="88"/>
      <c r="STP18" s="90"/>
      <c r="STQ18" s="93"/>
      <c r="STR18" s="88"/>
      <c r="STS18" s="88"/>
      <c r="STT18" s="90"/>
      <c r="STU18" s="93"/>
      <c r="STV18" s="88"/>
      <c r="STW18" s="88"/>
      <c r="STX18" s="91"/>
      <c r="STY18" s="93"/>
      <c r="STZ18" s="93"/>
      <c r="SUA18" s="88"/>
      <c r="SUB18" s="88"/>
      <c r="SUC18" s="90"/>
      <c r="SUD18" s="93"/>
      <c r="SUE18" s="88"/>
      <c r="SUF18" s="88"/>
      <c r="SUG18" s="90"/>
      <c r="SUH18" s="93"/>
      <c r="SUI18" s="88"/>
      <c r="SUJ18" s="88"/>
      <c r="SUK18" s="91"/>
      <c r="SUL18" s="93"/>
      <c r="SUM18" s="93"/>
      <c r="SUN18" s="88"/>
      <c r="SUO18" s="88"/>
      <c r="SUP18" s="90"/>
      <c r="SUQ18" s="93"/>
      <c r="SUR18" s="88"/>
      <c r="SUS18" s="88"/>
      <c r="SUT18" s="90"/>
      <c r="SUU18" s="93"/>
      <c r="SUV18" s="88"/>
      <c r="SUW18" s="88"/>
      <c r="SUX18" s="91"/>
      <c r="SUY18" s="93"/>
      <c r="SUZ18" s="93"/>
      <c r="SVA18" s="88"/>
      <c r="SVB18" s="88"/>
      <c r="SVC18" s="90"/>
      <c r="SVD18" s="93"/>
      <c r="SVE18" s="88"/>
      <c r="SVF18" s="88"/>
      <c r="SVG18" s="90"/>
      <c r="SVH18" s="93"/>
      <c r="SVI18" s="88"/>
      <c r="SVJ18" s="88"/>
      <c r="SVK18" s="91"/>
      <c r="SVL18" s="93"/>
      <c r="SVM18" s="93"/>
      <c r="SVN18" s="88"/>
      <c r="SVO18" s="88"/>
      <c r="SVP18" s="90"/>
      <c r="SVQ18" s="93"/>
      <c r="SVR18" s="88"/>
      <c r="SVS18" s="88"/>
      <c r="SVT18" s="90"/>
      <c r="SVU18" s="93"/>
      <c r="SVV18" s="88"/>
      <c r="SVW18" s="88"/>
      <c r="SVX18" s="91"/>
      <c r="SVY18" s="93"/>
      <c r="SVZ18" s="93"/>
      <c r="SWA18" s="88"/>
      <c r="SWB18" s="88"/>
      <c r="SWC18" s="90"/>
      <c r="SWD18" s="93"/>
      <c r="SWE18" s="88"/>
      <c r="SWF18" s="88"/>
      <c r="SWG18" s="90"/>
      <c r="SWH18" s="93"/>
      <c r="SWI18" s="88"/>
      <c r="SWJ18" s="88"/>
      <c r="SWK18" s="91"/>
      <c r="SWL18" s="93"/>
      <c r="SWM18" s="93"/>
      <c r="SWN18" s="88"/>
      <c r="SWO18" s="88"/>
      <c r="SWP18" s="90"/>
      <c r="SWQ18" s="93"/>
      <c r="SWR18" s="88"/>
      <c r="SWS18" s="88"/>
      <c r="SWT18" s="90"/>
      <c r="SWU18" s="93"/>
      <c r="SWV18" s="88"/>
      <c r="SWW18" s="88"/>
      <c r="SWX18" s="91"/>
      <c r="SWY18" s="93"/>
      <c r="SWZ18" s="93"/>
      <c r="SXA18" s="88"/>
      <c r="SXB18" s="88"/>
      <c r="SXC18" s="90"/>
      <c r="SXD18" s="93"/>
      <c r="SXE18" s="88"/>
      <c r="SXF18" s="88"/>
      <c r="SXG18" s="90"/>
      <c r="SXH18" s="93"/>
      <c r="SXI18" s="88"/>
      <c r="SXJ18" s="88"/>
      <c r="SXK18" s="91"/>
      <c r="SXL18" s="93"/>
      <c r="SXM18" s="93"/>
      <c r="SXN18" s="88"/>
      <c r="SXO18" s="88"/>
      <c r="SXP18" s="90"/>
      <c r="SXQ18" s="93"/>
      <c r="SXR18" s="88"/>
      <c r="SXS18" s="88"/>
      <c r="SXT18" s="90"/>
      <c r="SXU18" s="93"/>
      <c r="SXV18" s="88"/>
      <c r="SXW18" s="88"/>
      <c r="SXX18" s="91"/>
      <c r="SXY18" s="93"/>
      <c r="SXZ18" s="93"/>
      <c r="SYA18" s="88"/>
      <c r="SYB18" s="88"/>
      <c r="SYC18" s="90"/>
      <c r="SYD18" s="93"/>
      <c r="SYE18" s="88"/>
      <c r="SYF18" s="88"/>
      <c r="SYG18" s="90"/>
      <c r="SYH18" s="93"/>
      <c r="SYI18" s="88"/>
      <c r="SYJ18" s="88"/>
      <c r="SYK18" s="91"/>
      <c r="SYL18" s="93"/>
      <c r="SYM18" s="93"/>
      <c r="SYN18" s="88"/>
      <c r="SYO18" s="88"/>
      <c r="SYP18" s="90"/>
      <c r="SYQ18" s="93"/>
      <c r="SYR18" s="88"/>
      <c r="SYS18" s="88"/>
      <c r="SYT18" s="90"/>
      <c r="SYU18" s="93"/>
      <c r="SYV18" s="88"/>
      <c r="SYW18" s="88"/>
      <c r="SYX18" s="91"/>
      <c r="SYY18" s="93"/>
      <c r="SYZ18" s="93"/>
      <c r="SZA18" s="88"/>
      <c r="SZB18" s="88"/>
      <c r="SZC18" s="90"/>
      <c r="SZD18" s="93"/>
      <c r="SZE18" s="88"/>
      <c r="SZF18" s="88"/>
      <c r="SZG18" s="90"/>
      <c r="SZH18" s="93"/>
      <c r="SZI18" s="88"/>
      <c r="SZJ18" s="88"/>
      <c r="SZK18" s="91"/>
      <c r="SZL18" s="93"/>
      <c r="SZM18" s="93"/>
      <c r="SZN18" s="88"/>
      <c r="SZO18" s="88"/>
      <c r="SZP18" s="90"/>
      <c r="SZQ18" s="93"/>
      <c r="SZR18" s="88"/>
      <c r="SZS18" s="88"/>
      <c r="SZT18" s="90"/>
      <c r="SZU18" s="93"/>
      <c r="SZV18" s="88"/>
      <c r="SZW18" s="88"/>
      <c r="SZX18" s="91"/>
      <c r="SZY18" s="93"/>
      <c r="SZZ18" s="93"/>
      <c r="TAA18" s="88"/>
      <c r="TAB18" s="88"/>
      <c r="TAC18" s="90"/>
      <c r="TAD18" s="93"/>
      <c r="TAE18" s="88"/>
      <c r="TAF18" s="88"/>
      <c r="TAG18" s="90"/>
      <c r="TAH18" s="93"/>
      <c r="TAI18" s="88"/>
      <c r="TAJ18" s="88"/>
      <c r="TAK18" s="91"/>
      <c r="TAL18" s="93"/>
      <c r="TAM18" s="93"/>
      <c r="TAN18" s="88"/>
      <c r="TAO18" s="88"/>
      <c r="TAP18" s="90"/>
      <c r="TAQ18" s="93"/>
      <c r="TAR18" s="88"/>
      <c r="TAS18" s="88"/>
      <c r="TAT18" s="90"/>
      <c r="TAU18" s="93"/>
      <c r="TAV18" s="88"/>
      <c r="TAW18" s="88"/>
      <c r="TAX18" s="91"/>
      <c r="TAY18" s="93"/>
      <c r="TAZ18" s="93"/>
      <c r="TBA18" s="88"/>
      <c r="TBB18" s="88"/>
      <c r="TBC18" s="90"/>
      <c r="TBD18" s="93"/>
      <c r="TBE18" s="88"/>
      <c r="TBF18" s="88"/>
      <c r="TBG18" s="90"/>
      <c r="TBH18" s="93"/>
      <c r="TBI18" s="88"/>
      <c r="TBJ18" s="88"/>
      <c r="TBK18" s="91"/>
      <c r="TBL18" s="93"/>
      <c r="TBM18" s="93"/>
      <c r="TBN18" s="88"/>
      <c r="TBO18" s="88"/>
      <c r="TBP18" s="90"/>
      <c r="TBQ18" s="93"/>
      <c r="TBR18" s="88"/>
      <c r="TBS18" s="88"/>
      <c r="TBT18" s="90"/>
      <c r="TBU18" s="93"/>
      <c r="TBV18" s="88"/>
      <c r="TBW18" s="88"/>
      <c r="TBX18" s="91"/>
      <c r="TBY18" s="93"/>
      <c r="TBZ18" s="93"/>
      <c r="TCA18" s="88"/>
      <c r="TCB18" s="88"/>
      <c r="TCC18" s="90"/>
      <c r="TCD18" s="93"/>
      <c r="TCE18" s="88"/>
      <c r="TCF18" s="88"/>
      <c r="TCG18" s="90"/>
      <c r="TCH18" s="93"/>
      <c r="TCI18" s="88"/>
      <c r="TCJ18" s="88"/>
      <c r="TCK18" s="91"/>
      <c r="TCL18" s="93"/>
      <c r="TCM18" s="93"/>
      <c r="TCN18" s="88"/>
      <c r="TCO18" s="88"/>
      <c r="TCP18" s="90"/>
      <c r="TCQ18" s="93"/>
      <c r="TCR18" s="88"/>
      <c r="TCS18" s="88"/>
      <c r="TCT18" s="90"/>
      <c r="TCU18" s="93"/>
      <c r="TCV18" s="88"/>
      <c r="TCW18" s="88"/>
      <c r="TCX18" s="91"/>
      <c r="TCY18" s="93"/>
      <c r="TCZ18" s="93"/>
      <c r="TDA18" s="88"/>
      <c r="TDB18" s="88"/>
      <c r="TDC18" s="90"/>
      <c r="TDD18" s="93"/>
      <c r="TDE18" s="88"/>
      <c r="TDF18" s="88"/>
      <c r="TDG18" s="90"/>
      <c r="TDH18" s="93"/>
      <c r="TDI18" s="88"/>
      <c r="TDJ18" s="88"/>
      <c r="TDK18" s="91"/>
      <c r="TDL18" s="93"/>
      <c r="TDM18" s="93"/>
      <c r="TDN18" s="88"/>
      <c r="TDO18" s="88"/>
      <c r="TDP18" s="90"/>
      <c r="TDQ18" s="93"/>
      <c r="TDR18" s="88"/>
      <c r="TDS18" s="88"/>
      <c r="TDT18" s="90"/>
      <c r="TDU18" s="93"/>
      <c r="TDV18" s="88"/>
      <c r="TDW18" s="88"/>
      <c r="TDX18" s="91"/>
      <c r="TDY18" s="93"/>
      <c r="TDZ18" s="93"/>
      <c r="TEA18" s="88"/>
      <c r="TEB18" s="88"/>
      <c r="TEC18" s="90"/>
      <c r="TED18" s="93"/>
      <c r="TEE18" s="88"/>
      <c r="TEF18" s="88"/>
      <c r="TEG18" s="90"/>
      <c r="TEH18" s="93"/>
      <c r="TEI18" s="88"/>
      <c r="TEJ18" s="88"/>
      <c r="TEK18" s="91"/>
      <c r="TEL18" s="93"/>
      <c r="TEM18" s="93"/>
      <c r="TEN18" s="88"/>
      <c r="TEO18" s="88"/>
      <c r="TEP18" s="90"/>
      <c r="TEQ18" s="93"/>
      <c r="TER18" s="88"/>
      <c r="TES18" s="88"/>
      <c r="TET18" s="90"/>
      <c r="TEU18" s="93"/>
      <c r="TEV18" s="88"/>
      <c r="TEW18" s="88"/>
      <c r="TEX18" s="91"/>
      <c r="TEY18" s="93"/>
      <c r="TEZ18" s="93"/>
      <c r="TFA18" s="88"/>
      <c r="TFB18" s="88"/>
      <c r="TFC18" s="90"/>
      <c r="TFD18" s="93"/>
      <c r="TFE18" s="88"/>
      <c r="TFF18" s="88"/>
      <c r="TFG18" s="90"/>
      <c r="TFH18" s="93"/>
      <c r="TFI18" s="88"/>
      <c r="TFJ18" s="88"/>
      <c r="TFK18" s="91"/>
      <c r="TFL18" s="93"/>
      <c r="TFM18" s="93"/>
      <c r="TFN18" s="88"/>
      <c r="TFO18" s="88"/>
      <c r="TFP18" s="90"/>
      <c r="TFQ18" s="93"/>
      <c r="TFR18" s="88"/>
      <c r="TFS18" s="88"/>
      <c r="TFT18" s="90"/>
      <c r="TFU18" s="93"/>
      <c r="TFV18" s="88"/>
      <c r="TFW18" s="88"/>
      <c r="TFX18" s="91"/>
      <c r="TFY18" s="93"/>
      <c r="TFZ18" s="93"/>
      <c r="TGA18" s="88"/>
      <c r="TGB18" s="88"/>
      <c r="TGC18" s="90"/>
      <c r="TGD18" s="93"/>
      <c r="TGE18" s="88"/>
      <c r="TGF18" s="88"/>
      <c r="TGG18" s="90"/>
      <c r="TGH18" s="93"/>
      <c r="TGI18" s="88"/>
      <c r="TGJ18" s="88"/>
      <c r="TGK18" s="91"/>
      <c r="TGL18" s="93"/>
      <c r="TGM18" s="93"/>
      <c r="TGN18" s="88"/>
      <c r="TGO18" s="88"/>
      <c r="TGP18" s="90"/>
      <c r="TGQ18" s="93"/>
      <c r="TGR18" s="88"/>
      <c r="TGS18" s="88"/>
      <c r="TGT18" s="90"/>
      <c r="TGU18" s="93"/>
      <c r="TGV18" s="88"/>
      <c r="TGW18" s="88"/>
      <c r="TGX18" s="91"/>
      <c r="TGY18" s="93"/>
      <c r="TGZ18" s="93"/>
      <c r="THA18" s="88"/>
      <c r="THB18" s="88"/>
      <c r="THC18" s="90"/>
      <c r="THD18" s="93"/>
      <c r="THE18" s="88"/>
      <c r="THF18" s="88"/>
      <c r="THG18" s="90"/>
      <c r="THH18" s="93"/>
      <c r="THI18" s="88"/>
      <c r="THJ18" s="88"/>
      <c r="THK18" s="91"/>
      <c r="THL18" s="93"/>
      <c r="THM18" s="93"/>
      <c r="THN18" s="88"/>
      <c r="THO18" s="88"/>
      <c r="THP18" s="90"/>
      <c r="THQ18" s="93"/>
      <c r="THR18" s="88"/>
      <c r="THS18" s="88"/>
      <c r="THT18" s="90"/>
      <c r="THU18" s="93"/>
      <c r="THV18" s="88"/>
      <c r="THW18" s="88"/>
      <c r="THX18" s="91"/>
      <c r="THY18" s="93"/>
      <c r="THZ18" s="93"/>
      <c r="TIA18" s="88"/>
      <c r="TIB18" s="88"/>
      <c r="TIC18" s="90"/>
      <c r="TID18" s="93"/>
      <c r="TIE18" s="88"/>
      <c r="TIF18" s="88"/>
      <c r="TIG18" s="90"/>
      <c r="TIH18" s="93"/>
      <c r="TII18" s="88"/>
      <c r="TIJ18" s="88"/>
      <c r="TIK18" s="91"/>
      <c r="TIL18" s="93"/>
      <c r="TIM18" s="93"/>
      <c r="TIN18" s="88"/>
      <c r="TIO18" s="88"/>
      <c r="TIP18" s="90"/>
      <c r="TIQ18" s="93"/>
      <c r="TIR18" s="88"/>
      <c r="TIS18" s="88"/>
      <c r="TIT18" s="90"/>
      <c r="TIU18" s="93"/>
      <c r="TIV18" s="88"/>
      <c r="TIW18" s="88"/>
      <c r="TIX18" s="91"/>
      <c r="TIY18" s="93"/>
      <c r="TIZ18" s="93"/>
      <c r="TJA18" s="88"/>
      <c r="TJB18" s="88"/>
      <c r="TJC18" s="90"/>
      <c r="TJD18" s="93"/>
      <c r="TJE18" s="88"/>
      <c r="TJF18" s="88"/>
      <c r="TJG18" s="90"/>
      <c r="TJH18" s="93"/>
      <c r="TJI18" s="88"/>
      <c r="TJJ18" s="88"/>
      <c r="TJK18" s="91"/>
      <c r="TJL18" s="93"/>
      <c r="TJM18" s="93"/>
      <c r="TJN18" s="88"/>
      <c r="TJO18" s="88"/>
      <c r="TJP18" s="90"/>
      <c r="TJQ18" s="93"/>
      <c r="TJR18" s="88"/>
      <c r="TJS18" s="88"/>
      <c r="TJT18" s="90"/>
      <c r="TJU18" s="93"/>
      <c r="TJV18" s="88"/>
      <c r="TJW18" s="88"/>
      <c r="TJX18" s="91"/>
      <c r="TJY18" s="93"/>
      <c r="TJZ18" s="93"/>
      <c r="TKA18" s="88"/>
      <c r="TKB18" s="88"/>
      <c r="TKC18" s="90"/>
      <c r="TKD18" s="93"/>
      <c r="TKE18" s="88"/>
      <c r="TKF18" s="88"/>
      <c r="TKG18" s="90"/>
      <c r="TKH18" s="93"/>
      <c r="TKI18" s="88"/>
      <c r="TKJ18" s="88"/>
      <c r="TKK18" s="91"/>
      <c r="TKL18" s="93"/>
      <c r="TKM18" s="93"/>
      <c r="TKN18" s="88"/>
      <c r="TKO18" s="88"/>
      <c r="TKP18" s="90"/>
      <c r="TKQ18" s="93"/>
      <c r="TKR18" s="88"/>
      <c r="TKS18" s="88"/>
      <c r="TKT18" s="90"/>
      <c r="TKU18" s="93"/>
      <c r="TKV18" s="88"/>
      <c r="TKW18" s="88"/>
      <c r="TKX18" s="91"/>
      <c r="TKY18" s="93"/>
      <c r="TKZ18" s="93"/>
      <c r="TLA18" s="88"/>
      <c r="TLB18" s="88"/>
      <c r="TLC18" s="90"/>
      <c r="TLD18" s="93"/>
      <c r="TLE18" s="88"/>
      <c r="TLF18" s="88"/>
      <c r="TLG18" s="90"/>
      <c r="TLH18" s="93"/>
      <c r="TLI18" s="88"/>
      <c r="TLJ18" s="88"/>
      <c r="TLK18" s="91"/>
      <c r="TLL18" s="93"/>
      <c r="TLM18" s="93"/>
      <c r="TLN18" s="88"/>
      <c r="TLO18" s="88"/>
      <c r="TLP18" s="90"/>
      <c r="TLQ18" s="93"/>
      <c r="TLR18" s="88"/>
      <c r="TLS18" s="88"/>
      <c r="TLT18" s="90"/>
      <c r="TLU18" s="93"/>
      <c r="TLV18" s="88"/>
      <c r="TLW18" s="88"/>
      <c r="TLX18" s="91"/>
      <c r="TLY18" s="93"/>
      <c r="TLZ18" s="93"/>
      <c r="TMA18" s="88"/>
      <c r="TMB18" s="88"/>
      <c r="TMC18" s="90"/>
      <c r="TMD18" s="93"/>
      <c r="TME18" s="88"/>
      <c r="TMF18" s="88"/>
      <c r="TMG18" s="90"/>
      <c r="TMH18" s="93"/>
      <c r="TMI18" s="88"/>
      <c r="TMJ18" s="88"/>
      <c r="TMK18" s="91"/>
      <c r="TML18" s="93"/>
      <c r="TMM18" s="93"/>
      <c r="TMN18" s="88"/>
      <c r="TMO18" s="88"/>
      <c r="TMP18" s="90"/>
      <c r="TMQ18" s="93"/>
      <c r="TMR18" s="88"/>
      <c r="TMS18" s="88"/>
      <c r="TMT18" s="90"/>
      <c r="TMU18" s="93"/>
      <c r="TMV18" s="88"/>
      <c r="TMW18" s="88"/>
      <c r="TMX18" s="91"/>
      <c r="TMY18" s="93"/>
      <c r="TMZ18" s="93"/>
      <c r="TNA18" s="88"/>
      <c r="TNB18" s="88"/>
      <c r="TNC18" s="90"/>
      <c r="TND18" s="93"/>
      <c r="TNE18" s="88"/>
      <c r="TNF18" s="88"/>
      <c r="TNG18" s="90"/>
      <c r="TNH18" s="93"/>
      <c r="TNI18" s="88"/>
      <c r="TNJ18" s="88"/>
      <c r="TNK18" s="91"/>
      <c r="TNL18" s="93"/>
      <c r="TNM18" s="93"/>
      <c r="TNN18" s="88"/>
      <c r="TNO18" s="88"/>
      <c r="TNP18" s="90"/>
      <c r="TNQ18" s="93"/>
      <c r="TNR18" s="88"/>
      <c r="TNS18" s="88"/>
      <c r="TNT18" s="90"/>
      <c r="TNU18" s="93"/>
      <c r="TNV18" s="88"/>
      <c r="TNW18" s="88"/>
      <c r="TNX18" s="91"/>
      <c r="TNY18" s="93"/>
      <c r="TNZ18" s="93"/>
      <c r="TOA18" s="88"/>
      <c r="TOB18" s="88"/>
      <c r="TOC18" s="90"/>
      <c r="TOD18" s="93"/>
      <c r="TOE18" s="88"/>
      <c r="TOF18" s="88"/>
      <c r="TOG18" s="90"/>
      <c r="TOH18" s="93"/>
      <c r="TOI18" s="88"/>
      <c r="TOJ18" s="88"/>
      <c r="TOK18" s="91"/>
      <c r="TOL18" s="93"/>
      <c r="TOM18" s="93"/>
      <c r="TON18" s="88"/>
      <c r="TOO18" s="88"/>
      <c r="TOP18" s="90"/>
      <c r="TOQ18" s="93"/>
      <c r="TOR18" s="88"/>
      <c r="TOS18" s="88"/>
      <c r="TOT18" s="90"/>
      <c r="TOU18" s="93"/>
      <c r="TOV18" s="88"/>
      <c r="TOW18" s="88"/>
      <c r="TOX18" s="91"/>
      <c r="TOY18" s="93"/>
      <c r="TOZ18" s="93"/>
      <c r="TPA18" s="88"/>
      <c r="TPB18" s="88"/>
      <c r="TPC18" s="90"/>
      <c r="TPD18" s="93"/>
      <c r="TPE18" s="88"/>
      <c r="TPF18" s="88"/>
      <c r="TPG18" s="90"/>
      <c r="TPH18" s="93"/>
      <c r="TPI18" s="88"/>
      <c r="TPJ18" s="88"/>
      <c r="TPK18" s="91"/>
      <c r="TPL18" s="93"/>
      <c r="TPM18" s="93"/>
      <c r="TPN18" s="88"/>
      <c r="TPO18" s="88"/>
      <c r="TPP18" s="90"/>
      <c r="TPQ18" s="93"/>
      <c r="TPR18" s="88"/>
      <c r="TPS18" s="88"/>
      <c r="TPT18" s="90"/>
      <c r="TPU18" s="93"/>
      <c r="TPV18" s="88"/>
      <c r="TPW18" s="88"/>
      <c r="TPX18" s="91"/>
      <c r="TPY18" s="93"/>
      <c r="TPZ18" s="93"/>
      <c r="TQA18" s="88"/>
      <c r="TQB18" s="88"/>
      <c r="TQC18" s="90"/>
      <c r="TQD18" s="93"/>
      <c r="TQE18" s="88"/>
      <c r="TQF18" s="88"/>
      <c r="TQG18" s="90"/>
      <c r="TQH18" s="93"/>
      <c r="TQI18" s="88"/>
      <c r="TQJ18" s="88"/>
      <c r="TQK18" s="91"/>
      <c r="TQL18" s="93"/>
      <c r="TQM18" s="93"/>
      <c r="TQN18" s="88"/>
      <c r="TQO18" s="88"/>
      <c r="TQP18" s="90"/>
      <c r="TQQ18" s="93"/>
      <c r="TQR18" s="88"/>
      <c r="TQS18" s="88"/>
      <c r="TQT18" s="90"/>
      <c r="TQU18" s="93"/>
      <c r="TQV18" s="88"/>
      <c r="TQW18" s="88"/>
      <c r="TQX18" s="91"/>
      <c r="TQY18" s="93"/>
      <c r="TQZ18" s="93"/>
      <c r="TRA18" s="88"/>
      <c r="TRB18" s="88"/>
      <c r="TRC18" s="90"/>
      <c r="TRD18" s="93"/>
      <c r="TRE18" s="88"/>
      <c r="TRF18" s="88"/>
      <c r="TRG18" s="90"/>
      <c r="TRH18" s="93"/>
      <c r="TRI18" s="88"/>
      <c r="TRJ18" s="88"/>
      <c r="TRK18" s="91"/>
      <c r="TRL18" s="93"/>
      <c r="TRM18" s="93"/>
      <c r="TRN18" s="88"/>
      <c r="TRO18" s="88"/>
      <c r="TRP18" s="90"/>
      <c r="TRQ18" s="93"/>
      <c r="TRR18" s="88"/>
      <c r="TRS18" s="88"/>
      <c r="TRT18" s="90"/>
      <c r="TRU18" s="93"/>
      <c r="TRV18" s="88"/>
      <c r="TRW18" s="88"/>
      <c r="TRX18" s="91"/>
      <c r="TRY18" s="93"/>
      <c r="TRZ18" s="93"/>
      <c r="TSA18" s="88"/>
      <c r="TSB18" s="88"/>
      <c r="TSC18" s="90"/>
      <c r="TSD18" s="93"/>
      <c r="TSE18" s="88"/>
      <c r="TSF18" s="88"/>
      <c r="TSG18" s="90"/>
      <c r="TSH18" s="93"/>
      <c r="TSI18" s="88"/>
      <c r="TSJ18" s="88"/>
      <c r="TSK18" s="91"/>
      <c r="TSL18" s="93"/>
      <c r="TSM18" s="93"/>
      <c r="TSN18" s="88"/>
      <c r="TSO18" s="88"/>
      <c r="TSP18" s="90"/>
      <c r="TSQ18" s="93"/>
      <c r="TSR18" s="88"/>
      <c r="TSS18" s="88"/>
      <c r="TST18" s="90"/>
      <c r="TSU18" s="93"/>
      <c r="TSV18" s="88"/>
      <c r="TSW18" s="88"/>
      <c r="TSX18" s="91"/>
      <c r="TSY18" s="93"/>
      <c r="TSZ18" s="93"/>
      <c r="TTA18" s="88"/>
      <c r="TTB18" s="88"/>
      <c r="TTC18" s="90"/>
      <c r="TTD18" s="93"/>
      <c r="TTE18" s="88"/>
      <c r="TTF18" s="88"/>
      <c r="TTG18" s="90"/>
      <c r="TTH18" s="93"/>
      <c r="TTI18" s="88"/>
      <c r="TTJ18" s="88"/>
      <c r="TTK18" s="91"/>
      <c r="TTL18" s="93"/>
      <c r="TTM18" s="93"/>
      <c r="TTN18" s="88"/>
      <c r="TTO18" s="88"/>
      <c r="TTP18" s="90"/>
      <c r="TTQ18" s="93"/>
      <c r="TTR18" s="88"/>
      <c r="TTS18" s="88"/>
      <c r="TTT18" s="90"/>
      <c r="TTU18" s="93"/>
      <c r="TTV18" s="88"/>
      <c r="TTW18" s="88"/>
      <c r="TTX18" s="91"/>
      <c r="TTY18" s="93"/>
      <c r="TTZ18" s="93"/>
      <c r="TUA18" s="88"/>
      <c r="TUB18" s="88"/>
      <c r="TUC18" s="90"/>
      <c r="TUD18" s="93"/>
      <c r="TUE18" s="88"/>
      <c r="TUF18" s="88"/>
      <c r="TUG18" s="90"/>
      <c r="TUH18" s="93"/>
      <c r="TUI18" s="88"/>
      <c r="TUJ18" s="88"/>
      <c r="TUK18" s="91"/>
      <c r="TUL18" s="93"/>
      <c r="TUM18" s="93"/>
      <c r="TUN18" s="88"/>
      <c r="TUO18" s="88"/>
      <c r="TUP18" s="90"/>
      <c r="TUQ18" s="93"/>
      <c r="TUR18" s="88"/>
      <c r="TUS18" s="88"/>
      <c r="TUT18" s="90"/>
      <c r="TUU18" s="93"/>
      <c r="TUV18" s="88"/>
      <c r="TUW18" s="88"/>
      <c r="TUX18" s="91"/>
      <c r="TUY18" s="93"/>
      <c r="TUZ18" s="93"/>
      <c r="TVA18" s="88"/>
      <c r="TVB18" s="88"/>
      <c r="TVC18" s="90"/>
      <c r="TVD18" s="93"/>
      <c r="TVE18" s="88"/>
      <c r="TVF18" s="88"/>
      <c r="TVG18" s="90"/>
      <c r="TVH18" s="93"/>
      <c r="TVI18" s="88"/>
      <c r="TVJ18" s="88"/>
      <c r="TVK18" s="91"/>
      <c r="TVL18" s="93"/>
      <c r="TVM18" s="93"/>
      <c r="TVN18" s="88"/>
      <c r="TVO18" s="88"/>
      <c r="TVP18" s="90"/>
      <c r="TVQ18" s="93"/>
      <c r="TVR18" s="88"/>
      <c r="TVS18" s="88"/>
      <c r="TVT18" s="90"/>
      <c r="TVU18" s="93"/>
      <c r="TVV18" s="88"/>
      <c r="TVW18" s="88"/>
      <c r="TVX18" s="91"/>
      <c r="TVY18" s="93"/>
      <c r="TVZ18" s="93"/>
      <c r="TWA18" s="88"/>
      <c r="TWB18" s="88"/>
      <c r="TWC18" s="90"/>
      <c r="TWD18" s="93"/>
      <c r="TWE18" s="88"/>
      <c r="TWF18" s="88"/>
      <c r="TWG18" s="90"/>
      <c r="TWH18" s="93"/>
      <c r="TWI18" s="88"/>
      <c r="TWJ18" s="88"/>
      <c r="TWK18" s="91"/>
      <c r="TWL18" s="93"/>
      <c r="TWM18" s="93"/>
      <c r="TWN18" s="88"/>
      <c r="TWO18" s="88"/>
      <c r="TWP18" s="90"/>
      <c r="TWQ18" s="93"/>
      <c r="TWR18" s="88"/>
      <c r="TWS18" s="88"/>
      <c r="TWT18" s="90"/>
      <c r="TWU18" s="93"/>
      <c r="TWV18" s="88"/>
      <c r="TWW18" s="88"/>
      <c r="TWX18" s="91"/>
      <c r="TWY18" s="93"/>
      <c r="TWZ18" s="93"/>
      <c r="TXA18" s="88"/>
      <c r="TXB18" s="88"/>
      <c r="TXC18" s="90"/>
      <c r="TXD18" s="93"/>
      <c r="TXE18" s="88"/>
      <c r="TXF18" s="88"/>
      <c r="TXG18" s="90"/>
      <c r="TXH18" s="93"/>
      <c r="TXI18" s="88"/>
      <c r="TXJ18" s="88"/>
      <c r="TXK18" s="91"/>
      <c r="TXL18" s="93"/>
      <c r="TXM18" s="93"/>
      <c r="TXN18" s="88"/>
      <c r="TXO18" s="88"/>
      <c r="TXP18" s="90"/>
      <c r="TXQ18" s="93"/>
      <c r="TXR18" s="88"/>
      <c r="TXS18" s="88"/>
      <c r="TXT18" s="90"/>
      <c r="TXU18" s="93"/>
      <c r="TXV18" s="88"/>
      <c r="TXW18" s="88"/>
      <c r="TXX18" s="91"/>
      <c r="TXY18" s="93"/>
      <c r="TXZ18" s="93"/>
      <c r="TYA18" s="88"/>
      <c r="TYB18" s="88"/>
      <c r="TYC18" s="90"/>
      <c r="TYD18" s="93"/>
      <c r="TYE18" s="88"/>
      <c r="TYF18" s="88"/>
      <c r="TYG18" s="90"/>
      <c r="TYH18" s="93"/>
      <c r="TYI18" s="88"/>
      <c r="TYJ18" s="88"/>
      <c r="TYK18" s="91"/>
      <c r="TYL18" s="93"/>
      <c r="TYM18" s="93"/>
      <c r="TYN18" s="88"/>
      <c r="TYO18" s="88"/>
      <c r="TYP18" s="90"/>
      <c r="TYQ18" s="93"/>
      <c r="TYR18" s="88"/>
      <c r="TYS18" s="88"/>
      <c r="TYT18" s="90"/>
      <c r="TYU18" s="93"/>
      <c r="TYV18" s="88"/>
      <c r="TYW18" s="88"/>
      <c r="TYX18" s="91"/>
      <c r="TYY18" s="93"/>
      <c r="TYZ18" s="93"/>
      <c r="TZA18" s="88"/>
      <c r="TZB18" s="88"/>
      <c r="TZC18" s="90"/>
      <c r="TZD18" s="93"/>
      <c r="TZE18" s="88"/>
      <c r="TZF18" s="88"/>
      <c r="TZG18" s="90"/>
      <c r="TZH18" s="93"/>
      <c r="TZI18" s="88"/>
      <c r="TZJ18" s="88"/>
      <c r="TZK18" s="91"/>
      <c r="TZL18" s="93"/>
      <c r="TZM18" s="93"/>
      <c r="TZN18" s="88"/>
      <c r="TZO18" s="88"/>
      <c r="TZP18" s="90"/>
      <c r="TZQ18" s="93"/>
      <c r="TZR18" s="88"/>
      <c r="TZS18" s="88"/>
      <c r="TZT18" s="90"/>
      <c r="TZU18" s="93"/>
      <c r="TZV18" s="88"/>
      <c r="TZW18" s="88"/>
      <c r="TZX18" s="91"/>
      <c r="TZY18" s="93"/>
      <c r="TZZ18" s="93"/>
      <c r="UAA18" s="88"/>
      <c r="UAB18" s="88"/>
      <c r="UAC18" s="90"/>
      <c r="UAD18" s="93"/>
      <c r="UAE18" s="88"/>
      <c r="UAF18" s="88"/>
      <c r="UAG18" s="90"/>
      <c r="UAH18" s="93"/>
      <c r="UAI18" s="88"/>
      <c r="UAJ18" s="88"/>
      <c r="UAK18" s="91"/>
      <c r="UAL18" s="93"/>
      <c r="UAM18" s="93"/>
      <c r="UAN18" s="88"/>
      <c r="UAO18" s="88"/>
      <c r="UAP18" s="90"/>
      <c r="UAQ18" s="93"/>
      <c r="UAR18" s="88"/>
      <c r="UAS18" s="88"/>
      <c r="UAT18" s="90"/>
      <c r="UAU18" s="93"/>
      <c r="UAV18" s="88"/>
      <c r="UAW18" s="88"/>
      <c r="UAX18" s="91"/>
      <c r="UAY18" s="93"/>
      <c r="UAZ18" s="93"/>
      <c r="UBA18" s="88"/>
      <c r="UBB18" s="88"/>
      <c r="UBC18" s="90"/>
      <c r="UBD18" s="93"/>
      <c r="UBE18" s="88"/>
      <c r="UBF18" s="88"/>
      <c r="UBG18" s="90"/>
      <c r="UBH18" s="93"/>
      <c r="UBI18" s="88"/>
      <c r="UBJ18" s="88"/>
      <c r="UBK18" s="91"/>
      <c r="UBL18" s="93"/>
      <c r="UBM18" s="93"/>
      <c r="UBN18" s="88"/>
      <c r="UBO18" s="88"/>
      <c r="UBP18" s="90"/>
      <c r="UBQ18" s="93"/>
      <c r="UBR18" s="88"/>
      <c r="UBS18" s="88"/>
      <c r="UBT18" s="90"/>
      <c r="UBU18" s="93"/>
      <c r="UBV18" s="88"/>
      <c r="UBW18" s="88"/>
      <c r="UBX18" s="91"/>
      <c r="UBY18" s="93"/>
      <c r="UBZ18" s="93"/>
      <c r="UCA18" s="88"/>
      <c r="UCB18" s="88"/>
      <c r="UCC18" s="90"/>
      <c r="UCD18" s="93"/>
      <c r="UCE18" s="88"/>
      <c r="UCF18" s="88"/>
      <c r="UCG18" s="90"/>
      <c r="UCH18" s="93"/>
      <c r="UCI18" s="88"/>
      <c r="UCJ18" s="88"/>
      <c r="UCK18" s="91"/>
      <c r="UCL18" s="93"/>
      <c r="UCM18" s="93"/>
      <c r="UCN18" s="88"/>
      <c r="UCO18" s="88"/>
      <c r="UCP18" s="90"/>
      <c r="UCQ18" s="93"/>
      <c r="UCR18" s="88"/>
      <c r="UCS18" s="88"/>
      <c r="UCT18" s="90"/>
      <c r="UCU18" s="93"/>
      <c r="UCV18" s="88"/>
      <c r="UCW18" s="88"/>
      <c r="UCX18" s="91"/>
      <c r="UCY18" s="93"/>
      <c r="UCZ18" s="93"/>
      <c r="UDA18" s="88"/>
      <c r="UDB18" s="88"/>
      <c r="UDC18" s="90"/>
      <c r="UDD18" s="93"/>
      <c r="UDE18" s="88"/>
      <c r="UDF18" s="88"/>
      <c r="UDG18" s="90"/>
      <c r="UDH18" s="93"/>
      <c r="UDI18" s="88"/>
      <c r="UDJ18" s="88"/>
      <c r="UDK18" s="91"/>
      <c r="UDL18" s="93"/>
      <c r="UDM18" s="93"/>
      <c r="UDN18" s="88"/>
      <c r="UDO18" s="88"/>
      <c r="UDP18" s="90"/>
      <c r="UDQ18" s="93"/>
      <c r="UDR18" s="88"/>
      <c r="UDS18" s="88"/>
      <c r="UDT18" s="90"/>
      <c r="UDU18" s="93"/>
      <c r="UDV18" s="88"/>
      <c r="UDW18" s="88"/>
      <c r="UDX18" s="91"/>
      <c r="UDY18" s="93"/>
      <c r="UDZ18" s="93"/>
      <c r="UEA18" s="88"/>
      <c r="UEB18" s="88"/>
      <c r="UEC18" s="90"/>
      <c r="UED18" s="93"/>
      <c r="UEE18" s="88"/>
      <c r="UEF18" s="88"/>
      <c r="UEG18" s="90"/>
      <c r="UEH18" s="93"/>
      <c r="UEI18" s="88"/>
      <c r="UEJ18" s="88"/>
      <c r="UEK18" s="91"/>
      <c r="UEL18" s="93"/>
      <c r="UEM18" s="93"/>
      <c r="UEN18" s="88"/>
      <c r="UEO18" s="88"/>
      <c r="UEP18" s="90"/>
      <c r="UEQ18" s="93"/>
      <c r="UER18" s="88"/>
      <c r="UES18" s="88"/>
      <c r="UET18" s="90"/>
      <c r="UEU18" s="93"/>
      <c r="UEV18" s="88"/>
      <c r="UEW18" s="88"/>
      <c r="UEX18" s="91"/>
      <c r="UEY18" s="93"/>
      <c r="UEZ18" s="93"/>
      <c r="UFA18" s="88"/>
      <c r="UFB18" s="88"/>
      <c r="UFC18" s="90"/>
      <c r="UFD18" s="93"/>
      <c r="UFE18" s="88"/>
      <c r="UFF18" s="88"/>
      <c r="UFG18" s="90"/>
      <c r="UFH18" s="93"/>
      <c r="UFI18" s="88"/>
      <c r="UFJ18" s="88"/>
      <c r="UFK18" s="91"/>
      <c r="UFL18" s="93"/>
      <c r="UFM18" s="93"/>
      <c r="UFN18" s="88"/>
      <c r="UFO18" s="88"/>
      <c r="UFP18" s="90"/>
      <c r="UFQ18" s="93"/>
      <c r="UFR18" s="88"/>
      <c r="UFS18" s="88"/>
      <c r="UFT18" s="90"/>
      <c r="UFU18" s="93"/>
      <c r="UFV18" s="88"/>
      <c r="UFW18" s="88"/>
      <c r="UFX18" s="91"/>
      <c r="UFY18" s="93"/>
      <c r="UFZ18" s="93"/>
      <c r="UGA18" s="88"/>
      <c r="UGB18" s="88"/>
      <c r="UGC18" s="90"/>
      <c r="UGD18" s="93"/>
      <c r="UGE18" s="88"/>
      <c r="UGF18" s="88"/>
      <c r="UGG18" s="90"/>
      <c r="UGH18" s="93"/>
      <c r="UGI18" s="88"/>
      <c r="UGJ18" s="88"/>
      <c r="UGK18" s="91"/>
      <c r="UGL18" s="93"/>
      <c r="UGM18" s="93"/>
      <c r="UGN18" s="88"/>
      <c r="UGO18" s="88"/>
      <c r="UGP18" s="90"/>
      <c r="UGQ18" s="93"/>
      <c r="UGR18" s="88"/>
      <c r="UGS18" s="88"/>
      <c r="UGT18" s="90"/>
      <c r="UGU18" s="93"/>
      <c r="UGV18" s="88"/>
      <c r="UGW18" s="88"/>
      <c r="UGX18" s="91"/>
      <c r="UGY18" s="93"/>
      <c r="UGZ18" s="93"/>
      <c r="UHA18" s="88"/>
      <c r="UHB18" s="88"/>
      <c r="UHC18" s="90"/>
      <c r="UHD18" s="93"/>
      <c r="UHE18" s="88"/>
      <c r="UHF18" s="88"/>
      <c r="UHG18" s="90"/>
      <c r="UHH18" s="93"/>
      <c r="UHI18" s="88"/>
      <c r="UHJ18" s="88"/>
      <c r="UHK18" s="91"/>
      <c r="UHL18" s="93"/>
      <c r="UHM18" s="93"/>
      <c r="UHN18" s="88"/>
      <c r="UHO18" s="88"/>
      <c r="UHP18" s="90"/>
      <c r="UHQ18" s="93"/>
      <c r="UHR18" s="88"/>
      <c r="UHS18" s="88"/>
      <c r="UHT18" s="90"/>
      <c r="UHU18" s="93"/>
      <c r="UHV18" s="88"/>
      <c r="UHW18" s="88"/>
      <c r="UHX18" s="91"/>
      <c r="UHY18" s="93"/>
      <c r="UHZ18" s="93"/>
      <c r="UIA18" s="88"/>
      <c r="UIB18" s="88"/>
      <c r="UIC18" s="90"/>
      <c r="UID18" s="93"/>
      <c r="UIE18" s="88"/>
      <c r="UIF18" s="88"/>
      <c r="UIG18" s="90"/>
      <c r="UIH18" s="93"/>
      <c r="UII18" s="88"/>
      <c r="UIJ18" s="88"/>
      <c r="UIK18" s="91"/>
      <c r="UIL18" s="93"/>
      <c r="UIM18" s="93"/>
      <c r="UIN18" s="88"/>
      <c r="UIO18" s="88"/>
      <c r="UIP18" s="90"/>
      <c r="UIQ18" s="93"/>
      <c r="UIR18" s="88"/>
      <c r="UIS18" s="88"/>
      <c r="UIT18" s="90"/>
      <c r="UIU18" s="93"/>
      <c r="UIV18" s="88"/>
      <c r="UIW18" s="88"/>
      <c r="UIX18" s="91"/>
      <c r="UIY18" s="93"/>
      <c r="UIZ18" s="93"/>
      <c r="UJA18" s="88"/>
      <c r="UJB18" s="88"/>
      <c r="UJC18" s="90"/>
      <c r="UJD18" s="93"/>
      <c r="UJE18" s="88"/>
      <c r="UJF18" s="88"/>
      <c r="UJG18" s="90"/>
      <c r="UJH18" s="93"/>
      <c r="UJI18" s="88"/>
      <c r="UJJ18" s="88"/>
      <c r="UJK18" s="91"/>
      <c r="UJL18" s="93"/>
      <c r="UJM18" s="93"/>
      <c r="UJN18" s="88"/>
      <c r="UJO18" s="88"/>
      <c r="UJP18" s="90"/>
      <c r="UJQ18" s="93"/>
      <c r="UJR18" s="88"/>
      <c r="UJS18" s="88"/>
      <c r="UJT18" s="90"/>
      <c r="UJU18" s="93"/>
      <c r="UJV18" s="88"/>
      <c r="UJW18" s="88"/>
      <c r="UJX18" s="91"/>
      <c r="UJY18" s="93"/>
      <c r="UJZ18" s="93"/>
      <c r="UKA18" s="88"/>
      <c r="UKB18" s="88"/>
      <c r="UKC18" s="90"/>
      <c r="UKD18" s="93"/>
      <c r="UKE18" s="88"/>
      <c r="UKF18" s="88"/>
      <c r="UKG18" s="90"/>
      <c r="UKH18" s="93"/>
      <c r="UKI18" s="88"/>
      <c r="UKJ18" s="88"/>
      <c r="UKK18" s="91"/>
      <c r="UKL18" s="93"/>
      <c r="UKM18" s="93"/>
      <c r="UKN18" s="88"/>
      <c r="UKO18" s="88"/>
      <c r="UKP18" s="90"/>
      <c r="UKQ18" s="93"/>
      <c r="UKR18" s="88"/>
      <c r="UKS18" s="88"/>
      <c r="UKT18" s="90"/>
      <c r="UKU18" s="93"/>
      <c r="UKV18" s="88"/>
      <c r="UKW18" s="88"/>
      <c r="UKX18" s="91"/>
      <c r="UKY18" s="93"/>
      <c r="UKZ18" s="93"/>
      <c r="ULA18" s="88"/>
      <c r="ULB18" s="88"/>
      <c r="ULC18" s="90"/>
      <c r="ULD18" s="93"/>
      <c r="ULE18" s="88"/>
      <c r="ULF18" s="88"/>
      <c r="ULG18" s="90"/>
      <c r="ULH18" s="93"/>
      <c r="ULI18" s="88"/>
      <c r="ULJ18" s="88"/>
      <c r="ULK18" s="91"/>
      <c r="ULL18" s="93"/>
      <c r="ULM18" s="93"/>
      <c r="ULN18" s="88"/>
      <c r="ULO18" s="88"/>
      <c r="ULP18" s="90"/>
      <c r="ULQ18" s="93"/>
      <c r="ULR18" s="88"/>
      <c r="ULS18" s="88"/>
      <c r="ULT18" s="90"/>
      <c r="ULU18" s="93"/>
      <c r="ULV18" s="88"/>
      <c r="ULW18" s="88"/>
      <c r="ULX18" s="91"/>
      <c r="ULY18" s="93"/>
      <c r="ULZ18" s="93"/>
      <c r="UMA18" s="88"/>
      <c r="UMB18" s="88"/>
      <c r="UMC18" s="90"/>
      <c r="UMD18" s="93"/>
      <c r="UME18" s="88"/>
      <c r="UMF18" s="88"/>
      <c r="UMG18" s="90"/>
      <c r="UMH18" s="93"/>
      <c r="UMI18" s="88"/>
      <c r="UMJ18" s="88"/>
      <c r="UMK18" s="91"/>
      <c r="UML18" s="93"/>
      <c r="UMM18" s="93"/>
      <c r="UMN18" s="88"/>
      <c r="UMO18" s="88"/>
      <c r="UMP18" s="90"/>
      <c r="UMQ18" s="93"/>
      <c r="UMR18" s="88"/>
      <c r="UMS18" s="88"/>
      <c r="UMT18" s="90"/>
      <c r="UMU18" s="93"/>
      <c r="UMV18" s="88"/>
      <c r="UMW18" s="88"/>
      <c r="UMX18" s="91"/>
      <c r="UMY18" s="93"/>
      <c r="UMZ18" s="93"/>
      <c r="UNA18" s="88"/>
      <c r="UNB18" s="88"/>
      <c r="UNC18" s="90"/>
      <c r="UND18" s="93"/>
      <c r="UNE18" s="88"/>
      <c r="UNF18" s="88"/>
      <c r="UNG18" s="90"/>
      <c r="UNH18" s="93"/>
      <c r="UNI18" s="88"/>
      <c r="UNJ18" s="88"/>
      <c r="UNK18" s="91"/>
      <c r="UNL18" s="93"/>
      <c r="UNM18" s="93"/>
      <c r="UNN18" s="88"/>
      <c r="UNO18" s="88"/>
      <c r="UNP18" s="90"/>
      <c r="UNQ18" s="93"/>
      <c r="UNR18" s="88"/>
      <c r="UNS18" s="88"/>
      <c r="UNT18" s="90"/>
      <c r="UNU18" s="93"/>
      <c r="UNV18" s="88"/>
      <c r="UNW18" s="88"/>
      <c r="UNX18" s="91"/>
      <c r="UNY18" s="93"/>
      <c r="UNZ18" s="93"/>
      <c r="UOA18" s="88"/>
      <c r="UOB18" s="88"/>
      <c r="UOC18" s="90"/>
      <c r="UOD18" s="93"/>
      <c r="UOE18" s="88"/>
      <c r="UOF18" s="88"/>
      <c r="UOG18" s="90"/>
      <c r="UOH18" s="93"/>
      <c r="UOI18" s="88"/>
      <c r="UOJ18" s="88"/>
      <c r="UOK18" s="91"/>
      <c r="UOL18" s="93"/>
      <c r="UOM18" s="93"/>
      <c r="UON18" s="88"/>
      <c r="UOO18" s="88"/>
      <c r="UOP18" s="90"/>
      <c r="UOQ18" s="93"/>
      <c r="UOR18" s="88"/>
      <c r="UOS18" s="88"/>
      <c r="UOT18" s="90"/>
      <c r="UOU18" s="93"/>
      <c r="UOV18" s="88"/>
      <c r="UOW18" s="88"/>
      <c r="UOX18" s="91"/>
      <c r="UOY18" s="93"/>
      <c r="UOZ18" s="93"/>
      <c r="UPA18" s="88"/>
      <c r="UPB18" s="88"/>
      <c r="UPC18" s="90"/>
      <c r="UPD18" s="93"/>
      <c r="UPE18" s="88"/>
      <c r="UPF18" s="88"/>
      <c r="UPG18" s="90"/>
      <c r="UPH18" s="93"/>
      <c r="UPI18" s="88"/>
      <c r="UPJ18" s="88"/>
      <c r="UPK18" s="91"/>
      <c r="UPL18" s="93"/>
      <c r="UPM18" s="93"/>
      <c r="UPN18" s="88"/>
      <c r="UPO18" s="88"/>
      <c r="UPP18" s="90"/>
      <c r="UPQ18" s="93"/>
      <c r="UPR18" s="88"/>
      <c r="UPS18" s="88"/>
      <c r="UPT18" s="90"/>
      <c r="UPU18" s="93"/>
      <c r="UPV18" s="88"/>
      <c r="UPW18" s="88"/>
      <c r="UPX18" s="91"/>
      <c r="UPY18" s="93"/>
      <c r="UPZ18" s="93"/>
      <c r="UQA18" s="88"/>
      <c r="UQB18" s="88"/>
      <c r="UQC18" s="90"/>
      <c r="UQD18" s="93"/>
      <c r="UQE18" s="88"/>
      <c r="UQF18" s="88"/>
      <c r="UQG18" s="90"/>
      <c r="UQH18" s="93"/>
      <c r="UQI18" s="88"/>
      <c r="UQJ18" s="88"/>
      <c r="UQK18" s="91"/>
      <c r="UQL18" s="93"/>
      <c r="UQM18" s="93"/>
      <c r="UQN18" s="88"/>
      <c r="UQO18" s="88"/>
      <c r="UQP18" s="90"/>
      <c r="UQQ18" s="93"/>
      <c r="UQR18" s="88"/>
      <c r="UQS18" s="88"/>
      <c r="UQT18" s="90"/>
      <c r="UQU18" s="93"/>
      <c r="UQV18" s="88"/>
      <c r="UQW18" s="88"/>
      <c r="UQX18" s="91"/>
      <c r="UQY18" s="93"/>
      <c r="UQZ18" s="93"/>
      <c r="URA18" s="88"/>
      <c r="URB18" s="88"/>
      <c r="URC18" s="90"/>
      <c r="URD18" s="93"/>
      <c r="URE18" s="88"/>
      <c r="URF18" s="88"/>
      <c r="URG18" s="90"/>
      <c r="URH18" s="93"/>
      <c r="URI18" s="88"/>
      <c r="URJ18" s="88"/>
      <c r="URK18" s="91"/>
      <c r="URL18" s="93"/>
      <c r="URM18" s="93"/>
      <c r="URN18" s="88"/>
      <c r="URO18" s="88"/>
      <c r="URP18" s="90"/>
      <c r="URQ18" s="93"/>
      <c r="URR18" s="88"/>
      <c r="URS18" s="88"/>
      <c r="URT18" s="90"/>
      <c r="URU18" s="93"/>
      <c r="URV18" s="88"/>
      <c r="URW18" s="88"/>
      <c r="URX18" s="91"/>
      <c r="URY18" s="93"/>
      <c r="URZ18" s="93"/>
      <c r="USA18" s="88"/>
      <c r="USB18" s="88"/>
      <c r="USC18" s="90"/>
      <c r="USD18" s="93"/>
      <c r="USE18" s="88"/>
      <c r="USF18" s="88"/>
      <c r="USG18" s="90"/>
      <c r="USH18" s="93"/>
      <c r="USI18" s="88"/>
      <c r="USJ18" s="88"/>
      <c r="USK18" s="91"/>
      <c r="USL18" s="93"/>
      <c r="USM18" s="93"/>
      <c r="USN18" s="88"/>
      <c r="USO18" s="88"/>
      <c r="USP18" s="90"/>
      <c r="USQ18" s="93"/>
      <c r="USR18" s="88"/>
      <c r="USS18" s="88"/>
      <c r="UST18" s="90"/>
      <c r="USU18" s="93"/>
      <c r="USV18" s="88"/>
      <c r="USW18" s="88"/>
      <c r="USX18" s="91"/>
      <c r="USY18" s="93"/>
      <c r="USZ18" s="93"/>
      <c r="UTA18" s="88"/>
      <c r="UTB18" s="88"/>
      <c r="UTC18" s="90"/>
      <c r="UTD18" s="93"/>
      <c r="UTE18" s="88"/>
      <c r="UTF18" s="88"/>
      <c r="UTG18" s="90"/>
      <c r="UTH18" s="93"/>
      <c r="UTI18" s="88"/>
      <c r="UTJ18" s="88"/>
      <c r="UTK18" s="91"/>
      <c r="UTL18" s="93"/>
      <c r="UTM18" s="93"/>
      <c r="UTN18" s="88"/>
      <c r="UTO18" s="88"/>
      <c r="UTP18" s="90"/>
      <c r="UTQ18" s="93"/>
      <c r="UTR18" s="88"/>
      <c r="UTS18" s="88"/>
      <c r="UTT18" s="90"/>
      <c r="UTU18" s="93"/>
      <c r="UTV18" s="88"/>
      <c r="UTW18" s="88"/>
      <c r="UTX18" s="91"/>
      <c r="UTY18" s="93"/>
      <c r="UTZ18" s="93"/>
      <c r="UUA18" s="88"/>
      <c r="UUB18" s="88"/>
      <c r="UUC18" s="90"/>
      <c r="UUD18" s="93"/>
      <c r="UUE18" s="88"/>
      <c r="UUF18" s="88"/>
      <c r="UUG18" s="90"/>
      <c r="UUH18" s="93"/>
      <c r="UUI18" s="88"/>
      <c r="UUJ18" s="88"/>
      <c r="UUK18" s="91"/>
      <c r="UUL18" s="93"/>
      <c r="UUM18" s="93"/>
      <c r="UUN18" s="88"/>
      <c r="UUO18" s="88"/>
      <c r="UUP18" s="90"/>
      <c r="UUQ18" s="93"/>
      <c r="UUR18" s="88"/>
      <c r="UUS18" s="88"/>
      <c r="UUT18" s="90"/>
      <c r="UUU18" s="93"/>
      <c r="UUV18" s="88"/>
      <c r="UUW18" s="88"/>
      <c r="UUX18" s="91"/>
      <c r="UUY18" s="93"/>
      <c r="UUZ18" s="93"/>
      <c r="UVA18" s="88"/>
      <c r="UVB18" s="88"/>
      <c r="UVC18" s="90"/>
      <c r="UVD18" s="93"/>
      <c r="UVE18" s="88"/>
      <c r="UVF18" s="88"/>
      <c r="UVG18" s="90"/>
      <c r="UVH18" s="93"/>
      <c r="UVI18" s="88"/>
      <c r="UVJ18" s="88"/>
      <c r="UVK18" s="91"/>
      <c r="UVL18" s="93"/>
      <c r="UVM18" s="93"/>
      <c r="UVN18" s="88"/>
      <c r="UVO18" s="88"/>
      <c r="UVP18" s="90"/>
      <c r="UVQ18" s="93"/>
      <c r="UVR18" s="88"/>
      <c r="UVS18" s="88"/>
      <c r="UVT18" s="90"/>
      <c r="UVU18" s="93"/>
      <c r="UVV18" s="88"/>
      <c r="UVW18" s="88"/>
      <c r="UVX18" s="91"/>
      <c r="UVY18" s="93"/>
      <c r="UVZ18" s="93"/>
      <c r="UWA18" s="88"/>
      <c r="UWB18" s="88"/>
      <c r="UWC18" s="90"/>
      <c r="UWD18" s="93"/>
      <c r="UWE18" s="88"/>
      <c r="UWF18" s="88"/>
      <c r="UWG18" s="90"/>
      <c r="UWH18" s="93"/>
      <c r="UWI18" s="88"/>
      <c r="UWJ18" s="88"/>
      <c r="UWK18" s="91"/>
      <c r="UWL18" s="93"/>
      <c r="UWM18" s="93"/>
      <c r="UWN18" s="88"/>
      <c r="UWO18" s="88"/>
      <c r="UWP18" s="90"/>
      <c r="UWQ18" s="93"/>
      <c r="UWR18" s="88"/>
      <c r="UWS18" s="88"/>
      <c r="UWT18" s="90"/>
      <c r="UWU18" s="93"/>
      <c r="UWV18" s="88"/>
      <c r="UWW18" s="88"/>
      <c r="UWX18" s="91"/>
      <c r="UWY18" s="93"/>
      <c r="UWZ18" s="93"/>
      <c r="UXA18" s="88"/>
      <c r="UXB18" s="88"/>
      <c r="UXC18" s="90"/>
      <c r="UXD18" s="93"/>
      <c r="UXE18" s="88"/>
      <c r="UXF18" s="88"/>
      <c r="UXG18" s="90"/>
      <c r="UXH18" s="93"/>
      <c r="UXI18" s="88"/>
      <c r="UXJ18" s="88"/>
      <c r="UXK18" s="91"/>
      <c r="UXL18" s="93"/>
      <c r="UXM18" s="93"/>
      <c r="UXN18" s="88"/>
      <c r="UXO18" s="88"/>
      <c r="UXP18" s="90"/>
      <c r="UXQ18" s="93"/>
      <c r="UXR18" s="88"/>
      <c r="UXS18" s="88"/>
      <c r="UXT18" s="90"/>
      <c r="UXU18" s="93"/>
      <c r="UXV18" s="88"/>
      <c r="UXW18" s="88"/>
      <c r="UXX18" s="91"/>
      <c r="UXY18" s="93"/>
      <c r="UXZ18" s="93"/>
      <c r="UYA18" s="88"/>
      <c r="UYB18" s="88"/>
      <c r="UYC18" s="90"/>
      <c r="UYD18" s="93"/>
      <c r="UYE18" s="88"/>
      <c r="UYF18" s="88"/>
      <c r="UYG18" s="90"/>
      <c r="UYH18" s="93"/>
      <c r="UYI18" s="88"/>
      <c r="UYJ18" s="88"/>
      <c r="UYK18" s="91"/>
      <c r="UYL18" s="93"/>
      <c r="UYM18" s="93"/>
      <c r="UYN18" s="88"/>
      <c r="UYO18" s="88"/>
      <c r="UYP18" s="90"/>
      <c r="UYQ18" s="93"/>
      <c r="UYR18" s="88"/>
      <c r="UYS18" s="88"/>
      <c r="UYT18" s="90"/>
      <c r="UYU18" s="93"/>
      <c r="UYV18" s="88"/>
      <c r="UYW18" s="88"/>
      <c r="UYX18" s="91"/>
      <c r="UYY18" s="93"/>
      <c r="UYZ18" s="93"/>
      <c r="UZA18" s="88"/>
      <c r="UZB18" s="88"/>
      <c r="UZC18" s="90"/>
      <c r="UZD18" s="93"/>
      <c r="UZE18" s="88"/>
      <c r="UZF18" s="88"/>
      <c r="UZG18" s="90"/>
      <c r="UZH18" s="93"/>
      <c r="UZI18" s="88"/>
      <c r="UZJ18" s="88"/>
      <c r="UZK18" s="91"/>
      <c r="UZL18" s="93"/>
      <c r="UZM18" s="93"/>
      <c r="UZN18" s="88"/>
      <c r="UZO18" s="88"/>
      <c r="UZP18" s="90"/>
      <c r="UZQ18" s="93"/>
      <c r="UZR18" s="88"/>
      <c r="UZS18" s="88"/>
      <c r="UZT18" s="90"/>
      <c r="UZU18" s="93"/>
      <c r="UZV18" s="88"/>
      <c r="UZW18" s="88"/>
      <c r="UZX18" s="91"/>
      <c r="UZY18" s="93"/>
      <c r="UZZ18" s="93"/>
      <c r="VAA18" s="88"/>
      <c r="VAB18" s="88"/>
      <c r="VAC18" s="90"/>
      <c r="VAD18" s="93"/>
      <c r="VAE18" s="88"/>
      <c r="VAF18" s="88"/>
      <c r="VAG18" s="90"/>
      <c r="VAH18" s="93"/>
      <c r="VAI18" s="88"/>
      <c r="VAJ18" s="88"/>
      <c r="VAK18" s="91"/>
      <c r="VAL18" s="93"/>
      <c r="VAM18" s="93"/>
      <c r="VAN18" s="88"/>
      <c r="VAO18" s="88"/>
      <c r="VAP18" s="90"/>
      <c r="VAQ18" s="93"/>
      <c r="VAR18" s="88"/>
      <c r="VAS18" s="88"/>
      <c r="VAT18" s="90"/>
      <c r="VAU18" s="93"/>
      <c r="VAV18" s="88"/>
      <c r="VAW18" s="88"/>
      <c r="VAX18" s="91"/>
      <c r="VAY18" s="93"/>
      <c r="VAZ18" s="93"/>
      <c r="VBA18" s="88"/>
      <c r="VBB18" s="88"/>
      <c r="VBC18" s="90"/>
      <c r="VBD18" s="93"/>
      <c r="VBE18" s="88"/>
      <c r="VBF18" s="88"/>
      <c r="VBG18" s="90"/>
      <c r="VBH18" s="93"/>
      <c r="VBI18" s="88"/>
      <c r="VBJ18" s="88"/>
      <c r="VBK18" s="91"/>
      <c r="VBL18" s="93"/>
      <c r="VBM18" s="93"/>
      <c r="VBN18" s="88"/>
      <c r="VBO18" s="88"/>
      <c r="VBP18" s="90"/>
      <c r="VBQ18" s="93"/>
      <c r="VBR18" s="88"/>
      <c r="VBS18" s="88"/>
      <c r="VBT18" s="90"/>
      <c r="VBU18" s="93"/>
      <c r="VBV18" s="88"/>
      <c r="VBW18" s="88"/>
      <c r="VBX18" s="91"/>
      <c r="VBY18" s="93"/>
      <c r="VBZ18" s="93"/>
      <c r="VCA18" s="88"/>
      <c r="VCB18" s="88"/>
      <c r="VCC18" s="90"/>
      <c r="VCD18" s="93"/>
      <c r="VCE18" s="88"/>
      <c r="VCF18" s="88"/>
      <c r="VCG18" s="90"/>
      <c r="VCH18" s="93"/>
      <c r="VCI18" s="88"/>
      <c r="VCJ18" s="88"/>
      <c r="VCK18" s="91"/>
      <c r="VCL18" s="93"/>
      <c r="VCM18" s="93"/>
      <c r="VCN18" s="88"/>
      <c r="VCO18" s="88"/>
      <c r="VCP18" s="90"/>
      <c r="VCQ18" s="93"/>
      <c r="VCR18" s="88"/>
      <c r="VCS18" s="88"/>
      <c r="VCT18" s="90"/>
      <c r="VCU18" s="93"/>
      <c r="VCV18" s="88"/>
      <c r="VCW18" s="88"/>
      <c r="VCX18" s="91"/>
      <c r="VCY18" s="93"/>
      <c r="VCZ18" s="93"/>
      <c r="VDA18" s="88"/>
      <c r="VDB18" s="88"/>
      <c r="VDC18" s="90"/>
      <c r="VDD18" s="93"/>
      <c r="VDE18" s="88"/>
      <c r="VDF18" s="88"/>
      <c r="VDG18" s="90"/>
      <c r="VDH18" s="93"/>
      <c r="VDI18" s="88"/>
      <c r="VDJ18" s="88"/>
      <c r="VDK18" s="91"/>
      <c r="VDL18" s="93"/>
      <c r="VDM18" s="93"/>
      <c r="VDN18" s="88"/>
      <c r="VDO18" s="88"/>
      <c r="VDP18" s="90"/>
      <c r="VDQ18" s="93"/>
      <c r="VDR18" s="88"/>
      <c r="VDS18" s="88"/>
      <c r="VDT18" s="90"/>
      <c r="VDU18" s="93"/>
      <c r="VDV18" s="88"/>
      <c r="VDW18" s="88"/>
      <c r="VDX18" s="91"/>
      <c r="VDY18" s="93"/>
      <c r="VDZ18" s="93"/>
      <c r="VEA18" s="88"/>
      <c r="VEB18" s="88"/>
      <c r="VEC18" s="90"/>
      <c r="VED18" s="93"/>
      <c r="VEE18" s="88"/>
      <c r="VEF18" s="88"/>
      <c r="VEG18" s="90"/>
      <c r="VEH18" s="93"/>
      <c r="VEI18" s="88"/>
      <c r="VEJ18" s="88"/>
      <c r="VEK18" s="91"/>
      <c r="VEL18" s="93"/>
      <c r="VEM18" s="93"/>
      <c r="VEN18" s="88"/>
      <c r="VEO18" s="88"/>
      <c r="VEP18" s="90"/>
      <c r="VEQ18" s="93"/>
      <c r="VER18" s="88"/>
      <c r="VES18" s="88"/>
      <c r="VET18" s="90"/>
      <c r="VEU18" s="93"/>
      <c r="VEV18" s="88"/>
      <c r="VEW18" s="88"/>
      <c r="VEX18" s="91"/>
      <c r="VEY18" s="93"/>
      <c r="VEZ18" s="93"/>
      <c r="VFA18" s="88"/>
      <c r="VFB18" s="88"/>
      <c r="VFC18" s="90"/>
      <c r="VFD18" s="93"/>
      <c r="VFE18" s="88"/>
      <c r="VFF18" s="88"/>
      <c r="VFG18" s="90"/>
      <c r="VFH18" s="93"/>
      <c r="VFI18" s="88"/>
      <c r="VFJ18" s="88"/>
      <c r="VFK18" s="91"/>
      <c r="VFL18" s="93"/>
      <c r="VFM18" s="93"/>
      <c r="VFN18" s="88"/>
      <c r="VFO18" s="88"/>
      <c r="VFP18" s="90"/>
      <c r="VFQ18" s="93"/>
      <c r="VFR18" s="88"/>
      <c r="VFS18" s="88"/>
      <c r="VFT18" s="90"/>
      <c r="VFU18" s="93"/>
      <c r="VFV18" s="88"/>
      <c r="VFW18" s="88"/>
      <c r="VFX18" s="91"/>
      <c r="VFY18" s="93"/>
      <c r="VFZ18" s="93"/>
      <c r="VGA18" s="88"/>
      <c r="VGB18" s="88"/>
      <c r="VGC18" s="90"/>
      <c r="VGD18" s="93"/>
      <c r="VGE18" s="88"/>
      <c r="VGF18" s="88"/>
      <c r="VGG18" s="90"/>
      <c r="VGH18" s="93"/>
      <c r="VGI18" s="88"/>
      <c r="VGJ18" s="88"/>
      <c r="VGK18" s="91"/>
      <c r="VGL18" s="93"/>
      <c r="VGM18" s="93"/>
      <c r="VGN18" s="88"/>
      <c r="VGO18" s="88"/>
      <c r="VGP18" s="90"/>
      <c r="VGQ18" s="93"/>
      <c r="VGR18" s="88"/>
      <c r="VGS18" s="88"/>
      <c r="VGT18" s="90"/>
      <c r="VGU18" s="93"/>
      <c r="VGV18" s="88"/>
      <c r="VGW18" s="88"/>
      <c r="VGX18" s="91"/>
      <c r="VGY18" s="93"/>
      <c r="VGZ18" s="93"/>
      <c r="VHA18" s="88"/>
      <c r="VHB18" s="88"/>
      <c r="VHC18" s="90"/>
      <c r="VHD18" s="93"/>
      <c r="VHE18" s="88"/>
      <c r="VHF18" s="88"/>
      <c r="VHG18" s="90"/>
      <c r="VHH18" s="93"/>
      <c r="VHI18" s="88"/>
      <c r="VHJ18" s="88"/>
      <c r="VHK18" s="91"/>
      <c r="VHL18" s="93"/>
      <c r="VHM18" s="93"/>
      <c r="VHN18" s="88"/>
      <c r="VHO18" s="88"/>
      <c r="VHP18" s="90"/>
      <c r="VHQ18" s="93"/>
      <c r="VHR18" s="88"/>
      <c r="VHS18" s="88"/>
      <c r="VHT18" s="90"/>
      <c r="VHU18" s="93"/>
      <c r="VHV18" s="88"/>
      <c r="VHW18" s="88"/>
      <c r="VHX18" s="91"/>
      <c r="VHY18" s="93"/>
      <c r="VHZ18" s="93"/>
      <c r="VIA18" s="88"/>
      <c r="VIB18" s="88"/>
      <c r="VIC18" s="90"/>
      <c r="VID18" s="93"/>
      <c r="VIE18" s="88"/>
      <c r="VIF18" s="88"/>
      <c r="VIG18" s="90"/>
      <c r="VIH18" s="93"/>
      <c r="VII18" s="88"/>
      <c r="VIJ18" s="88"/>
      <c r="VIK18" s="91"/>
      <c r="VIL18" s="93"/>
      <c r="VIM18" s="93"/>
      <c r="VIN18" s="88"/>
      <c r="VIO18" s="88"/>
      <c r="VIP18" s="90"/>
      <c r="VIQ18" s="93"/>
      <c r="VIR18" s="88"/>
      <c r="VIS18" s="88"/>
      <c r="VIT18" s="90"/>
      <c r="VIU18" s="93"/>
      <c r="VIV18" s="88"/>
      <c r="VIW18" s="88"/>
      <c r="VIX18" s="91"/>
      <c r="VIY18" s="93"/>
      <c r="VIZ18" s="93"/>
      <c r="VJA18" s="88"/>
      <c r="VJB18" s="88"/>
      <c r="VJC18" s="90"/>
      <c r="VJD18" s="93"/>
      <c r="VJE18" s="88"/>
      <c r="VJF18" s="88"/>
      <c r="VJG18" s="90"/>
      <c r="VJH18" s="93"/>
      <c r="VJI18" s="88"/>
      <c r="VJJ18" s="88"/>
      <c r="VJK18" s="91"/>
      <c r="VJL18" s="93"/>
      <c r="VJM18" s="93"/>
      <c r="VJN18" s="88"/>
      <c r="VJO18" s="88"/>
      <c r="VJP18" s="90"/>
      <c r="VJQ18" s="93"/>
      <c r="VJR18" s="88"/>
      <c r="VJS18" s="88"/>
      <c r="VJT18" s="90"/>
      <c r="VJU18" s="93"/>
      <c r="VJV18" s="88"/>
      <c r="VJW18" s="88"/>
      <c r="VJX18" s="91"/>
      <c r="VJY18" s="93"/>
      <c r="VJZ18" s="93"/>
      <c r="VKA18" s="88"/>
      <c r="VKB18" s="88"/>
      <c r="VKC18" s="90"/>
      <c r="VKD18" s="93"/>
      <c r="VKE18" s="88"/>
      <c r="VKF18" s="88"/>
      <c r="VKG18" s="90"/>
      <c r="VKH18" s="93"/>
      <c r="VKI18" s="88"/>
      <c r="VKJ18" s="88"/>
      <c r="VKK18" s="91"/>
      <c r="VKL18" s="93"/>
      <c r="VKM18" s="93"/>
      <c r="VKN18" s="88"/>
      <c r="VKO18" s="88"/>
      <c r="VKP18" s="90"/>
      <c r="VKQ18" s="93"/>
      <c r="VKR18" s="88"/>
      <c r="VKS18" s="88"/>
      <c r="VKT18" s="90"/>
      <c r="VKU18" s="93"/>
      <c r="VKV18" s="88"/>
      <c r="VKW18" s="88"/>
      <c r="VKX18" s="91"/>
      <c r="VKY18" s="93"/>
      <c r="VKZ18" s="93"/>
      <c r="VLA18" s="88"/>
      <c r="VLB18" s="88"/>
      <c r="VLC18" s="90"/>
      <c r="VLD18" s="93"/>
      <c r="VLE18" s="88"/>
      <c r="VLF18" s="88"/>
      <c r="VLG18" s="90"/>
      <c r="VLH18" s="93"/>
      <c r="VLI18" s="88"/>
      <c r="VLJ18" s="88"/>
      <c r="VLK18" s="91"/>
      <c r="VLL18" s="93"/>
      <c r="VLM18" s="93"/>
      <c r="VLN18" s="88"/>
      <c r="VLO18" s="88"/>
      <c r="VLP18" s="90"/>
      <c r="VLQ18" s="93"/>
      <c r="VLR18" s="88"/>
      <c r="VLS18" s="88"/>
      <c r="VLT18" s="90"/>
      <c r="VLU18" s="93"/>
      <c r="VLV18" s="88"/>
      <c r="VLW18" s="88"/>
      <c r="VLX18" s="91"/>
      <c r="VLY18" s="93"/>
      <c r="VLZ18" s="93"/>
      <c r="VMA18" s="88"/>
      <c r="VMB18" s="88"/>
      <c r="VMC18" s="90"/>
      <c r="VMD18" s="93"/>
      <c r="VME18" s="88"/>
      <c r="VMF18" s="88"/>
      <c r="VMG18" s="90"/>
      <c r="VMH18" s="93"/>
      <c r="VMI18" s="88"/>
      <c r="VMJ18" s="88"/>
      <c r="VMK18" s="91"/>
      <c r="VML18" s="93"/>
      <c r="VMM18" s="93"/>
      <c r="VMN18" s="88"/>
      <c r="VMO18" s="88"/>
      <c r="VMP18" s="90"/>
      <c r="VMQ18" s="93"/>
      <c r="VMR18" s="88"/>
      <c r="VMS18" s="88"/>
      <c r="VMT18" s="90"/>
      <c r="VMU18" s="93"/>
      <c r="VMV18" s="88"/>
      <c r="VMW18" s="88"/>
      <c r="VMX18" s="91"/>
      <c r="VMY18" s="93"/>
      <c r="VMZ18" s="93"/>
      <c r="VNA18" s="88"/>
      <c r="VNB18" s="88"/>
      <c r="VNC18" s="90"/>
      <c r="VND18" s="93"/>
      <c r="VNE18" s="88"/>
      <c r="VNF18" s="88"/>
      <c r="VNG18" s="90"/>
      <c r="VNH18" s="93"/>
      <c r="VNI18" s="88"/>
      <c r="VNJ18" s="88"/>
      <c r="VNK18" s="91"/>
      <c r="VNL18" s="93"/>
      <c r="VNM18" s="93"/>
      <c r="VNN18" s="88"/>
      <c r="VNO18" s="88"/>
      <c r="VNP18" s="90"/>
      <c r="VNQ18" s="93"/>
      <c r="VNR18" s="88"/>
      <c r="VNS18" s="88"/>
      <c r="VNT18" s="90"/>
      <c r="VNU18" s="93"/>
      <c r="VNV18" s="88"/>
      <c r="VNW18" s="88"/>
      <c r="VNX18" s="91"/>
      <c r="VNY18" s="93"/>
      <c r="VNZ18" s="93"/>
      <c r="VOA18" s="88"/>
      <c r="VOB18" s="88"/>
      <c r="VOC18" s="90"/>
      <c r="VOD18" s="93"/>
      <c r="VOE18" s="88"/>
      <c r="VOF18" s="88"/>
      <c r="VOG18" s="90"/>
      <c r="VOH18" s="93"/>
      <c r="VOI18" s="88"/>
      <c r="VOJ18" s="88"/>
      <c r="VOK18" s="91"/>
      <c r="VOL18" s="93"/>
      <c r="VOM18" s="93"/>
      <c r="VON18" s="88"/>
      <c r="VOO18" s="88"/>
      <c r="VOP18" s="90"/>
      <c r="VOQ18" s="93"/>
      <c r="VOR18" s="88"/>
      <c r="VOS18" s="88"/>
      <c r="VOT18" s="90"/>
      <c r="VOU18" s="93"/>
      <c r="VOV18" s="88"/>
      <c r="VOW18" s="88"/>
      <c r="VOX18" s="91"/>
      <c r="VOY18" s="93"/>
      <c r="VOZ18" s="93"/>
      <c r="VPA18" s="88"/>
      <c r="VPB18" s="88"/>
      <c r="VPC18" s="90"/>
      <c r="VPD18" s="93"/>
      <c r="VPE18" s="88"/>
      <c r="VPF18" s="88"/>
      <c r="VPG18" s="90"/>
      <c r="VPH18" s="93"/>
      <c r="VPI18" s="88"/>
      <c r="VPJ18" s="88"/>
      <c r="VPK18" s="91"/>
      <c r="VPL18" s="93"/>
      <c r="VPM18" s="93"/>
      <c r="VPN18" s="88"/>
      <c r="VPO18" s="88"/>
      <c r="VPP18" s="90"/>
      <c r="VPQ18" s="93"/>
      <c r="VPR18" s="88"/>
      <c r="VPS18" s="88"/>
      <c r="VPT18" s="90"/>
      <c r="VPU18" s="93"/>
      <c r="VPV18" s="88"/>
      <c r="VPW18" s="88"/>
      <c r="VPX18" s="91"/>
      <c r="VPY18" s="93"/>
      <c r="VPZ18" s="93"/>
      <c r="VQA18" s="88"/>
      <c r="VQB18" s="88"/>
      <c r="VQC18" s="90"/>
      <c r="VQD18" s="93"/>
      <c r="VQE18" s="88"/>
      <c r="VQF18" s="88"/>
      <c r="VQG18" s="90"/>
      <c r="VQH18" s="93"/>
      <c r="VQI18" s="88"/>
      <c r="VQJ18" s="88"/>
      <c r="VQK18" s="91"/>
      <c r="VQL18" s="93"/>
      <c r="VQM18" s="93"/>
      <c r="VQN18" s="88"/>
      <c r="VQO18" s="88"/>
      <c r="VQP18" s="90"/>
      <c r="VQQ18" s="93"/>
      <c r="VQR18" s="88"/>
      <c r="VQS18" s="88"/>
      <c r="VQT18" s="90"/>
      <c r="VQU18" s="93"/>
      <c r="VQV18" s="88"/>
      <c r="VQW18" s="88"/>
      <c r="VQX18" s="91"/>
      <c r="VQY18" s="93"/>
      <c r="VQZ18" s="93"/>
      <c r="VRA18" s="88"/>
      <c r="VRB18" s="88"/>
      <c r="VRC18" s="90"/>
      <c r="VRD18" s="93"/>
      <c r="VRE18" s="88"/>
      <c r="VRF18" s="88"/>
      <c r="VRG18" s="90"/>
      <c r="VRH18" s="93"/>
      <c r="VRI18" s="88"/>
      <c r="VRJ18" s="88"/>
      <c r="VRK18" s="91"/>
      <c r="VRL18" s="93"/>
      <c r="VRM18" s="93"/>
      <c r="VRN18" s="88"/>
      <c r="VRO18" s="88"/>
      <c r="VRP18" s="90"/>
      <c r="VRQ18" s="93"/>
      <c r="VRR18" s="88"/>
      <c r="VRS18" s="88"/>
      <c r="VRT18" s="90"/>
      <c r="VRU18" s="93"/>
      <c r="VRV18" s="88"/>
      <c r="VRW18" s="88"/>
      <c r="VRX18" s="91"/>
      <c r="VRY18" s="93"/>
      <c r="VRZ18" s="93"/>
      <c r="VSA18" s="88"/>
      <c r="VSB18" s="88"/>
      <c r="VSC18" s="90"/>
      <c r="VSD18" s="93"/>
      <c r="VSE18" s="88"/>
      <c r="VSF18" s="88"/>
      <c r="VSG18" s="90"/>
      <c r="VSH18" s="93"/>
      <c r="VSI18" s="88"/>
      <c r="VSJ18" s="88"/>
      <c r="VSK18" s="91"/>
      <c r="VSL18" s="93"/>
      <c r="VSM18" s="93"/>
      <c r="VSN18" s="88"/>
      <c r="VSO18" s="88"/>
      <c r="VSP18" s="90"/>
      <c r="VSQ18" s="93"/>
      <c r="VSR18" s="88"/>
      <c r="VSS18" s="88"/>
      <c r="VST18" s="90"/>
      <c r="VSU18" s="93"/>
      <c r="VSV18" s="88"/>
      <c r="VSW18" s="88"/>
      <c r="VSX18" s="91"/>
      <c r="VSY18" s="93"/>
      <c r="VSZ18" s="93"/>
      <c r="VTA18" s="88"/>
      <c r="VTB18" s="88"/>
      <c r="VTC18" s="90"/>
      <c r="VTD18" s="93"/>
      <c r="VTE18" s="88"/>
      <c r="VTF18" s="88"/>
      <c r="VTG18" s="90"/>
      <c r="VTH18" s="93"/>
      <c r="VTI18" s="88"/>
      <c r="VTJ18" s="88"/>
      <c r="VTK18" s="91"/>
      <c r="VTL18" s="93"/>
      <c r="VTM18" s="93"/>
      <c r="VTN18" s="88"/>
      <c r="VTO18" s="88"/>
      <c r="VTP18" s="90"/>
      <c r="VTQ18" s="93"/>
      <c r="VTR18" s="88"/>
      <c r="VTS18" s="88"/>
      <c r="VTT18" s="90"/>
      <c r="VTU18" s="93"/>
      <c r="VTV18" s="88"/>
      <c r="VTW18" s="88"/>
      <c r="VTX18" s="91"/>
      <c r="VTY18" s="93"/>
      <c r="VTZ18" s="93"/>
      <c r="VUA18" s="88"/>
      <c r="VUB18" s="88"/>
      <c r="VUC18" s="90"/>
      <c r="VUD18" s="93"/>
      <c r="VUE18" s="88"/>
      <c r="VUF18" s="88"/>
      <c r="VUG18" s="90"/>
      <c r="VUH18" s="93"/>
      <c r="VUI18" s="88"/>
      <c r="VUJ18" s="88"/>
      <c r="VUK18" s="91"/>
      <c r="VUL18" s="93"/>
      <c r="VUM18" s="93"/>
      <c r="VUN18" s="88"/>
      <c r="VUO18" s="88"/>
      <c r="VUP18" s="90"/>
      <c r="VUQ18" s="93"/>
      <c r="VUR18" s="88"/>
      <c r="VUS18" s="88"/>
      <c r="VUT18" s="90"/>
      <c r="VUU18" s="93"/>
      <c r="VUV18" s="88"/>
      <c r="VUW18" s="88"/>
      <c r="VUX18" s="91"/>
      <c r="VUY18" s="93"/>
      <c r="VUZ18" s="93"/>
      <c r="VVA18" s="88"/>
      <c r="VVB18" s="88"/>
      <c r="VVC18" s="90"/>
      <c r="VVD18" s="93"/>
      <c r="VVE18" s="88"/>
      <c r="VVF18" s="88"/>
      <c r="VVG18" s="90"/>
      <c r="VVH18" s="93"/>
      <c r="VVI18" s="88"/>
      <c r="VVJ18" s="88"/>
      <c r="VVK18" s="91"/>
      <c r="VVL18" s="93"/>
      <c r="VVM18" s="93"/>
      <c r="VVN18" s="88"/>
      <c r="VVO18" s="88"/>
      <c r="VVP18" s="90"/>
      <c r="VVQ18" s="93"/>
      <c r="VVR18" s="88"/>
      <c r="VVS18" s="88"/>
      <c r="VVT18" s="90"/>
      <c r="VVU18" s="93"/>
      <c r="VVV18" s="88"/>
      <c r="VVW18" s="88"/>
      <c r="VVX18" s="91"/>
      <c r="VVY18" s="93"/>
      <c r="VVZ18" s="93"/>
      <c r="VWA18" s="88"/>
      <c r="VWB18" s="88"/>
      <c r="VWC18" s="90"/>
      <c r="VWD18" s="93"/>
      <c r="VWE18" s="88"/>
      <c r="VWF18" s="88"/>
      <c r="VWG18" s="90"/>
      <c r="VWH18" s="93"/>
      <c r="VWI18" s="88"/>
      <c r="VWJ18" s="88"/>
      <c r="VWK18" s="91"/>
      <c r="VWL18" s="93"/>
      <c r="VWM18" s="93"/>
      <c r="VWN18" s="88"/>
      <c r="VWO18" s="88"/>
      <c r="VWP18" s="90"/>
      <c r="VWQ18" s="93"/>
      <c r="VWR18" s="88"/>
      <c r="VWS18" s="88"/>
      <c r="VWT18" s="90"/>
      <c r="VWU18" s="93"/>
      <c r="VWV18" s="88"/>
      <c r="VWW18" s="88"/>
      <c r="VWX18" s="91"/>
      <c r="VWY18" s="93"/>
      <c r="VWZ18" s="93"/>
      <c r="VXA18" s="88"/>
      <c r="VXB18" s="88"/>
      <c r="VXC18" s="90"/>
      <c r="VXD18" s="93"/>
      <c r="VXE18" s="88"/>
      <c r="VXF18" s="88"/>
      <c r="VXG18" s="90"/>
      <c r="VXH18" s="93"/>
      <c r="VXI18" s="88"/>
      <c r="VXJ18" s="88"/>
      <c r="VXK18" s="91"/>
      <c r="VXL18" s="93"/>
      <c r="VXM18" s="93"/>
      <c r="VXN18" s="88"/>
      <c r="VXO18" s="88"/>
      <c r="VXP18" s="90"/>
      <c r="VXQ18" s="93"/>
      <c r="VXR18" s="88"/>
      <c r="VXS18" s="88"/>
      <c r="VXT18" s="90"/>
      <c r="VXU18" s="93"/>
      <c r="VXV18" s="88"/>
      <c r="VXW18" s="88"/>
      <c r="VXX18" s="91"/>
      <c r="VXY18" s="93"/>
      <c r="VXZ18" s="93"/>
      <c r="VYA18" s="88"/>
      <c r="VYB18" s="88"/>
      <c r="VYC18" s="90"/>
      <c r="VYD18" s="93"/>
      <c r="VYE18" s="88"/>
      <c r="VYF18" s="88"/>
      <c r="VYG18" s="90"/>
      <c r="VYH18" s="93"/>
      <c r="VYI18" s="88"/>
      <c r="VYJ18" s="88"/>
      <c r="VYK18" s="91"/>
      <c r="VYL18" s="93"/>
      <c r="VYM18" s="93"/>
      <c r="VYN18" s="88"/>
      <c r="VYO18" s="88"/>
      <c r="VYP18" s="90"/>
      <c r="VYQ18" s="93"/>
      <c r="VYR18" s="88"/>
      <c r="VYS18" s="88"/>
      <c r="VYT18" s="90"/>
      <c r="VYU18" s="93"/>
      <c r="VYV18" s="88"/>
      <c r="VYW18" s="88"/>
      <c r="VYX18" s="91"/>
      <c r="VYY18" s="93"/>
      <c r="VYZ18" s="93"/>
      <c r="VZA18" s="88"/>
      <c r="VZB18" s="88"/>
      <c r="VZC18" s="90"/>
      <c r="VZD18" s="93"/>
      <c r="VZE18" s="88"/>
      <c r="VZF18" s="88"/>
      <c r="VZG18" s="90"/>
      <c r="VZH18" s="93"/>
      <c r="VZI18" s="88"/>
      <c r="VZJ18" s="88"/>
      <c r="VZK18" s="91"/>
      <c r="VZL18" s="93"/>
      <c r="VZM18" s="93"/>
      <c r="VZN18" s="88"/>
      <c r="VZO18" s="88"/>
      <c r="VZP18" s="90"/>
      <c r="VZQ18" s="93"/>
      <c r="VZR18" s="88"/>
      <c r="VZS18" s="88"/>
      <c r="VZT18" s="90"/>
      <c r="VZU18" s="93"/>
      <c r="VZV18" s="88"/>
      <c r="VZW18" s="88"/>
      <c r="VZX18" s="91"/>
      <c r="VZY18" s="93"/>
      <c r="VZZ18" s="93"/>
      <c r="WAA18" s="88"/>
      <c r="WAB18" s="88"/>
      <c r="WAC18" s="90"/>
      <c r="WAD18" s="93"/>
      <c r="WAE18" s="88"/>
      <c r="WAF18" s="88"/>
      <c r="WAG18" s="90"/>
      <c r="WAH18" s="93"/>
      <c r="WAI18" s="88"/>
      <c r="WAJ18" s="88"/>
      <c r="WAK18" s="91"/>
      <c r="WAL18" s="93"/>
      <c r="WAM18" s="93"/>
      <c r="WAN18" s="88"/>
      <c r="WAO18" s="88"/>
      <c r="WAP18" s="90"/>
      <c r="WAQ18" s="93"/>
      <c r="WAR18" s="88"/>
      <c r="WAS18" s="88"/>
      <c r="WAT18" s="90"/>
      <c r="WAU18" s="93"/>
      <c r="WAV18" s="88"/>
      <c r="WAW18" s="88"/>
      <c r="WAX18" s="91"/>
      <c r="WAY18" s="93"/>
      <c r="WAZ18" s="93"/>
      <c r="WBA18" s="88"/>
      <c r="WBB18" s="88"/>
      <c r="WBC18" s="90"/>
      <c r="WBD18" s="93"/>
      <c r="WBE18" s="88"/>
      <c r="WBF18" s="88"/>
      <c r="WBG18" s="90"/>
      <c r="WBH18" s="93"/>
      <c r="WBI18" s="88"/>
      <c r="WBJ18" s="88"/>
      <c r="WBK18" s="91"/>
      <c r="WBL18" s="93"/>
      <c r="WBM18" s="93"/>
      <c r="WBN18" s="88"/>
      <c r="WBO18" s="88"/>
      <c r="WBP18" s="90"/>
      <c r="WBQ18" s="93"/>
      <c r="WBR18" s="88"/>
      <c r="WBS18" s="88"/>
      <c r="WBT18" s="90"/>
      <c r="WBU18" s="93"/>
      <c r="WBV18" s="88"/>
      <c r="WBW18" s="88"/>
      <c r="WBX18" s="91"/>
      <c r="WBY18" s="93"/>
      <c r="WBZ18" s="93"/>
      <c r="WCA18" s="88"/>
      <c r="WCB18" s="88"/>
      <c r="WCC18" s="90"/>
      <c r="WCD18" s="93"/>
      <c r="WCE18" s="88"/>
      <c r="WCF18" s="88"/>
      <c r="WCG18" s="90"/>
      <c r="WCH18" s="93"/>
      <c r="WCI18" s="88"/>
      <c r="WCJ18" s="88"/>
      <c r="WCK18" s="91"/>
      <c r="WCL18" s="93"/>
      <c r="WCM18" s="93"/>
      <c r="WCN18" s="88"/>
      <c r="WCO18" s="88"/>
      <c r="WCP18" s="90"/>
      <c r="WCQ18" s="93"/>
      <c r="WCR18" s="88"/>
      <c r="WCS18" s="88"/>
      <c r="WCT18" s="90"/>
      <c r="WCU18" s="93"/>
      <c r="WCV18" s="88"/>
      <c r="WCW18" s="88"/>
      <c r="WCX18" s="91"/>
      <c r="WCY18" s="93"/>
      <c r="WCZ18" s="93"/>
      <c r="WDA18" s="88"/>
      <c r="WDB18" s="88"/>
      <c r="WDC18" s="90"/>
      <c r="WDD18" s="93"/>
      <c r="WDE18" s="88"/>
      <c r="WDF18" s="88"/>
      <c r="WDG18" s="90"/>
      <c r="WDH18" s="93"/>
      <c r="WDI18" s="88"/>
      <c r="WDJ18" s="88"/>
      <c r="WDK18" s="91"/>
      <c r="WDL18" s="93"/>
      <c r="WDM18" s="93"/>
      <c r="WDN18" s="88"/>
      <c r="WDO18" s="88"/>
      <c r="WDP18" s="90"/>
      <c r="WDQ18" s="93"/>
      <c r="WDR18" s="88"/>
      <c r="WDS18" s="88"/>
      <c r="WDT18" s="90"/>
      <c r="WDU18" s="93"/>
      <c r="WDV18" s="88"/>
      <c r="WDW18" s="88"/>
      <c r="WDX18" s="91"/>
      <c r="WDY18" s="93"/>
      <c r="WDZ18" s="93"/>
      <c r="WEA18" s="88"/>
      <c r="WEB18" s="88"/>
      <c r="WEC18" s="90"/>
      <c r="WED18" s="93"/>
      <c r="WEE18" s="88"/>
      <c r="WEF18" s="88"/>
      <c r="WEG18" s="90"/>
      <c r="WEH18" s="93"/>
      <c r="WEI18" s="88"/>
      <c r="WEJ18" s="88"/>
      <c r="WEK18" s="91"/>
      <c r="WEL18" s="93"/>
      <c r="WEM18" s="93"/>
      <c r="WEN18" s="88"/>
      <c r="WEO18" s="88"/>
      <c r="WEP18" s="90"/>
      <c r="WEQ18" s="93"/>
      <c r="WER18" s="88"/>
      <c r="WES18" s="88"/>
      <c r="WET18" s="90"/>
      <c r="WEU18" s="93"/>
      <c r="WEV18" s="88"/>
      <c r="WEW18" s="88"/>
      <c r="WEX18" s="91"/>
      <c r="WEY18" s="93"/>
      <c r="WEZ18" s="93"/>
      <c r="WFA18" s="88"/>
      <c r="WFB18" s="88"/>
      <c r="WFC18" s="90"/>
      <c r="WFD18" s="93"/>
      <c r="WFE18" s="88"/>
      <c r="WFF18" s="88"/>
      <c r="WFG18" s="90"/>
      <c r="WFH18" s="93"/>
      <c r="WFI18" s="88"/>
      <c r="WFJ18" s="88"/>
      <c r="WFK18" s="91"/>
      <c r="WFL18" s="93"/>
      <c r="WFM18" s="93"/>
      <c r="WFN18" s="88"/>
      <c r="WFO18" s="88"/>
      <c r="WFP18" s="90"/>
      <c r="WFQ18" s="93"/>
      <c r="WFR18" s="88"/>
      <c r="WFS18" s="88"/>
      <c r="WFT18" s="90"/>
      <c r="WFU18" s="93"/>
      <c r="WFV18" s="88"/>
      <c r="WFW18" s="88"/>
      <c r="WFX18" s="91"/>
      <c r="WFY18" s="93"/>
      <c r="WFZ18" s="93"/>
      <c r="WGA18" s="88"/>
      <c r="WGB18" s="88"/>
      <c r="WGC18" s="90"/>
      <c r="WGD18" s="93"/>
      <c r="WGE18" s="88"/>
      <c r="WGF18" s="88"/>
      <c r="WGG18" s="90"/>
      <c r="WGH18" s="93"/>
      <c r="WGI18" s="88"/>
      <c r="WGJ18" s="88"/>
      <c r="WGK18" s="91"/>
      <c r="WGL18" s="93"/>
      <c r="WGM18" s="93"/>
      <c r="WGN18" s="88"/>
      <c r="WGO18" s="88"/>
      <c r="WGP18" s="90"/>
      <c r="WGQ18" s="93"/>
      <c r="WGR18" s="88"/>
      <c r="WGS18" s="88"/>
      <c r="WGT18" s="90"/>
      <c r="WGU18" s="93"/>
      <c r="WGV18" s="88"/>
      <c r="WGW18" s="88"/>
      <c r="WGX18" s="91"/>
      <c r="WGY18" s="93"/>
      <c r="WGZ18" s="93"/>
      <c r="WHA18" s="88"/>
      <c r="WHB18" s="88"/>
      <c r="WHC18" s="90"/>
      <c r="WHD18" s="93"/>
      <c r="WHE18" s="88"/>
      <c r="WHF18" s="88"/>
      <c r="WHG18" s="90"/>
      <c r="WHH18" s="93"/>
      <c r="WHI18" s="88"/>
      <c r="WHJ18" s="88"/>
      <c r="WHK18" s="91"/>
      <c r="WHL18" s="93"/>
      <c r="WHM18" s="93"/>
      <c r="WHN18" s="88"/>
      <c r="WHO18" s="88"/>
      <c r="WHP18" s="90"/>
      <c r="WHQ18" s="93"/>
      <c r="WHR18" s="88"/>
      <c r="WHS18" s="88"/>
      <c r="WHT18" s="90"/>
      <c r="WHU18" s="93"/>
      <c r="WHV18" s="88"/>
      <c r="WHW18" s="88"/>
      <c r="WHX18" s="91"/>
      <c r="WHY18" s="93"/>
      <c r="WHZ18" s="93"/>
      <c r="WIA18" s="88"/>
      <c r="WIB18" s="88"/>
      <c r="WIC18" s="90"/>
      <c r="WID18" s="93"/>
      <c r="WIE18" s="88"/>
      <c r="WIF18" s="88"/>
      <c r="WIG18" s="90"/>
      <c r="WIH18" s="93"/>
      <c r="WII18" s="88"/>
      <c r="WIJ18" s="88"/>
      <c r="WIK18" s="91"/>
      <c r="WIL18" s="93"/>
      <c r="WIM18" s="93"/>
      <c r="WIN18" s="88"/>
      <c r="WIO18" s="88"/>
      <c r="WIP18" s="90"/>
      <c r="WIQ18" s="93"/>
      <c r="WIR18" s="88"/>
      <c r="WIS18" s="88"/>
      <c r="WIT18" s="90"/>
      <c r="WIU18" s="93"/>
      <c r="WIV18" s="88"/>
      <c r="WIW18" s="88"/>
      <c r="WIX18" s="91"/>
      <c r="WIY18" s="93"/>
      <c r="WIZ18" s="93"/>
      <c r="WJA18" s="88"/>
      <c r="WJB18" s="88"/>
      <c r="WJC18" s="90"/>
      <c r="WJD18" s="93"/>
      <c r="WJE18" s="88"/>
      <c r="WJF18" s="88"/>
      <c r="WJG18" s="90"/>
      <c r="WJH18" s="93"/>
      <c r="WJI18" s="88"/>
      <c r="WJJ18" s="88"/>
      <c r="WJK18" s="91"/>
      <c r="WJL18" s="93"/>
      <c r="WJM18" s="93"/>
      <c r="WJN18" s="88"/>
      <c r="WJO18" s="88"/>
      <c r="WJP18" s="90"/>
      <c r="WJQ18" s="93"/>
      <c r="WJR18" s="88"/>
      <c r="WJS18" s="88"/>
      <c r="WJT18" s="90"/>
      <c r="WJU18" s="93"/>
      <c r="WJV18" s="88"/>
      <c r="WJW18" s="88"/>
      <c r="WJX18" s="91"/>
      <c r="WJY18" s="93"/>
      <c r="WJZ18" s="93"/>
      <c r="WKA18" s="88"/>
      <c r="WKB18" s="88"/>
      <c r="WKC18" s="90"/>
      <c r="WKD18" s="93"/>
      <c r="WKE18" s="88"/>
      <c r="WKF18" s="88"/>
      <c r="WKG18" s="90"/>
      <c r="WKH18" s="93"/>
      <c r="WKI18" s="88"/>
      <c r="WKJ18" s="88"/>
      <c r="WKK18" s="91"/>
      <c r="WKL18" s="93"/>
      <c r="WKM18" s="93"/>
      <c r="WKN18" s="88"/>
      <c r="WKO18" s="88"/>
      <c r="WKP18" s="90"/>
      <c r="WKQ18" s="93"/>
      <c r="WKR18" s="88"/>
      <c r="WKS18" s="88"/>
      <c r="WKT18" s="90"/>
      <c r="WKU18" s="93"/>
      <c r="WKV18" s="88"/>
      <c r="WKW18" s="88"/>
      <c r="WKX18" s="91"/>
      <c r="WKY18" s="93"/>
      <c r="WKZ18" s="93"/>
      <c r="WLA18" s="88"/>
      <c r="WLB18" s="88"/>
      <c r="WLC18" s="90"/>
      <c r="WLD18" s="93"/>
      <c r="WLE18" s="88"/>
      <c r="WLF18" s="88"/>
      <c r="WLG18" s="90"/>
      <c r="WLH18" s="93"/>
      <c r="WLI18" s="88"/>
      <c r="WLJ18" s="88"/>
      <c r="WLK18" s="91"/>
      <c r="WLL18" s="93"/>
      <c r="WLM18" s="93"/>
      <c r="WLN18" s="88"/>
      <c r="WLO18" s="88"/>
      <c r="WLP18" s="90"/>
      <c r="WLQ18" s="93"/>
      <c r="WLR18" s="88"/>
      <c r="WLS18" s="88"/>
      <c r="WLT18" s="90"/>
      <c r="WLU18" s="93"/>
      <c r="WLV18" s="88"/>
      <c r="WLW18" s="88"/>
      <c r="WLX18" s="91"/>
      <c r="WLY18" s="93"/>
      <c r="WLZ18" s="93"/>
      <c r="WMA18" s="88"/>
      <c r="WMB18" s="88"/>
      <c r="WMC18" s="90"/>
      <c r="WMD18" s="93"/>
      <c r="WME18" s="88"/>
      <c r="WMF18" s="88"/>
      <c r="WMG18" s="90"/>
      <c r="WMH18" s="93"/>
      <c r="WMI18" s="88"/>
      <c r="WMJ18" s="88"/>
      <c r="WMK18" s="91"/>
      <c r="WML18" s="93"/>
      <c r="WMM18" s="93"/>
      <c r="WMN18" s="88"/>
      <c r="WMO18" s="88"/>
      <c r="WMP18" s="90"/>
      <c r="WMQ18" s="93"/>
      <c r="WMR18" s="88"/>
      <c r="WMS18" s="88"/>
      <c r="WMT18" s="90"/>
      <c r="WMU18" s="93"/>
      <c r="WMV18" s="88"/>
      <c r="WMW18" s="88"/>
      <c r="WMX18" s="91"/>
      <c r="WMY18" s="93"/>
      <c r="WMZ18" s="93"/>
      <c r="WNA18" s="88"/>
      <c r="WNB18" s="88"/>
      <c r="WNC18" s="90"/>
      <c r="WND18" s="93"/>
      <c r="WNE18" s="88"/>
      <c r="WNF18" s="88"/>
      <c r="WNG18" s="90"/>
      <c r="WNH18" s="93"/>
      <c r="WNI18" s="88"/>
      <c r="WNJ18" s="88"/>
      <c r="WNK18" s="91"/>
      <c r="WNL18" s="93"/>
      <c r="WNM18" s="93"/>
      <c r="WNN18" s="88"/>
      <c r="WNO18" s="88"/>
      <c r="WNP18" s="90"/>
      <c r="WNQ18" s="93"/>
      <c r="WNR18" s="88"/>
      <c r="WNS18" s="88"/>
      <c r="WNT18" s="90"/>
      <c r="WNU18" s="93"/>
      <c r="WNV18" s="88"/>
      <c r="WNW18" s="88"/>
      <c r="WNX18" s="91"/>
      <c r="WNY18" s="93"/>
      <c r="WNZ18" s="93"/>
      <c r="WOA18" s="88"/>
      <c r="WOB18" s="88"/>
      <c r="WOC18" s="90"/>
      <c r="WOD18" s="93"/>
      <c r="WOE18" s="88"/>
      <c r="WOF18" s="88"/>
      <c r="WOG18" s="90"/>
      <c r="WOH18" s="93"/>
      <c r="WOI18" s="88"/>
      <c r="WOJ18" s="88"/>
      <c r="WOK18" s="91"/>
      <c r="WOL18" s="93"/>
      <c r="WOM18" s="93"/>
      <c r="WON18" s="88"/>
      <c r="WOO18" s="88"/>
      <c r="WOP18" s="90"/>
      <c r="WOQ18" s="93"/>
      <c r="WOR18" s="88"/>
      <c r="WOS18" s="88"/>
      <c r="WOT18" s="90"/>
      <c r="WOU18" s="93"/>
      <c r="WOV18" s="88"/>
      <c r="WOW18" s="88"/>
      <c r="WOX18" s="91"/>
      <c r="WOY18" s="93"/>
      <c r="WOZ18" s="93"/>
      <c r="WPA18" s="88"/>
      <c r="WPB18" s="88"/>
      <c r="WPC18" s="90"/>
      <c r="WPD18" s="93"/>
      <c r="WPE18" s="88"/>
      <c r="WPF18" s="88"/>
      <c r="WPG18" s="90"/>
      <c r="WPH18" s="93"/>
      <c r="WPI18" s="88"/>
      <c r="WPJ18" s="88"/>
      <c r="WPK18" s="91"/>
      <c r="WPL18" s="93"/>
      <c r="WPM18" s="93"/>
      <c r="WPN18" s="88"/>
      <c r="WPO18" s="88"/>
      <c r="WPP18" s="90"/>
      <c r="WPQ18" s="93"/>
      <c r="WPR18" s="88"/>
      <c r="WPS18" s="88"/>
      <c r="WPT18" s="90"/>
      <c r="WPU18" s="93"/>
      <c r="WPV18" s="88"/>
      <c r="WPW18" s="88"/>
      <c r="WPX18" s="91"/>
      <c r="WPY18" s="93"/>
      <c r="WPZ18" s="93"/>
      <c r="WQA18" s="88"/>
      <c r="WQB18" s="88"/>
      <c r="WQC18" s="90"/>
      <c r="WQD18" s="93"/>
      <c r="WQE18" s="88"/>
      <c r="WQF18" s="88"/>
      <c r="WQG18" s="90"/>
      <c r="WQH18" s="93"/>
      <c r="WQI18" s="88"/>
      <c r="WQJ18" s="88"/>
      <c r="WQK18" s="91"/>
      <c r="WQL18" s="93"/>
      <c r="WQM18" s="93"/>
      <c r="WQN18" s="88"/>
      <c r="WQO18" s="88"/>
      <c r="WQP18" s="90"/>
      <c r="WQQ18" s="93"/>
      <c r="WQR18" s="88"/>
      <c r="WQS18" s="88"/>
      <c r="WQT18" s="90"/>
      <c r="WQU18" s="93"/>
      <c r="WQV18" s="88"/>
      <c r="WQW18" s="88"/>
      <c r="WQX18" s="91"/>
      <c r="WQY18" s="93"/>
      <c r="WQZ18" s="93"/>
      <c r="WRA18" s="88"/>
      <c r="WRB18" s="88"/>
      <c r="WRC18" s="90"/>
      <c r="WRD18" s="93"/>
      <c r="WRE18" s="88"/>
      <c r="WRF18" s="88"/>
      <c r="WRG18" s="90"/>
      <c r="WRH18" s="93"/>
      <c r="WRI18" s="88"/>
      <c r="WRJ18" s="88"/>
      <c r="WRK18" s="91"/>
      <c r="WRL18" s="93"/>
      <c r="WRM18" s="93"/>
      <c r="WRN18" s="88"/>
      <c r="WRO18" s="88"/>
      <c r="WRP18" s="90"/>
      <c r="WRQ18" s="93"/>
      <c r="WRR18" s="88"/>
      <c r="WRS18" s="88"/>
      <c r="WRT18" s="90"/>
      <c r="WRU18" s="93"/>
      <c r="WRV18" s="88"/>
      <c r="WRW18" s="88"/>
      <c r="WRX18" s="91"/>
      <c r="WRY18" s="93"/>
      <c r="WRZ18" s="93"/>
      <c r="WSA18" s="88"/>
      <c r="WSB18" s="88"/>
      <c r="WSC18" s="90"/>
      <c r="WSD18" s="93"/>
      <c r="WSE18" s="88"/>
      <c r="WSF18" s="88"/>
      <c r="WSG18" s="90"/>
      <c r="WSH18" s="93"/>
      <c r="WSI18" s="88"/>
      <c r="WSJ18" s="88"/>
      <c r="WSK18" s="91"/>
      <c r="WSL18" s="93"/>
      <c r="WSM18" s="93"/>
      <c r="WSN18" s="88"/>
      <c r="WSO18" s="88"/>
      <c r="WSP18" s="90"/>
      <c r="WSQ18" s="93"/>
      <c r="WSR18" s="88"/>
      <c r="WSS18" s="88"/>
      <c r="WST18" s="90"/>
      <c r="WSU18" s="93"/>
      <c r="WSV18" s="88"/>
      <c r="WSW18" s="88"/>
      <c r="WSX18" s="91"/>
      <c r="WSY18" s="93"/>
      <c r="WSZ18" s="93"/>
      <c r="WTA18" s="88"/>
      <c r="WTB18" s="88"/>
      <c r="WTC18" s="90"/>
      <c r="WTD18" s="93"/>
      <c r="WTE18" s="88"/>
      <c r="WTF18" s="88"/>
      <c r="WTG18" s="90"/>
      <c r="WTH18" s="93"/>
      <c r="WTI18" s="88"/>
      <c r="WTJ18" s="88"/>
      <c r="WTK18" s="91"/>
      <c r="WTL18" s="93"/>
      <c r="WTM18" s="93"/>
      <c r="WTN18" s="88"/>
      <c r="WTO18" s="88"/>
      <c r="WTP18" s="90"/>
      <c r="WTQ18" s="93"/>
      <c r="WTR18" s="88"/>
      <c r="WTS18" s="88"/>
      <c r="WTT18" s="90"/>
      <c r="WTU18" s="93"/>
      <c r="WTV18" s="88"/>
      <c r="WTW18" s="88"/>
      <c r="WTX18" s="91"/>
      <c r="WTY18" s="93"/>
      <c r="WTZ18" s="93"/>
      <c r="WUA18" s="88"/>
      <c r="WUB18" s="88"/>
      <c r="WUC18" s="90"/>
      <c r="WUD18" s="93"/>
      <c r="WUE18" s="88"/>
      <c r="WUF18" s="88"/>
      <c r="WUG18" s="90"/>
      <c r="WUH18" s="93"/>
      <c r="WUI18" s="88"/>
      <c r="WUJ18" s="88"/>
      <c r="WUK18" s="91"/>
      <c r="WUL18" s="93"/>
      <c r="WUM18" s="93"/>
      <c r="WUN18" s="88"/>
      <c r="WUO18" s="88"/>
      <c r="WUP18" s="90"/>
      <c r="WUQ18" s="93"/>
      <c r="WUR18" s="88"/>
      <c r="WUS18" s="88"/>
      <c r="WUT18" s="90"/>
      <c r="WUU18" s="93"/>
      <c r="WUV18" s="88"/>
      <c r="WUW18" s="88"/>
      <c r="WUX18" s="91"/>
      <c r="WUY18" s="93"/>
      <c r="WUZ18" s="93"/>
      <c r="WVA18" s="88"/>
      <c r="WVB18" s="88"/>
      <c r="WVC18" s="90"/>
      <c r="WVD18" s="93"/>
      <c r="WVE18" s="88"/>
      <c r="WVF18" s="88"/>
      <c r="WVG18" s="90"/>
      <c r="WVH18" s="93"/>
      <c r="WVI18" s="88"/>
      <c r="WVJ18" s="88"/>
      <c r="WVK18" s="91"/>
      <c r="WVL18" s="93"/>
      <c r="WVM18" s="93"/>
      <c r="WVN18" s="88"/>
      <c r="WVO18" s="88"/>
      <c r="WVP18" s="90"/>
      <c r="WVQ18" s="93"/>
      <c r="WVR18" s="88"/>
      <c r="WVS18" s="88"/>
      <c r="WVT18" s="90"/>
      <c r="WVU18" s="93"/>
      <c r="WVV18" s="88"/>
      <c r="WVW18" s="88"/>
      <c r="WVX18" s="91"/>
      <c r="WVY18" s="93"/>
      <c r="WVZ18" s="93"/>
      <c r="WWA18" s="88"/>
      <c r="WWB18" s="88"/>
      <c r="WWC18" s="90"/>
      <c r="WWD18" s="93"/>
      <c r="WWE18" s="88"/>
      <c r="WWF18" s="88"/>
      <c r="WWG18" s="90"/>
      <c r="WWH18" s="93"/>
      <c r="WWI18" s="88"/>
      <c r="WWJ18" s="88"/>
      <c r="WWK18" s="91"/>
      <c r="WWL18" s="93"/>
      <c r="WWM18" s="93"/>
      <c r="WWN18" s="88"/>
      <c r="WWO18" s="88"/>
      <c r="WWP18" s="90"/>
      <c r="WWQ18" s="93"/>
      <c r="WWR18" s="88"/>
      <c r="WWS18" s="88"/>
      <c r="WWT18" s="90"/>
      <c r="WWU18" s="93"/>
      <c r="WWV18" s="88"/>
      <c r="WWW18" s="88"/>
      <c r="WWX18" s="91"/>
      <c r="WWY18" s="93"/>
      <c r="WWZ18" s="93"/>
      <c r="WXA18" s="88"/>
      <c r="WXB18" s="88"/>
      <c r="WXC18" s="90"/>
      <c r="WXD18" s="93"/>
      <c r="WXE18" s="88"/>
      <c r="WXF18" s="88"/>
      <c r="WXG18" s="90"/>
      <c r="WXH18" s="93"/>
      <c r="WXI18" s="88"/>
      <c r="WXJ18" s="88"/>
      <c r="WXK18" s="91"/>
      <c r="WXL18" s="93"/>
      <c r="WXM18" s="93"/>
      <c r="WXN18" s="88"/>
      <c r="WXO18" s="88"/>
      <c r="WXP18" s="90"/>
      <c r="WXQ18" s="93"/>
      <c r="WXR18" s="88"/>
      <c r="WXS18" s="88"/>
      <c r="WXT18" s="90"/>
      <c r="WXU18" s="93"/>
      <c r="WXV18" s="88"/>
      <c r="WXW18" s="88"/>
      <c r="WXX18" s="91"/>
      <c r="WXY18" s="93"/>
      <c r="WXZ18" s="93"/>
      <c r="WYA18" s="88"/>
      <c r="WYB18" s="88"/>
      <c r="WYC18" s="90"/>
      <c r="WYD18" s="93"/>
      <c r="WYE18" s="88"/>
      <c r="WYF18" s="88"/>
      <c r="WYG18" s="90"/>
      <c r="WYH18" s="93"/>
      <c r="WYI18" s="88"/>
      <c r="WYJ18" s="88"/>
      <c r="WYK18" s="91"/>
      <c r="WYL18" s="93"/>
      <c r="WYM18" s="93"/>
      <c r="WYN18" s="88"/>
      <c r="WYO18" s="88"/>
      <c r="WYP18" s="90"/>
      <c r="WYQ18" s="93"/>
      <c r="WYR18" s="88"/>
      <c r="WYS18" s="88"/>
      <c r="WYT18" s="90"/>
      <c r="WYU18" s="93"/>
      <c r="WYV18" s="88"/>
      <c r="WYW18" s="88"/>
      <c r="WYX18" s="91"/>
      <c r="WYY18" s="93"/>
      <c r="WYZ18" s="93"/>
      <c r="WZA18" s="88"/>
      <c r="WZB18" s="88"/>
      <c r="WZC18" s="90"/>
      <c r="WZD18" s="93"/>
      <c r="WZE18" s="88"/>
      <c r="WZF18" s="88"/>
      <c r="WZG18" s="90"/>
      <c r="WZH18" s="93"/>
      <c r="WZI18" s="88"/>
      <c r="WZJ18" s="88"/>
      <c r="WZK18" s="91"/>
      <c r="WZL18" s="93"/>
      <c r="WZM18" s="93"/>
      <c r="WZN18" s="88"/>
      <c r="WZO18" s="88"/>
      <c r="WZP18" s="90"/>
      <c r="WZQ18" s="93"/>
      <c r="WZR18" s="88"/>
      <c r="WZS18" s="88"/>
      <c r="WZT18" s="90"/>
      <c r="WZU18" s="93"/>
      <c r="WZV18" s="88"/>
      <c r="WZW18" s="88"/>
      <c r="WZX18" s="91"/>
      <c r="WZY18" s="93"/>
      <c r="WZZ18" s="93"/>
      <c r="XAA18" s="88"/>
      <c r="XAB18" s="88"/>
      <c r="XAC18" s="90"/>
      <c r="XAD18" s="93"/>
      <c r="XAE18" s="88"/>
      <c r="XAF18" s="88"/>
      <c r="XAG18" s="90"/>
      <c r="XAH18" s="93"/>
      <c r="XAI18" s="88"/>
      <c r="XAJ18" s="88"/>
      <c r="XAK18" s="91"/>
      <c r="XAL18" s="93"/>
      <c r="XAM18" s="93"/>
      <c r="XAN18" s="88"/>
      <c r="XAO18" s="88"/>
      <c r="XAP18" s="90"/>
      <c r="XAQ18" s="93"/>
      <c r="XAR18" s="88"/>
      <c r="XAS18" s="88"/>
      <c r="XAT18" s="90"/>
      <c r="XAU18" s="93"/>
      <c r="XAV18" s="88"/>
      <c r="XAW18" s="88"/>
      <c r="XAX18" s="91"/>
      <c r="XAY18" s="93"/>
      <c r="XAZ18" s="93"/>
      <c r="XBA18" s="88"/>
      <c r="XBB18" s="88"/>
      <c r="XBC18" s="90"/>
      <c r="XBD18" s="93"/>
      <c r="XBE18" s="88"/>
      <c r="XBF18" s="88"/>
      <c r="XBG18" s="90"/>
      <c r="XBH18" s="93"/>
      <c r="XBI18" s="88"/>
      <c r="XBJ18" s="88"/>
      <c r="XBK18" s="91"/>
      <c r="XBL18" s="93"/>
      <c r="XBM18" s="93"/>
      <c r="XBN18" s="88"/>
      <c r="XBO18" s="88"/>
      <c r="XBP18" s="90"/>
      <c r="XBQ18" s="93"/>
      <c r="XBR18" s="88"/>
      <c r="XBS18" s="88"/>
      <c r="XBT18" s="90"/>
      <c r="XBU18" s="93"/>
      <c r="XBV18" s="88"/>
      <c r="XBW18" s="88"/>
      <c r="XBX18" s="91"/>
      <c r="XBY18" s="93"/>
      <c r="XBZ18" s="93"/>
      <c r="XCA18" s="88"/>
      <c r="XCB18" s="88"/>
      <c r="XCC18" s="90"/>
      <c r="XCD18" s="93"/>
      <c r="XCE18" s="88"/>
      <c r="XCF18" s="88"/>
      <c r="XCG18" s="90"/>
      <c r="XCH18" s="93"/>
      <c r="XCI18" s="88"/>
      <c r="XCJ18" s="88"/>
      <c r="XCK18" s="91"/>
      <c r="XCL18" s="93"/>
      <c r="XCM18" s="93"/>
      <c r="XCN18" s="88"/>
      <c r="XCO18" s="88"/>
      <c r="XCP18" s="90"/>
      <c r="XCQ18" s="93"/>
      <c r="XCR18" s="88"/>
      <c r="XCS18" s="88"/>
      <c r="XCT18" s="90"/>
      <c r="XCU18" s="93"/>
      <c r="XCV18" s="88"/>
      <c r="XCW18" s="88"/>
      <c r="XCX18" s="91"/>
      <c r="XCY18" s="93"/>
      <c r="XCZ18" s="93"/>
      <c r="XDA18" s="88"/>
      <c r="XDB18" s="88"/>
      <c r="XDC18" s="90"/>
      <c r="XDD18" s="93"/>
      <c r="XDE18" s="88"/>
      <c r="XDF18" s="88"/>
      <c r="XDG18" s="90"/>
      <c r="XDH18" s="93"/>
      <c r="XDI18" s="88"/>
      <c r="XDJ18" s="88"/>
      <c r="XDK18" s="91"/>
      <c r="XDL18" s="93"/>
      <c r="XDM18" s="93"/>
      <c r="XDN18" s="88"/>
      <c r="XDO18" s="88"/>
      <c r="XDP18" s="90"/>
      <c r="XDQ18" s="93"/>
      <c r="XDR18" s="88"/>
      <c r="XDS18" s="88"/>
      <c r="XDT18" s="90"/>
      <c r="XDU18" s="93"/>
      <c r="XDV18" s="88"/>
      <c r="XDW18" s="88"/>
      <c r="XDX18" s="91"/>
      <c r="XDY18" s="93"/>
      <c r="XDZ18" s="93"/>
      <c r="XEA18" s="88"/>
      <c r="XEB18" s="88"/>
      <c r="XEC18" s="90"/>
      <c r="XED18" s="93"/>
      <c r="XEE18" s="88"/>
      <c r="XEF18" s="88"/>
      <c r="XEG18" s="90"/>
      <c r="XEH18" s="93"/>
      <c r="XEI18" s="88"/>
      <c r="XEJ18" s="88"/>
      <c r="XEK18" s="91"/>
      <c r="XEL18" s="93"/>
      <c r="XEM18" s="93"/>
      <c r="XEN18" s="88"/>
      <c r="XEO18" s="88"/>
      <c r="XEP18" s="90"/>
      <c r="XEQ18" s="93"/>
      <c r="XER18" s="88"/>
      <c r="XES18" s="88"/>
      <c r="XET18" s="90"/>
      <c r="XEU18" s="93"/>
      <c r="XEV18" s="88"/>
      <c r="XEW18" s="88"/>
      <c r="XEX18" s="91"/>
      <c r="XEY18" s="93"/>
      <c r="XEZ18" s="93"/>
      <c r="XFA18" s="88"/>
      <c r="XFB18" s="88"/>
      <c r="XFC18" s="90"/>
      <c r="XFD18" s="93"/>
    </row>
    <row r="19" spans="1:16384" ht="34.15" customHeight="1" x14ac:dyDescent="0.25">
      <c r="A19" s="88" t="s">
        <v>809</v>
      </c>
      <c r="B19" s="88" t="s">
        <v>829</v>
      </c>
      <c r="C19" s="90">
        <v>46244</v>
      </c>
      <c r="D19" s="148">
        <v>46272</v>
      </c>
      <c r="E19" s="88" t="s">
        <v>223</v>
      </c>
      <c r="F19" s="88" t="str">
        <f t="shared" ca="1" si="0"/>
        <v>-</v>
      </c>
      <c r="G19" s="90"/>
      <c r="H19" s="93" t="s">
        <v>845</v>
      </c>
      <c r="I19" s="88" t="s">
        <v>16</v>
      </c>
      <c r="J19" s="88" t="s">
        <v>225</v>
      </c>
      <c r="K19" s="91" t="s">
        <v>846</v>
      </c>
      <c r="L19" s="93"/>
      <c r="M19" s="93" t="s">
        <v>229</v>
      </c>
      <c r="N19" s="163"/>
      <c r="O19" s="163"/>
      <c r="P19" s="115"/>
      <c r="Q19" s="164"/>
      <c r="R19" s="163"/>
    </row>
    <row r="20" spans="1:16384" ht="28.15" customHeight="1" x14ac:dyDescent="0.25">
      <c r="A20" s="88" t="s">
        <v>810</v>
      </c>
      <c r="B20" s="88" t="s">
        <v>858</v>
      </c>
      <c r="C20" s="90">
        <v>46262</v>
      </c>
      <c r="D20" s="148">
        <v>46276</v>
      </c>
      <c r="E20" s="88" t="s">
        <v>223</v>
      </c>
      <c r="F20" s="88" t="str">
        <f t="shared" ca="1" si="0"/>
        <v>-</v>
      </c>
      <c r="G20" s="90"/>
      <c r="H20" s="93" t="s">
        <v>524</v>
      </c>
      <c r="I20" s="88" t="s">
        <v>27</v>
      </c>
      <c r="J20" s="88" t="s">
        <v>74</v>
      </c>
      <c r="K20" s="91" t="s">
        <v>890</v>
      </c>
      <c r="L20" s="93"/>
      <c r="M20" s="93" t="s">
        <v>11</v>
      </c>
      <c r="N20" s="163"/>
      <c r="O20" s="163"/>
      <c r="P20" s="115"/>
      <c r="Q20" s="164"/>
      <c r="R20" s="163"/>
    </row>
    <row r="21" spans="1:16384" ht="48" customHeight="1" x14ac:dyDescent="0.25">
      <c r="A21" s="88" t="s">
        <v>809</v>
      </c>
      <c r="B21" s="88" t="s">
        <v>840</v>
      </c>
      <c r="C21" s="90">
        <v>46269</v>
      </c>
      <c r="D21" s="90">
        <v>46278</v>
      </c>
      <c r="E21" s="88" t="s">
        <v>223</v>
      </c>
      <c r="F21" s="88" t="str">
        <f t="shared" ca="1" si="0"/>
        <v>-</v>
      </c>
      <c r="G21" s="90"/>
      <c r="H21" s="93" t="s">
        <v>861</v>
      </c>
      <c r="I21" s="88" t="s">
        <v>16</v>
      </c>
      <c r="J21" s="88" t="s">
        <v>75</v>
      </c>
      <c r="K21" s="91" t="s">
        <v>862</v>
      </c>
      <c r="L21" s="93"/>
      <c r="M21" s="93" t="s">
        <v>229</v>
      </c>
    </row>
    <row r="22" spans="1:16384" ht="99" customHeight="1" x14ac:dyDescent="0.25">
      <c r="A22" s="88" t="s">
        <v>809</v>
      </c>
      <c r="B22" s="88" t="s">
        <v>818</v>
      </c>
      <c r="C22" s="90">
        <v>46213</v>
      </c>
      <c r="D22" s="148">
        <v>46279</v>
      </c>
      <c r="E22" s="88" t="s">
        <v>223</v>
      </c>
      <c r="F22" s="88" t="str">
        <f t="shared" ca="1" si="0"/>
        <v>-</v>
      </c>
      <c r="G22" s="96"/>
      <c r="H22" s="93" t="s">
        <v>709</v>
      </c>
      <c r="I22" s="88" t="s">
        <v>23</v>
      </c>
      <c r="J22" s="88" t="s">
        <v>74</v>
      </c>
      <c r="K22" s="145" t="s">
        <v>819</v>
      </c>
      <c r="L22" s="96"/>
      <c r="M22" s="93" t="s">
        <v>11</v>
      </c>
      <c r="N22" s="96"/>
      <c r="O22" s="96"/>
      <c r="P22" s="96"/>
      <c r="Q22" s="96"/>
      <c r="R22" s="96"/>
      <c r="S22" s="88"/>
      <c r="T22" s="90"/>
      <c r="U22" s="93"/>
      <c r="V22" s="88"/>
      <c r="W22" s="88"/>
      <c r="X22" s="91"/>
      <c r="Y22" s="93"/>
      <c r="Z22" s="93"/>
      <c r="AA22" s="88"/>
      <c r="AB22" s="88"/>
      <c r="AC22" s="90"/>
      <c r="AD22" s="148"/>
      <c r="AE22" s="88"/>
      <c r="AF22" s="88"/>
      <c r="AG22" s="90"/>
      <c r="AH22" s="93"/>
      <c r="AI22" s="88"/>
      <c r="AJ22" s="88"/>
      <c r="AK22" s="91"/>
      <c r="AL22" s="93"/>
      <c r="AM22" s="93"/>
      <c r="AN22" s="88"/>
      <c r="AO22" s="88"/>
      <c r="AP22" s="90"/>
      <c r="AQ22" s="148"/>
      <c r="AR22" s="88"/>
      <c r="AS22" s="88"/>
      <c r="AT22" s="90"/>
      <c r="AU22" s="93"/>
      <c r="AV22" s="88"/>
      <c r="AW22" s="88"/>
      <c r="AX22" s="91"/>
      <c r="AY22" s="93"/>
      <c r="AZ22" s="93"/>
      <c r="BA22" s="88"/>
      <c r="BB22" s="88"/>
      <c r="BC22" s="90"/>
      <c r="BD22" s="148"/>
      <c r="BE22" s="88"/>
      <c r="BF22" s="88"/>
      <c r="BG22" s="90"/>
      <c r="BH22" s="93"/>
      <c r="BI22" s="88"/>
      <c r="BJ22" s="88"/>
      <c r="BK22" s="91"/>
      <c r="BL22" s="93"/>
      <c r="BM22" s="93"/>
      <c r="BN22" s="88"/>
      <c r="BO22" s="88"/>
      <c r="BP22" s="90"/>
      <c r="BQ22" s="148"/>
      <c r="BR22" s="88"/>
      <c r="BS22" s="88"/>
      <c r="BT22" s="90"/>
      <c r="BU22" s="93"/>
      <c r="BV22" s="88"/>
      <c r="BW22" s="88"/>
      <c r="BX22" s="91"/>
      <c r="BY22" s="93"/>
      <c r="BZ22" s="93"/>
      <c r="CA22" s="88"/>
      <c r="CB22" s="88"/>
      <c r="CC22" s="90"/>
      <c r="CD22" s="148"/>
      <c r="CE22" s="88"/>
      <c r="CF22" s="88"/>
      <c r="CG22" s="90"/>
      <c r="CH22" s="93"/>
      <c r="CI22" s="88"/>
      <c r="CJ22" s="88"/>
      <c r="CK22" s="91"/>
      <c r="CL22" s="93"/>
      <c r="CM22" s="93"/>
      <c r="CN22" s="88"/>
      <c r="CO22" s="88"/>
      <c r="CP22" s="90"/>
      <c r="CQ22" s="148"/>
      <c r="CR22" s="88"/>
      <c r="CS22" s="88"/>
      <c r="CT22" s="90"/>
      <c r="CU22" s="93"/>
      <c r="CV22" s="88"/>
      <c r="CW22" s="88"/>
      <c r="CX22" s="91"/>
      <c r="CY22" s="93"/>
      <c r="CZ22" s="93"/>
      <c r="DA22" s="88"/>
      <c r="DB22" s="88"/>
      <c r="DC22" s="90"/>
      <c r="DD22" s="148"/>
      <c r="DE22" s="88"/>
      <c r="DF22" s="88"/>
      <c r="DG22" s="90"/>
      <c r="DH22" s="93"/>
      <c r="DI22" s="88"/>
      <c r="DJ22" s="88"/>
      <c r="DK22" s="91"/>
      <c r="DL22" s="93"/>
      <c r="DM22" s="93"/>
      <c r="DN22" s="88"/>
      <c r="DO22" s="88"/>
      <c r="DP22" s="90"/>
      <c r="DQ22" s="148"/>
      <c r="DR22" s="88"/>
      <c r="DS22" s="88"/>
      <c r="DT22" s="90"/>
      <c r="DU22" s="93"/>
      <c r="DV22" s="88"/>
      <c r="DW22" s="88"/>
      <c r="DX22" s="91"/>
      <c r="DY22" s="93"/>
      <c r="DZ22" s="93"/>
      <c r="EA22" s="88"/>
      <c r="EB22" s="88"/>
      <c r="EC22" s="90"/>
      <c r="ED22" s="148"/>
      <c r="EE22" s="88"/>
      <c r="EF22" s="88"/>
      <c r="EG22" s="90"/>
      <c r="EH22" s="93"/>
      <c r="EI22" s="88"/>
      <c r="EJ22" s="88"/>
      <c r="EK22" s="91"/>
      <c r="EL22" s="93"/>
      <c r="EM22" s="93"/>
      <c r="EN22" s="88"/>
      <c r="EO22" s="88"/>
      <c r="EP22" s="90"/>
      <c r="EQ22" s="148"/>
      <c r="ER22" s="88"/>
      <c r="ES22" s="88"/>
      <c r="ET22" s="90"/>
      <c r="EU22" s="93"/>
      <c r="EV22" s="88"/>
      <c r="EW22" s="88"/>
      <c r="EX22" s="91"/>
      <c r="EY22" s="93"/>
      <c r="EZ22" s="93"/>
      <c r="FA22" s="88"/>
      <c r="FB22" s="88"/>
      <c r="FC22" s="90"/>
      <c r="FD22" s="148"/>
      <c r="FE22" s="88"/>
      <c r="FF22" s="88"/>
      <c r="FG22" s="90"/>
      <c r="FH22" s="93"/>
      <c r="FI22" s="88"/>
      <c r="FJ22" s="88"/>
      <c r="FK22" s="91"/>
      <c r="FL22" s="93"/>
      <c r="FM22" s="93"/>
      <c r="FN22" s="88"/>
      <c r="FO22" s="88"/>
      <c r="FP22" s="90"/>
      <c r="FQ22" s="148"/>
      <c r="FR22" s="88"/>
      <c r="FS22" s="88"/>
      <c r="FT22" s="90"/>
      <c r="FU22" s="93"/>
      <c r="FV22" s="88"/>
      <c r="FW22" s="88"/>
      <c r="FX22" s="91"/>
      <c r="FY22" s="93"/>
      <c r="FZ22" s="93"/>
      <c r="GA22" s="88"/>
      <c r="GB22" s="88"/>
      <c r="GC22" s="90"/>
      <c r="GD22" s="148"/>
      <c r="GE22" s="88"/>
      <c r="GF22" s="88"/>
      <c r="GG22" s="90"/>
      <c r="GH22" s="93"/>
      <c r="GI22" s="88"/>
      <c r="GJ22" s="88"/>
      <c r="GK22" s="91"/>
      <c r="GL22" s="93"/>
      <c r="GM22" s="93"/>
      <c r="GN22" s="88"/>
      <c r="GO22" s="88"/>
      <c r="GP22" s="90"/>
      <c r="GQ22" s="148"/>
      <c r="GR22" s="88"/>
      <c r="GS22" s="88"/>
      <c r="GT22" s="90"/>
      <c r="GU22" s="93"/>
      <c r="GV22" s="88"/>
      <c r="GW22" s="88"/>
      <c r="GX22" s="91"/>
      <c r="GY22" s="93"/>
      <c r="GZ22" s="93"/>
      <c r="HA22" s="88"/>
      <c r="HB22" s="88"/>
      <c r="HC22" s="90"/>
      <c r="HD22" s="148"/>
      <c r="HE22" s="88"/>
      <c r="HF22" s="88"/>
      <c r="HG22" s="90"/>
      <c r="HH22" s="93"/>
      <c r="HI22" s="88"/>
      <c r="HJ22" s="88"/>
      <c r="HK22" s="91"/>
      <c r="HL22" s="93"/>
      <c r="HM22" s="93"/>
      <c r="HN22" s="88"/>
      <c r="HO22" s="88"/>
      <c r="HP22" s="90"/>
      <c r="HQ22" s="148"/>
      <c r="HR22" s="88"/>
      <c r="HS22" s="88"/>
      <c r="HT22" s="90"/>
      <c r="HU22" s="93"/>
      <c r="HV22" s="88"/>
      <c r="HW22" s="88"/>
      <c r="HX22" s="91"/>
      <c r="HY22" s="93"/>
      <c r="HZ22" s="93"/>
      <c r="IA22" s="88"/>
      <c r="IB22" s="88"/>
      <c r="IC22" s="90"/>
      <c r="ID22" s="148"/>
      <c r="IE22" s="88"/>
      <c r="IF22" s="88"/>
      <c r="IG22" s="90"/>
      <c r="IH22" s="93"/>
      <c r="II22" s="88"/>
      <c r="IJ22" s="88"/>
      <c r="IK22" s="91"/>
      <c r="IL22" s="93"/>
      <c r="IM22" s="93"/>
      <c r="IN22" s="88"/>
      <c r="IO22" s="88"/>
      <c r="IP22" s="90"/>
      <c r="IQ22" s="148"/>
      <c r="IR22" s="88"/>
      <c r="IS22" s="88"/>
      <c r="IT22" s="90"/>
      <c r="IU22" s="93"/>
      <c r="IV22" s="88"/>
      <c r="IW22" s="88"/>
      <c r="IX22" s="91"/>
      <c r="IY22" s="93"/>
      <c r="IZ22" s="93"/>
      <c r="JA22" s="88"/>
      <c r="JB22" s="88"/>
      <c r="JC22" s="90"/>
      <c r="JD22" s="148"/>
      <c r="JE22" s="88"/>
      <c r="JF22" s="88"/>
      <c r="JG22" s="90"/>
      <c r="JH22" s="93"/>
      <c r="JI22" s="88"/>
      <c r="JJ22" s="88"/>
      <c r="JK22" s="91"/>
      <c r="JL22" s="93"/>
      <c r="JM22" s="93"/>
      <c r="JN22" s="88"/>
      <c r="JO22" s="88"/>
      <c r="JP22" s="90"/>
      <c r="JQ22" s="148"/>
      <c r="JR22" s="88"/>
      <c r="JS22" s="88"/>
      <c r="JT22" s="90"/>
      <c r="JU22" s="93"/>
      <c r="JV22" s="88"/>
      <c r="JW22" s="88"/>
      <c r="JX22" s="91"/>
      <c r="JY22" s="93"/>
      <c r="JZ22" s="93"/>
      <c r="KA22" s="88"/>
      <c r="KB22" s="88"/>
      <c r="KC22" s="90"/>
      <c r="KD22" s="148"/>
      <c r="KE22" s="88"/>
      <c r="KF22" s="88"/>
      <c r="KG22" s="90"/>
      <c r="KH22" s="93"/>
      <c r="KI22" s="88"/>
      <c r="KJ22" s="88"/>
      <c r="KK22" s="91"/>
      <c r="KL22" s="93"/>
      <c r="KM22" s="93"/>
      <c r="KN22" s="88"/>
      <c r="KO22" s="88"/>
      <c r="KP22" s="90"/>
      <c r="KQ22" s="148"/>
      <c r="KR22" s="88"/>
      <c r="KS22" s="88"/>
      <c r="KT22" s="90"/>
      <c r="KU22" s="93"/>
      <c r="KV22" s="88"/>
      <c r="KW22" s="88"/>
      <c r="KX22" s="91"/>
      <c r="KY22" s="93"/>
      <c r="KZ22" s="93"/>
      <c r="LA22" s="88"/>
      <c r="LB22" s="88"/>
      <c r="LC22" s="90"/>
      <c r="LD22" s="148"/>
      <c r="LE22" s="88"/>
      <c r="LF22" s="88"/>
      <c r="LG22" s="90"/>
      <c r="LH22" s="93"/>
      <c r="LI22" s="88"/>
      <c r="LJ22" s="88"/>
      <c r="LK22" s="91"/>
      <c r="LL22" s="93"/>
      <c r="LM22" s="93"/>
      <c r="LN22" s="88"/>
      <c r="LO22" s="88"/>
      <c r="LP22" s="90"/>
      <c r="LQ22" s="148"/>
      <c r="LR22" s="88"/>
      <c r="LS22" s="88"/>
      <c r="LT22" s="90"/>
      <c r="LU22" s="93"/>
      <c r="LV22" s="88"/>
      <c r="LW22" s="88"/>
      <c r="LX22" s="91"/>
      <c r="LY22" s="93"/>
      <c r="LZ22" s="93"/>
      <c r="MA22" s="88"/>
      <c r="MB22" s="88"/>
      <c r="MC22" s="90"/>
      <c r="MD22" s="148"/>
      <c r="ME22" s="88"/>
      <c r="MF22" s="88"/>
      <c r="MG22" s="90"/>
      <c r="MH22" s="93"/>
      <c r="MI22" s="88"/>
      <c r="MJ22" s="88"/>
      <c r="MK22" s="91"/>
      <c r="ML22" s="93"/>
      <c r="MM22" s="93"/>
      <c r="MN22" s="88"/>
      <c r="MO22" s="88"/>
      <c r="MP22" s="90"/>
      <c r="MQ22" s="148"/>
      <c r="MR22" s="88"/>
      <c r="MS22" s="88"/>
      <c r="MT22" s="90"/>
      <c r="MU22" s="93"/>
      <c r="MV22" s="88"/>
      <c r="MW22" s="88"/>
      <c r="MX22" s="91"/>
      <c r="MY22" s="93"/>
      <c r="MZ22" s="93"/>
      <c r="NA22" s="88"/>
      <c r="NB22" s="88"/>
      <c r="NC22" s="90"/>
      <c r="ND22" s="148"/>
      <c r="NE22" s="88"/>
      <c r="NF22" s="88"/>
      <c r="NG22" s="90"/>
      <c r="NH22" s="93"/>
      <c r="NI22" s="88"/>
      <c r="NJ22" s="88"/>
      <c r="NK22" s="91"/>
      <c r="NL22" s="93"/>
      <c r="NM22" s="93"/>
      <c r="NN22" s="88"/>
      <c r="NO22" s="88"/>
      <c r="NP22" s="90"/>
      <c r="NQ22" s="148"/>
      <c r="NR22" s="88"/>
      <c r="NS22" s="88"/>
      <c r="NT22" s="90"/>
      <c r="NU22" s="93"/>
      <c r="NV22" s="88"/>
      <c r="NW22" s="88"/>
      <c r="NX22" s="91"/>
      <c r="NY22" s="93"/>
      <c r="NZ22" s="93"/>
      <c r="OA22" s="88"/>
      <c r="OB22" s="88"/>
      <c r="OC22" s="90"/>
      <c r="OD22" s="148"/>
      <c r="OE22" s="88"/>
      <c r="OF22" s="88"/>
      <c r="OG22" s="90"/>
      <c r="OH22" s="93"/>
      <c r="OI22" s="88"/>
      <c r="OJ22" s="88"/>
      <c r="OK22" s="91"/>
      <c r="OL22" s="93"/>
      <c r="OM22" s="93"/>
      <c r="ON22" s="88"/>
      <c r="OO22" s="88"/>
      <c r="OP22" s="90"/>
      <c r="OQ22" s="148"/>
      <c r="OR22" s="88"/>
      <c r="OS22" s="88"/>
      <c r="OT22" s="90"/>
      <c r="OU22" s="93"/>
      <c r="OV22" s="88"/>
      <c r="OW22" s="88"/>
      <c r="OX22" s="91"/>
      <c r="OY22" s="93"/>
      <c r="OZ22" s="93"/>
      <c r="PA22" s="88"/>
      <c r="PB22" s="88"/>
      <c r="PC22" s="90"/>
      <c r="PD22" s="148"/>
      <c r="PE22" s="88"/>
      <c r="PF22" s="88"/>
      <c r="PG22" s="90"/>
      <c r="PH22" s="93"/>
      <c r="PI22" s="88"/>
      <c r="PJ22" s="88"/>
      <c r="PK22" s="91"/>
      <c r="PL22" s="93"/>
      <c r="PM22" s="93"/>
      <c r="PN22" s="88"/>
      <c r="PO22" s="88"/>
      <c r="PP22" s="90"/>
      <c r="PQ22" s="148"/>
      <c r="PR22" s="88"/>
      <c r="PS22" s="88"/>
      <c r="PT22" s="90"/>
      <c r="PU22" s="93"/>
      <c r="PV22" s="88"/>
      <c r="PW22" s="88"/>
      <c r="PX22" s="91"/>
      <c r="PY22" s="93"/>
      <c r="PZ22" s="93"/>
      <c r="QA22" s="88"/>
      <c r="QB22" s="88"/>
      <c r="QC22" s="90"/>
      <c r="QD22" s="148"/>
      <c r="QE22" s="88"/>
      <c r="QF22" s="88"/>
      <c r="QG22" s="90"/>
      <c r="QH22" s="93"/>
      <c r="QI22" s="88"/>
      <c r="QJ22" s="88"/>
      <c r="QK22" s="91"/>
      <c r="QL22" s="93"/>
      <c r="QM22" s="93"/>
      <c r="QN22" s="88"/>
      <c r="QO22" s="88"/>
      <c r="QP22" s="90"/>
      <c r="QQ22" s="148"/>
      <c r="QR22" s="88"/>
      <c r="QS22" s="88"/>
      <c r="QT22" s="90"/>
      <c r="QU22" s="93"/>
      <c r="QV22" s="88"/>
      <c r="QW22" s="88"/>
      <c r="QX22" s="91"/>
      <c r="QY22" s="93"/>
      <c r="QZ22" s="93"/>
      <c r="RA22" s="88"/>
      <c r="RB22" s="88"/>
      <c r="RC22" s="90"/>
      <c r="RD22" s="148"/>
      <c r="RE22" s="88"/>
      <c r="RF22" s="88"/>
      <c r="RG22" s="90"/>
      <c r="RH22" s="93"/>
      <c r="RI22" s="88"/>
      <c r="RJ22" s="88"/>
      <c r="RK22" s="91"/>
      <c r="RL22" s="93"/>
      <c r="RM22" s="93"/>
      <c r="RN22" s="88"/>
      <c r="RO22" s="88"/>
      <c r="RP22" s="90"/>
      <c r="RQ22" s="148"/>
      <c r="RR22" s="88"/>
      <c r="RS22" s="88"/>
      <c r="RT22" s="90"/>
      <c r="RU22" s="93"/>
      <c r="RV22" s="88"/>
      <c r="RW22" s="88"/>
      <c r="RX22" s="91"/>
      <c r="RY22" s="93"/>
      <c r="RZ22" s="93"/>
      <c r="SA22" s="88"/>
      <c r="SB22" s="88"/>
      <c r="SC22" s="90"/>
      <c r="SD22" s="148"/>
      <c r="SE22" s="88"/>
      <c r="SF22" s="88"/>
      <c r="SG22" s="90"/>
      <c r="SH22" s="93"/>
      <c r="SI22" s="88"/>
      <c r="SJ22" s="88"/>
      <c r="SK22" s="91"/>
      <c r="SL22" s="93"/>
      <c r="SM22" s="93"/>
      <c r="SN22" s="88"/>
      <c r="SO22" s="88"/>
      <c r="SP22" s="90"/>
      <c r="SQ22" s="148"/>
      <c r="SR22" s="88"/>
      <c r="SS22" s="88"/>
      <c r="ST22" s="90"/>
      <c r="SU22" s="93"/>
      <c r="SV22" s="88"/>
      <c r="SW22" s="88"/>
      <c r="SX22" s="91"/>
      <c r="SY22" s="93"/>
      <c r="SZ22" s="93"/>
      <c r="TA22" s="88"/>
      <c r="TB22" s="88"/>
      <c r="TC22" s="90"/>
      <c r="TD22" s="148"/>
      <c r="TE22" s="88"/>
      <c r="TF22" s="88"/>
      <c r="TG22" s="90"/>
      <c r="TH22" s="93"/>
      <c r="TI22" s="88"/>
      <c r="TJ22" s="88"/>
      <c r="TK22" s="91"/>
      <c r="TL22" s="93"/>
      <c r="TM22" s="93"/>
      <c r="TN22" s="88"/>
      <c r="TO22" s="88"/>
      <c r="TP22" s="90"/>
      <c r="TQ22" s="148"/>
      <c r="TR22" s="88"/>
      <c r="TS22" s="88"/>
      <c r="TT22" s="90"/>
      <c r="TU22" s="93"/>
      <c r="TV22" s="88"/>
      <c r="TW22" s="88"/>
      <c r="TX22" s="91"/>
      <c r="TY22" s="93"/>
      <c r="TZ22" s="93"/>
      <c r="UA22" s="88"/>
      <c r="UB22" s="88"/>
      <c r="UC22" s="90"/>
      <c r="UD22" s="148"/>
      <c r="UE22" s="88"/>
      <c r="UF22" s="88"/>
      <c r="UG22" s="90"/>
      <c r="UH22" s="93"/>
      <c r="UI22" s="88"/>
      <c r="UJ22" s="88"/>
      <c r="UK22" s="91"/>
      <c r="UL22" s="93"/>
      <c r="UM22" s="93"/>
      <c r="UN22" s="88"/>
      <c r="UO22" s="88"/>
      <c r="UP22" s="90"/>
      <c r="UQ22" s="148"/>
      <c r="UR22" s="88"/>
      <c r="US22" s="88"/>
      <c r="UT22" s="90"/>
      <c r="UU22" s="93"/>
      <c r="UV22" s="88"/>
      <c r="UW22" s="88"/>
      <c r="UX22" s="91"/>
      <c r="UY22" s="93"/>
      <c r="UZ22" s="93"/>
      <c r="VA22" s="88"/>
      <c r="VB22" s="88"/>
      <c r="VC22" s="90"/>
      <c r="VD22" s="148"/>
      <c r="VE22" s="88"/>
      <c r="VF22" s="88"/>
      <c r="VG22" s="90"/>
      <c r="VH22" s="93"/>
      <c r="VI22" s="88"/>
      <c r="VJ22" s="88"/>
      <c r="VK22" s="91"/>
      <c r="VL22" s="93"/>
      <c r="VM22" s="93"/>
      <c r="VN22" s="88"/>
      <c r="VO22" s="88"/>
      <c r="VP22" s="90"/>
      <c r="VQ22" s="148"/>
      <c r="VR22" s="88"/>
      <c r="VS22" s="88"/>
      <c r="VT22" s="90"/>
      <c r="VU22" s="93"/>
      <c r="VV22" s="88"/>
      <c r="VW22" s="88"/>
      <c r="VX22" s="91"/>
      <c r="VY22" s="93"/>
      <c r="VZ22" s="93"/>
      <c r="WA22" s="88"/>
      <c r="WB22" s="88"/>
      <c r="WC22" s="90"/>
      <c r="WD22" s="148"/>
      <c r="WE22" s="88"/>
      <c r="WF22" s="88"/>
      <c r="WG22" s="90"/>
      <c r="WH22" s="93"/>
      <c r="WI22" s="88"/>
      <c r="WJ22" s="88"/>
      <c r="WK22" s="91"/>
      <c r="WL22" s="93"/>
      <c r="WM22" s="93"/>
      <c r="WN22" s="88"/>
      <c r="WO22" s="88"/>
      <c r="WP22" s="90"/>
      <c r="WQ22" s="148"/>
      <c r="WR22" s="88"/>
      <c r="WS22" s="88"/>
      <c r="WT22" s="90"/>
      <c r="WU22" s="93"/>
      <c r="WV22" s="88"/>
      <c r="WW22" s="88"/>
      <c r="WX22" s="91"/>
      <c r="WY22" s="93"/>
      <c r="WZ22" s="93"/>
      <c r="XA22" s="88"/>
      <c r="XB22" s="88"/>
      <c r="XC22" s="90"/>
      <c r="XD22" s="148"/>
      <c r="XE22" s="88"/>
      <c r="XF22" s="88"/>
      <c r="XG22" s="90"/>
      <c r="XH22" s="93"/>
      <c r="XI22" s="88"/>
      <c r="XJ22" s="88"/>
      <c r="XK22" s="91"/>
      <c r="XL22" s="93"/>
      <c r="XM22" s="93"/>
      <c r="XN22" s="88"/>
      <c r="XO22" s="88"/>
      <c r="XP22" s="90"/>
      <c r="XQ22" s="148"/>
      <c r="XR22" s="88"/>
      <c r="XS22" s="88"/>
      <c r="XT22" s="90"/>
      <c r="XU22" s="93"/>
      <c r="XV22" s="88"/>
      <c r="XW22" s="88"/>
      <c r="XX22" s="91"/>
      <c r="XY22" s="93"/>
      <c r="XZ22" s="93"/>
      <c r="YA22" s="88"/>
      <c r="YB22" s="88"/>
      <c r="YC22" s="90"/>
      <c r="YD22" s="148"/>
      <c r="YE22" s="88"/>
      <c r="YF22" s="88"/>
      <c r="YG22" s="90"/>
      <c r="YH22" s="93"/>
      <c r="YI22" s="88"/>
      <c r="YJ22" s="88"/>
      <c r="YK22" s="91"/>
      <c r="YL22" s="93"/>
      <c r="YM22" s="93"/>
      <c r="YN22" s="88"/>
      <c r="YO22" s="88"/>
      <c r="YP22" s="90"/>
      <c r="YQ22" s="148"/>
      <c r="YR22" s="88"/>
      <c r="YS22" s="88"/>
      <c r="YT22" s="90"/>
      <c r="YU22" s="93"/>
      <c r="YV22" s="88"/>
      <c r="YW22" s="88"/>
      <c r="YX22" s="91"/>
      <c r="YY22" s="93"/>
      <c r="YZ22" s="93"/>
      <c r="ZA22" s="88"/>
      <c r="ZB22" s="88"/>
      <c r="ZC22" s="90"/>
      <c r="ZD22" s="148"/>
      <c r="ZE22" s="88"/>
      <c r="ZF22" s="88"/>
      <c r="ZG22" s="90"/>
      <c r="ZH22" s="93"/>
      <c r="ZI22" s="88"/>
      <c r="ZJ22" s="88"/>
      <c r="ZK22" s="91"/>
      <c r="ZL22" s="93"/>
      <c r="ZM22" s="93"/>
      <c r="ZN22" s="88"/>
      <c r="ZO22" s="88"/>
      <c r="ZP22" s="90"/>
      <c r="ZQ22" s="148"/>
      <c r="ZR22" s="88"/>
      <c r="ZS22" s="88"/>
      <c r="ZT22" s="90"/>
      <c r="ZU22" s="93"/>
      <c r="ZV22" s="88"/>
      <c r="ZW22" s="88"/>
      <c r="ZX22" s="91"/>
      <c r="ZY22" s="93"/>
      <c r="ZZ22" s="93"/>
      <c r="AAA22" s="88"/>
      <c r="AAB22" s="88"/>
      <c r="AAC22" s="90"/>
      <c r="AAD22" s="148"/>
      <c r="AAE22" s="88"/>
      <c r="AAF22" s="88"/>
      <c r="AAG22" s="90"/>
      <c r="AAH22" s="93"/>
      <c r="AAI22" s="88"/>
      <c r="AAJ22" s="88"/>
      <c r="AAK22" s="91"/>
      <c r="AAL22" s="93"/>
      <c r="AAM22" s="93"/>
      <c r="AAN22" s="88"/>
      <c r="AAO22" s="88"/>
      <c r="AAP22" s="90"/>
      <c r="AAQ22" s="148"/>
      <c r="AAR22" s="88"/>
      <c r="AAS22" s="88"/>
      <c r="AAT22" s="90"/>
      <c r="AAU22" s="93"/>
      <c r="AAV22" s="88"/>
      <c r="AAW22" s="88"/>
      <c r="AAX22" s="91"/>
      <c r="AAY22" s="93"/>
      <c r="AAZ22" s="93"/>
      <c r="ABA22" s="88"/>
      <c r="ABB22" s="88"/>
      <c r="ABC22" s="90"/>
      <c r="ABD22" s="148"/>
      <c r="ABE22" s="88"/>
      <c r="ABF22" s="88"/>
      <c r="ABG22" s="90"/>
      <c r="ABH22" s="93"/>
      <c r="ABI22" s="88"/>
      <c r="ABJ22" s="88"/>
      <c r="ABK22" s="91"/>
      <c r="ABL22" s="93"/>
      <c r="ABM22" s="93"/>
      <c r="ABN22" s="88"/>
      <c r="ABO22" s="88"/>
      <c r="ABP22" s="90"/>
      <c r="ABQ22" s="148"/>
      <c r="ABR22" s="88"/>
      <c r="ABS22" s="88"/>
      <c r="ABT22" s="90"/>
      <c r="ABU22" s="93"/>
      <c r="ABV22" s="88"/>
      <c r="ABW22" s="88"/>
      <c r="ABX22" s="91"/>
      <c r="ABY22" s="93"/>
      <c r="ABZ22" s="93"/>
      <c r="ACA22" s="88"/>
      <c r="ACB22" s="88"/>
      <c r="ACC22" s="90"/>
      <c r="ACD22" s="148"/>
      <c r="ACE22" s="88"/>
      <c r="ACF22" s="88"/>
      <c r="ACG22" s="90"/>
      <c r="ACH22" s="93"/>
      <c r="ACI22" s="88"/>
      <c r="ACJ22" s="88"/>
      <c r="ACK22" s="91"/>
      <c r="ACL22" s="93"/>
      <c r="ACM22" s="93"/>
      <c r="ACN22" s="88"/>
      <c r="ACO22" s="88"/>
      <c r="ACP22" s="90"/>
      <c r="ACQ22" s="148"/>
      <c r="ACR22" s="88"/>
      <c r="ACS22" s="88"/>
      <c r="ACT22" s="90"/>
      <c r="ACU22" s="93"/>
      <c r="ACV22" s="88"/>
      <c r="ACW22" s="88"/>
      <c r="ACX22" s="91"/>
      <c r="ACY22" s="93"/>
      <c r="ACZ22" s="93"/>
      <c r="ADA22" s="88"/>
      <c r="ADB22" s="88"/>
      <c r="ADC22" s="90"/>
      <c r="ADD22" s="148"/>
      <c r="ADE22" s="88"/>
      <c r="ADF22" s="88"/>
      <c r="ADG22" s="90"/>
      <c r="ADH22" s="93"/>
      <c r="ADI22" s="88"/>
      <c r="ADJ22" s="88"/>
      <c r="ADK22" s="91"/>
      <c r="ADL22" s="93"/>
      <c r="ADM22" s="93"/>
      <c r="ADN22" s="88"/>
      <c r="ADO22" s="88"/>
      <c r="ADP22" s="90"/>
      <c r="ADQ22" s="148"/>
      <c r="ADR22" s="88"/>
      <c r="ADS22" s="88"/>
      <c r="ADT22" s="90"/>
      <c r="ADU22" s="93"/>
      <c r="ADV22" s="88"/>
      <c r="ADW22" s="88"/>
      <c r="ADX22" s="91"/>
      <c r="ADY22" s="93"/>
      <c r="ADZ22" s="93"/>
      <c r="AEA22" s="88"/>
      <c r="AEB22" s="88"/>
      <c r="AEC22" s="90"/>
      <c r="AED22" s="148"/>
      <c r="AEE22" s="88"/>
      <c r="AEF22" s="88"/>
      <c r="AEG22" s="90"/>
      <c r="AEH22" s="93"/>
      <c r="AEI22" s="88"/>
      <c r="AEJ22" s="88"/>
      <c r="AEK22" s="91"/>
      <c r="AEL22" s="93"/>
      <c r="AEM22" s="93"/>
      <c r="AEN22" s="88"/>
      <c r="AEO22" s="88"/>
      <c r="AEP22" s="90"/>
      <c r="AEQ22" s="148"/>
      <c r="AER22" s="88"/>
      <c r="AES22" s="88"/>
      <c r="AET22" s="90"/>
      <c r="AEU22" s="93"/>
      <c r="AEV22" s="88"/>
      <c r="AEW22" s="88"/>
      <c r="AEX22" s="91"/>
      <c r="AEY22" s="93"/>
      <c r="AEZ22" s="93"/>
      <c r="AFA22" s="88"/>
      <c r="AFB22" s="88"/>
      <c r="AFC22" s="90"/>
      <c r="AFD22" s="148"/>
      <c r="AFE22" s="88"/>
      <c r="AFF22" s="88"/>
      <c r="AFG22" s="90"/>
      <c r="AFH22" s="93"/>
      <c r="AFI22" s="88"/>
      <c r="AFJ22" s="88"/>
      <c r="AFK22" s="91"/>
      <c r="AFL22" s="93"/>
      <c r="AFM22" s="93"/>
      <c r="AFN22" s="88"/>
      <c r="AFO22" s="88"/>
      <c r="AFP22" s="90"/>
      <c r="AFQ22" s="148"/>
      <c r="AFR22" s="88"/>
      <c r="AFS22" s="88"/>
      <c r="AFT22" s="90"/>
      <c r="AFU22" s="93"/>
      <c r="AFV22" s="88"/>
      <c r="AFW22" s="88"/>
      <c r="AFX22" s="91"/>
      <c r="AFY22" s="93"/>
      <c r="AFZ22" s="93"/>
      <c r="AGA22" s="88"/>
      <c r="AGB22" s="88"/>
      <c r="AGC22" s="90"/>
      <c r="AGD22" s="148"/>
      <c r="AGE22" s="88"/>
      <c r="AGF22" s="88"/>
      <c r="AGG22" s="90"/>
      <c r="AGH22" s="93"/>
      <c r="AGI22" s="88"/>
      <c r="AGJ22" s="88"/>
      <c r="AGK22" s="91"/>
      <c r="AGL22" s="93"/>
      <c r="AGM22" s="93"/>
      <c r="AGN22" s="88"/>
      <c r="AGO22" s="88"/>
      <c r="AGP22" s="90"/>
      <c r="AGQ22" s="148"/>
      <c r="AGR22" s="88"/>
      <c r="AGS22" s="88"/>
      <c r="AGT22" s="90"/>
      <c r="AGU22" s="93"/>
      <c r="AGV22" s="88"/>
      <c r="AGW22" s="88"/>
      <c r="AGX22" s="91"/>
      <c r="AGY22" s="93"/>
      <c r="AGZ22" s="93"/>
      <c r="AHA22" s="88"/>
      <c r="AHB22" s="88"/>
      <c r="AHC22" s="90"/>
      <c r="AHD22" s="148"/>
      <c r="AHE22" s="88"/>
      <c r="AHF22" s="88"/>
      <c r="AHG22" s="90"/>
      <c r="AHH22" s="93"/>
      <c r="AHI22" s="88"/>
      <c r="AHJ22" s="88"/>
      <c r="AHK22" s="91"/>
      <c r="AHL22" s="93"/>
      <c r="AHM22" s="93"/>
      <c r="AHN22" s="88"/>
      <c r="AHO22" s="88"/>
      <c r="AHP22" s="90"/>
      <c r="AHQ22" s="148"/>
      <c r="AHR22" s="88"/>
      <c r="AHS22" s="88"/>
      <c r="AHT22" s="90"/>
      <c r="AHU22" s="93"/>
      <c r="AHV22" s="88"/>
      <c r="AHW22" s="88"/>
      <c r="AHX22" s="91"/>
      <c r="AHY22" s="93"/>
      <c r="AHZ22" s="93"/>
      <c r="AIA22" s="88"/>
      <c r="AIB22" s="88"/>
      <c r="AIC22" s="90"/>
      <c r="AID22" s="148"/>
      <c r="AIE22" s="88"/>
      <c r="AIF22" s="88"/>
      <c r="AIG22" s="90"/>
      <c r="AIH22" s="93"/>
      <c r="AII22" s="88"/>
      <c r="AIJ22" s="88"/>
      <c r="AIK22" s="91"/>
      <c r="AIL22" s="93"/>
      <c r="AIM22" s="93"/>
      <c r="AIN22" s="88"/>
      <c r="AIO22" s="88"/>
      <c r="AIP22" s="90"/>
      <c r="AIQ22" s="148"/>
      <c r="AIR22" s="88"/>
      <c r="AIS22" s="88"/>
      <c r="AIT22" s="90"/>
      <c r="AIU22" s="93"/>
      <c r="AIV22" s="88"/>
      <c r="AIW22" s="88"/>
      <c r="AIX22" s="91"/>
      <c r="AIY22" s="93"/>
      <c r="AIZ22" s="93"/>
      <c r="AJA22" s="88"/>
      <c r="AJB22" s="88"/>
      <c r="AJC22" s="90"/>
      <c r="AJD22" s="148"/>
      <c r="AJE22" s="88"/>
      <c r="AJF22" s="88"/>
      <c r="AJG22" s="90"/>
      <c r="AJH22" s="93"/>
      <c r="AJI22" s="88"/>
      <c r="AJJ22" s="88"/>
      <c r="AJK22" s="91"/>
      <c r="AJL22" s="93"/>
      <c r="AJM22" s="93"/>
      <c r="AJN22" s="88"/>
      <c r="AJO22" s="88"/>
      <c r="AJP22" s="90"/>
      <c r="AJQ22" s="148"/>
      <c r="AJR22" s="88"/>
      <c r="AJS22" s="88"/>
      <c r="AJT22" s="90"/>
      <c r="AJU22" s="93"/>
      <c r="AJV22" s="88"/>
      <c r="AJW22" s="88"/>
      <c r="AJX22" s="91"/>
      <c r="AJY22" s="93"/>
      <c r="AJZ22" s="93"/>
      <c r="AKA22" s="88"/>
      <c r="AKB22" s="88"/>
      <c r="AKC22" s="90"/>
      <c r="AKD22" s="148"/>
      <c r="AKE22" s="88"/>
      <c r="AKF22" s="88"/>
      <c r="AKG22" s="90"/>
      <c r="AKH22" s="93"/>
      <c r="AKI22" s="88"/>
      <c r="AKJ22" s="88"/>
      <c r="AKK22" s="91"/>
      <c r="AKL22" s="93"/>
      <c r="AKM22" s="93"/>
      <c r="AKN22" s="88"/>
      <c r="AKO22" s="88"/>
      <c r="AKP22" s="90"/>
      <c r="AKQ22" s="148"/>
      <c r="AKR22" s="88"/>
      <c r="AKS22" s="88"/>
      <c r="AKT22" s="90"/>
      <c r="AKU22" s="93"/>
      <c r="AKV22" s="88"/>
      <c r="AKW22" s="88"/>
      <c r="AKX22" s="91"/>
      <c r="AKY22" s="93"/>
      <c r="AKZ22" s="93"/>
      <c r="ALA22" s="88"/>
      <c r="ALB22" s="88"/>
      <c r="ALC22" s="90"/>
      <c r="ALD22" s="148"/>
      <c r="ALE22" s="88"/>
      <c r="ALF22" s="88"/>
      <c r="ALG22" s="90"/>
      <c r="ALH22" s="93"/>
      <c r="ALI22" s="88"/>
      <c r="ALJ22" s="88"/>
      <c r="ALK22" s="91"/>
      <c r="ALL22" s="93"/>
      <c r="ALM22" s="93"/>
      <c r="ALN22" s="88"/>
      <c r="ALO22" s="88"/>
      <c r="ALP22" s="90"/>
      <c r="ALQ22" s="148"/>
      <c r="ALR22" s="88"/>
      <c r="ALS22" s="88"/>
      <c r="ALT22" s="90"/>
      <c r="ALU22" s="93"/>
      <c r="ALV22" s="88"/>
      <c r="ALW22" s="88"/>
      <c r="ALX22" s="91"/>
      <c r="ALY22" s="93"/>
      <c r="ALZ22" s="93"/>
      <c r="AMA22" s="88"/>
      <c r="AMB22" s="88"/>
      <c r="AMC22" s="90"/>
      <c r="AMD22" s="148"/>
      <c r="AME22" s="88"/>
      <c r="AMF22" s="88"/>
      <c r="AMG22" s="90"/>
      <c r="AMH22" s="93"/>
      <c r="AMI22" s="88"/>
      <c r="AMJ22" s="88"/>
      <c r="AMK22" s="91"/>
      <c r="AML22" s="93"/>
      <c r="AMM22" s="93"/>
      <c r="AMN22" s="88"/>
      <c r="AMO22" s="88"/>
      <c r="AMP22" s="90"/>
      <c r="AMQ22" s="148"/>
      <c r="AMR22" s="88"/>
      <c r="AMS22" s="88"/>
      <c r="AMT22" s="90"/>
      <c r="AMU22" s="93"/>
      <c r="AMV22" s="88"/>
      <c r="AMW22" s="88"/>
      <c r="AMX22" s="91"/>
      <c r="AMY22" s="93"/>
      <c r="AMZ22" s="93"/>
      <c r="ANA22" s="88"/>
      <c r="ANB22" s="88"/>
      <c r="ANC22" s="90"/>
      <c r="AND22" s="148"/>
      <c r="ANE22" s="88"/>
      <c r="ANF22" s="88"/>
      <c r="ANG22" s="90"/>
      <c r="ANH22" s="93"/>
      <c r="ANI22" s="88"/>
      <c r="ANJ22" s="88"/>
      <c r="ANK22" s="91"/>
      <c r="ANL22" s="93"/>
      <c r="ANM22" s="93"/>
      <c r="ANN22" s="88"/>
      <c r="ANO22" s="88"/>
      <c r="ANP22" s="90"/>
      <c r="ANQ22" s="148"/>
      <c r="ANR22" s="88"/>
      <c r="ANS22" s="88"/>
      <c r="ANT22" s="90"/>
      <c r="ANU22" s="93"/>
      <c r="ANV22" s="88"/>
      <c r="ANW22" s="88"/>
      <c r="ANX22" s="91"/>
      <c r="ANY22" s="93"/>
      <c r="ANZ22" s="93"/>
      <c r="AOA22" s="88"/>
      <c r="AOB22" s="88"/>
      <c r="AOC22" s="90"/>
      <c r="AOD22" s="148"/>
      <c r="AOE22" s="88"/>
      <c r="AOF22" s="88"/>
      <c r="AOG22" s="90"/>
      <c r="AOH22" s="93"/>
      <c r="AOI22" s="88"/>
      <c r="AOJ22" s="88"/>
      <c r="AOK22" s="91"/>
      <c r="AOL22" s="93"/>
      <c r="AOM22" s="93"/>
      <c r="AON22" s="88"/>
      <c r="AOO22" s="88"/>
      <c r="AOP22" s="90"/>
      <c r="AOQ22" s="148"/>
      <c r="AOR22" s="88"/>
      <c r="AOS22" s="88"/>
      <c r="AOT22" s="90"/>
      <c r="AOU22" s="93"/>
      <c r="AOV22" s="88"/>
      <c r="AOW22" s="88"/>
      <c r="AOX22" s="91"/>
      <c r="AOY22" s="93"/>
      <c r="AOZ22" s="93"/>
      <c r="APA22" s="88"/>
      <c r="APB22" s="88"/>
      <c r="APC22" s="90"/>
      <c r="APD22" s="148"/>
      <c r="APE22" s="88"/>
      <c r="APF22" s="88"/>
      <c r="APG22" s="90"/>
      <c r="APH22" s="93"/>
      <c r="API22" s="88"/>
      <c r="APJ22" s="88"/>
      <c r="APK22" s="91"/>
      <c r="APL22" s="93"/>
      <c r="APM22" s="93"/>
      <c r="APN22" s="88"/>
      <c r="APO22" s="88"/>
      <c r="APP22" s="90"/>
      <c r="APQ22" s="148"/>
      <c r="APR22" s="88"/>
      <c r="APS22" s="88"/>
      <c r="APT22" s="90"/>
      <c r="APU22" s="93"/>
      <c r="APV22" s="88"/>
      <c r="APW22" s="88"/>
      <c r="APX22" s="91"/>
      <c r="APY22" s="93"/>
      <c r="APZ22" s="93"/>
      <c r="AQA22" s="88"/>
      <c r="AQB22" s="88"/>
      <c r="AQC22" s="90"/>
      <c r="AQD22" s="148"/>
      <c r="AQE22" s="88"/>
      <c r="AQF22" s="88"/>
      <c r="AQG22" s="90"/>
      <c r="AQH22" s="93"/>
      <c r="AQI22" s="88"/>
      <c r="AQJ22" s="88"/>
      <c r="AQK22" s="91"/>
      <c r="AQL22" s="93"/>
      <c r="AQM22" s="93"/>
      <c r="AQN22" s="88"/>
      <c r="AQO22" s="88"/>
      <c r="AQP22" s="90"/>
      <c r="AQQ22" s="148"/>
      <c r="AQR22" s="88"/>
      <c r="AQS22" s="88"/>
      <c r="AQT22" s="90"/>
      <c r="AQU22" s="93"/>
      <c r="AQV22" s="88"/>
      <c r="AQW22" s="88"/>
      <c r="AQX22" s="91"/>
      <c r="AQY22" s="93"/>
      <c r="AQZ22" s="93"/>
      <c r="ARA22" s="88"/>
      <c r="ARB22" s="88"/>
      <c r="ARC22" s="90"/>
      <c r="ARD22" s="148"/>
      <c r="ARE22" s="88"/>
      <c r="ARF22" s="88"/>
      <c r="ARG22" s="90"/>
      <c r="ARH22" s="93"/>
      <c r="ARI22" s="88"/>
      <c r="ARJ22" s="88"/>
      <c r="ARK22" s="91"/>
      <c r="ARL22" s="93"/>
      <c r="ARM22" s="93"/>
      <c r="ARN22" s="88"/>
      <c r="ARO22" s="88"/>
      <c r="ARP22" s="90"/>
      <c r="ARQ22" s="148"/>
      <c r="ARR22" s="88"/>
      <c r="ARS22" s="88"/>
      <c r="ART22" s="90"/>
      <c r="ARU22" s="93"/>
      <c r="ARV22" s="88"/>
      <c r="ARW22" s="88"/>
      <c r="ARX22" s="91"/>
      <c r="ARY22" s="93"/>
      <c r="ARZ22" s="93"/>
      <c r="ASA22" s="88"/>
      <c r="ASB22" s="88"/>
      <c r="ASC22" s="90"/>
      <c r="ASD22" s="148"/>
      <c r="ASE22" s="88"/>
      <c r="ASF22" s="88"/>
      <c r="ASG22" s="90"/>
      <c r="ASH22" s="93"/>
      <c r="ASI22" s="88"/>
      <c r="ASJ22" s="88"/>
      <c r="ASK22" s="91"/>
      <c r="ASL22" s="93"/>
      <c r="ASM22" s="93"/>
      <c r="ASN22" s="88"/>
      <c r="ASO22" s="88"/>
      <c r="ASP22" s="90"/>
      <c r="ASQ22" s="148"/>
      <c r="ASR22" s="88"/>
      <c r="ASS22" s="88"/>
      <c r="AST22" s="90"/>
      <c r="ASU22" s="93"/>
      <c r="ASV22" s="88"/>
      <c r="ASW22" s="88"/>
      <c r="ASX22" s="91"/>
      <c r="ASY22" s="93"/>
      <c r="ASZ22" s="93"/>
      <c r="ATA22" s="88"/>
      <c r="ATB22" s="88"/>
      <c r="ATC22" s="90"/>
      <c r="ATD22" s="148"/>
      <c r="ATE22" s="88"/>
      <c r="ATF22" s="88"/>
      <c r="ATG22" s="90"/>
      <c r="ATH22" s="93"/>
      <c r="ATI22" s="88"/>
      <c r="ATJ22" s="88"/>
      <c r="ATK22" s="91"/>
      <c r="ATL22" s="93"/>
      <c r="ATM22" s="93"/>
      <c r="ATN22" s="88"/>
      <c r="ATO22" s="88"/>
      <c r="ATP22" s="90"/>
      <c r="ATQ22" s="148"/>
      <c r="ATR22" s="88"/>
      <c r="ATS22" s="88"/>
      <c r="ATT22" s="90"/>
      <c r="ATU22" s="93"/>
      <c r="ATV22" s="88"/>
      <c r="ATW22" s="88"/>
      <c r="ATX22" s="91"/>
      <c r="ATY22" s="93"/>
      <c r="ATZ22" s="93"/>
      <c r="AUA22" s="88"/>
      <c r="AUB22" s="88"/>
      <c r="AUC22" s="90"/>
      <c r="AUD22" s="148"/>
      <c r="AUE22" s="88"/>
      <c r="AUF22" s="88"/>
      <c r="AUG22" s="90"/>
      <c r="AUH22" s="93"/>
      <c r="AUI22" s="88"/>
      <c r="AUJ22" s="88"/>
      <c r="AUK22" s="91"/>
      <c r="AUL22" s="93"/>
      <c r="AUM22" s="93"/>
      <c r="AUN22" s="88"/>
      <c r="AUO22" s="88"/>
      <c r="AUP22" s="90"/>
      <c r="AUQ22" s="148"/>
      <c r="AUR22" s="88"/>
      <c r="AUS22" s="88"/>
      <c r="AUT22" s="90"/>
      <c r="AUU22" s="93"/>
      <c r="AUV22" s="88"/>
      <c r="AUW22" s="88"/>
      <c r="AUX22" s="91"/>
      <c r="AUY22" s="93"/>
      <c r="AUZ22" s="93"/>
      <c r="AVA22" s="88"/>
      <c r="AVB22" s="88"/>
      <c r="AVC22" s="90"/>
      <c r="AVD22" s="148"/>
      <c r="AVE22" s="88"/>
      <c r="AVF22" s="88"/>
      <c r="AVG22" s="90"/>
      <c r="AVH22" s="93"/>
      <c r="AVI22" s="88"/>
      <c r="AVJ22" s="88"/>
      <c r="AVK22" s="91"/>
      <c r="AVL22" s="93"/>
      <c r="AVM22" s="93"/>
      <c r="AVN22" s="88"/>
      <c r="AVO22" s="88"/>
      <c r="AVP22" s="90"/>
      <c r="AVQ22" s="148"/>
      <c r="AVR22" s="88"/>
      <c r="AVS22" s="88"/>
      <c r="AVT22" s="90"/>
      <c r="AVU22" s="93"/>
      <c r="AVV22" s="88"/>
      <c r="AVW22" s="88"/>
      <c r="AVX22" s="91"/>
      <c r="AVY22" s="93"/>
      <c r="AVZ22" s="93"/>
      <c r="AWA22" s="88"/>
      <c r="AWB22" s="88"/>
      <c r="AWC22" s="90"/>
      <c r="AWD22" s="148"/>
      <c r="AWE22" s="88"/>
      <c r="AWF22" s="88"/>
      <c r="AWG22" s="90"/>
      <c r="AWH22" s="93"/>
      <c r="AWI22" s="88"/>
      <c r="AWJ22" s="88"/>
      <c r="AWK22" s="91"/>
      <c r="AWL22" s="93"/>
      <c r="AWM22" s="93"/>
      <c r="AWN22" s="88"/>
      <c r="AWO22" s="88"/>
      <c r="AWP22" s="90"/>
      <c r="AWQ22" s="148"/>
      <c r="AWR22" s="88"/>
      <c r="AWS22" s="88"/>
      <c r="AWT22" s="90"/>
      <c r="AWU22" s="93"/>
      <c r="AWV22" s="88"/>
      <c r="AWW22" s="88"/>
      <c r="AWX22" s="91"/>
      <c r="AWY22" s="93"/>
      <c r="AWZ22" s="93"/>
      <c r="AXA22" s="88"/>
      <c r="AXB22" s="88"/>
      <c r="AXC22" s="90"/>
      <c r="AXD22" s="148"/>
      <c r="AXE22" s="88"/>
      <c r="AXF22" s="88"/>
      <c r="AXG22" s="90"/>
      <c r="AXH22" s="93"/>
      <c r="AXI22" s="88"/>
      <c r="AXJ22" s="88"/>
      <c r="AXK22" s="91"/>
      <c r="AXL22" s="93"/>
      <c r="AXM22" s="93"/>
      <c r="AXN22" s="88"/>
      <c r="AXO22" s="88"/>
      <c r="AXP22" s="90"/>
      <c r="AXQ22" s="148"/>
      <c r="AXR22" s="88"/>
      <c r="AXS22" s="88"/>
      <c r="AXT22" s="90"/>
      <c r="AXU22" s="93"/>
      <c r="AXV22" s="88"/>
      <c r="AXW22" s="88"/>
      <c r="AXX22" s="91"/>
      <c r="AXY22" s="93"/>
      <c r="AXZ22" s="93"/>
      <c r="AYA22" s="88"/>
      <c r="AYB22" s="88"/>
      <c r="AYC22" s="90"/>
      <c r="AYD22" s="148"/>
      <c r="AYE22" s="88"/>
      <c r="AYF22" s="88"/>
      <c r="AYG22" s="90"/>
      <c r="AYH22" s="93"/>
      <c r="AYI22" s="88"/>
      <c r="AYJ22" s="88"/>
      <c r="AYK22" s="91"/>
      <c r="AYL22" s="93"/>
      <c r="AYM22" s="93"/>
      <c r="AYN22" s="88"/>
      <c r="AYO22" s="88"/>
      <c r="AYP22" s="90"/>
      <c r="AYQ22" s="148"/>
      <c r="AYR22" s="88"/>
      <c r="AYS22" s="88"/>
      <c r="AYT22" s="90"/>
      <c r="AYU22" s="93"/>
      <c r="AYV22" s="88"/>
      <c r="AYW22" s="88"/>
      <c r="AYX22" s="91"/>
      <c r="AYY22" s="93"/>
      <c r="AYZ22" s="93"/>
      <c r="AZA22" s="88"/>
      <c r="AZB22" s="88"/>
      <c r="AZC22" s="90"/>
      <c r="AZD22" s="148"/>
      <c r="AZE22" s="88"/>
      <c r="AZF22" s="88"/>
      <c r="AZG22" s="90"/>
      <c r="AZH22" s="93"/>
      <c r="AZI22" s="88"/>
      <c r="AZJ22" s="88"/>
      <c r="AZK22" s="91"/>
      <c r="AZL22" s="93"/>
      <c r="AZM22" s="93"/>
      <c r="AZN22" s="88"/>
      <c r="AZO22" s="88"/>
      <c r="AZP22" s="90"/>
      <c r="AZQ22" s="148"/>
      <c r="AZR22" s="88"/>
      <c r="AZS22" s="88"/>
      <c r="AZT22" s="90"/>
      <c r="AZU22" s="93"/>
      <c r="AZV22" s="88"/>
      <c r="AZW22" s="88"/>
      <c r="AZX22" s="91"/>
      <c r="AZY22" s="93"/>
      <c r="AZZ22" s="93"/>
      <c r="BAA22" s="88"/>
      <c r="BAB22" s="88"/>
      <c r="BAC22" s="90"/>
      <c r="BAD22" s="148"/>
      <c r="BAE22" s="88"/>
      <c r="BAF22" s="88"/>
      <c r="BAG22" s="90"/>
      <c r="BAH22" s="93"/>
      <c r="BAI22" s="88"/>
      <c r="BAJ22" s="88"/>
      <c r="BAK22" s="91"/>
      <c r="BAL22" s="93"/>
      <c r="BAM22" s="93"/>
      <c r="BAN22" s="88"/>
      <c r="BAO22" s="88"/>
      <c r="BAP22" s="90"/>
      <c r="BAQ22" s="148"/>
      <c r="BAR22" s="88"/>
      <c r="BAS22" s="88"/>
      <c r="BAT22" s="90"/>
      <c r="BAU22" s="93"/>
      <c r="BAV22" s="88"/>
      <c r="BAW22" s="88"/>
      <c r="BAX22" s="91"/>
      <c r="BAY22" s="93"/>
      <c r="BAZ22" s="93"/>
      <c r="BBA22" s="88"/>
      <c r="BBB22" s="88"/>
      <c r="BBC22" s="90"/>
      <c r="BBD22" s="148"/>
      <c r="BBE22" s="88"/>
      <c r="BBF22" s="88"/>
      <c r="BBG22" s="90"/>
      <c r="BBH22" s="93"/>
      <c r="BBI22" s="88"/>
      <c r="BBJ22" s="88"/>
      <c r="BBK22" s="91"/>
      <c r="BBL22" s="93"/>
      <c r="BBM22" s="93"/>
      <c r="BBN22" s="88"/>
      <c r="BBO22" s="88"/>
      <c r="BBP22" s="90"/>
      <c r="BBQ22" s="148"/>
      <c r="BBR22" s="88"/>
      <c r="BBS22" s="88"/>
      <c r="BBT22" s="90"/>
      <c r="BBU22" s="93"/>
      <c r="BBV22" s="88"/>
      <c r="BBW22" s="88"/>
      <c r="BBX22" s="91"/>
      <c r="BBY22" s="93"/>
      <c r="BBZ22" s="93"/>
      <c r="BCA22" s="88"/>
      <c r="BCB22" s="88"/>
      <c r="BCC22" s="90"/>
      <c r="BCD22" s="148"/>
      <c r="BCE22" s="88"/>
      <c r="BCF22" s="88"/>
      <c r="BCG22" s="90"/>
      <c r="BCH22" s="93"/>
      <c r="BCI22" s="88"/>
      <c r="BCJ22" s="88"/>
      <c r="BCK22" s="91"/>
      <c r="BCL22" s="93"/>
      <c r="BCM22" s="93"/>
      <c r="BCN22" s="88"/>
      <c r="BCO22" s="88"/>
      <c r="BCP22" s="90"/>
      <c r="BCQ22" s="148"/>
      <c r="BCR22" s="88"/>
      <c r="BCS22" s="88"/>
      <c r="BCT22" s="90"/>
      <c r="BCU22" s="93"/>
      <c r="BCV22" s="88"/>
      <c r="BCW22" s="88"/>
      <c r="BCX22" s="91"/>
      <c r="BCY22" s="93"/>
      <c r="BCZ22" s="93"/>
      <c r="BDA22" s="88"/>
      <c r="BDB22" s="88"/>
      <c r="BDC22" s="90"/>
      <c r="BDD22" s="148"/>
      <c r="BDE22" s="88"/>
      <c r="BDF22" s="88"/>
      <c r="BDG22" s="90"/>
      <c r="BDH22" s="93"/>
      <c r="BDI22" s="88"/>
      <c r="BDJ22" s="88"/>
      <c r="BDK22" s="91"/>
      <c r="BDL22" s="93"/>
      <c r="BDM22" s="93"/>
      <c r="BDN22" s="88"/>
      <c r="BDO22" s="88"/>
      <c r="BDP22" s="90"/>
      <c r="BDQ22" s="148"/>
      <c r="BDR22" s="88"/>
      <c r="BDS22" s="88"/>
      <c r="BDT22" s="90"/>
      <c r="BDU22" s="93"/>
      <c r="BDV22" s="88"/>
      <c r="BDW22" s="88"/>
      <c r="BDX22" s="91"/>
      <c r="BDY22" s="93"/>
      <c r="BDZ22" s="93"/>
      <c r="BEA22" s="88"/>
      <c r="BEB22" s="88"/>
      <c r="BEC22" s="90"/>
      <c r="BED22" s="148"/>
      <c r="BEE22" s="88"/>
      <c r="BEF22" s="88"/>
      <c r="BEG22" s="90"/>
      <c r="BEH22" s="93"/>
      <c r="BEI22" s="88"/>
      <c r="BEJ22" s="88"/>
      <c r="BEK22" s="91"/>
      <c r="BEL22" s="93"/>
      <c r="BEM22" s="93"/>
      <c r="BEN22" s="88"/>
      <c r="BEO22" s="88"/>
      <c r="BEP22" s="90"/>
      <c r="BEQ22" s="148"/>
      <c r="BER22" s="88"/>
      <c r="BES22" s="88"/>
      <c r="BET22" s="90"/>
      <c r="BEU22" s="93"/>
      <c r="BEV22" s="88"/>
      <c r="BEW22" s="88"/>
      <c r="BEX22" s="91"/>
      <c r="BEY22" s="93"/>
      <c r="BEZ22" s="93"/>
      <c r="BFA22" s="88"/>
      <c r="BFB22" s="88"/>
      <c r="BFC22" s="90"/>
      <c r="BFD22" s="148"/>
      <c r="BFE22" s="88"/>
      <c r="BFF22" s="88"/>
      <c r="BFG22" s="90"/>
      <c r="BFH22" s="93"/>
      <c r="BFI22" s="88"/>
      <c r="BFJ22" s="88"/>
      <c r="BFK22" s="91"/>
      <c r="BFL22" s="93"/>
      <c r="BFM22" s="93"/>
      <c r="BFN22" s="88"/>
      <c r="BFO22" s="88"/>
      <c r="BFP22" s="90"/>
      <c r="BFQ22" s="148"/>
      <c r="BFR22" s="88"/>
      <c r="BFS22" s="88"/>
      <c r="BFT22" s="90"/>
      <c r="BFU22" s="93"/>
      <c r="BFV22" s="88"/>
      <c r="BFW22" s="88"/>
      <c r="BFX22" s="91"/>
      <c r="BFY22" s="93"/>
      <c r="BFZ22" s="93"/>
      <c r="BGA22" s="88"/>
      <c r="BGB22" s="88"/>
      <c r="BGC22" s="90"/>
      <c r="BGD22" s="148"/>
      <c r="BGE22" s="88"/>
      <c r="BGF22" s="88"/>
      <c r="BGG22" s="90"/>
      <c r="BGH22" s="93"/>
      <c r="BGI22" s="88"/>
      <c r="BGJ22" s="88"/>
      <c r="BGK22" s="91"/>
      <c r="BGL22" s="93"/>
      <c r="BGM22" s="93"/>
      <c r="BGN22" s="88"/>
      <c r="BGO22" s="88"/>
      <c r="BGP22" s="90"/>
      <c r="BGQ22" s="148"/>
      <c r="BGR22" s="88"/>
      <c r="BGS22" s="88"/>
      <c r="BGT22" s="90"/>
      <c r="BGU22" s="93"/>
      <c r="BGV22" s="88"/>
      <c r="BGW22" s="88"/>
      <c r="BGX22" s="91"/>
      <c r="BGY22" s="93"/>
      <c r="BGZ22" s="93"/>
      <c r="BHA22" s="88"/>
      <c r="BHB22" s="88"/>
      <c r="BHC22" s="90"/>
      <c r="BHD22" s="148"/>
      <c r="BHE22" s="88"/>
      <c r="BHF22" s="88"/>
      <c r="BHG22" s="90"/>
      <c r="BHH22" s="93"/>
      <c r="BHI22" s="88"/>
      <c r="BHJ22" s="88"/>
      <c r="BHK22" s="91"/>
      <c r="BHL22" s="93"/>
      <c r="BHM22" s="93"/>
      <c r="BHN22" s="88"/>
      <c r="BHO22" s="88"/>
      <c r="BHP22" s="90"/>
      <c r="BHQ22" s="148"/>
      <c r="BHR22" s="88"/>
      <c r="BHS22" s="88"/>
      <c r="BHT22" s="90"/>
      <c r="BHU22" s="93"/>
      <c r="BHV22" s="88"/>
      <c r="BHW22" s="88"/>
      <c r="BHX22" s="91"/>
      <c r="BHY22" s="93"/>
      <c r="BHZ22" s="93"/>
      <c r="BIA22" s="88"/>
      <c r="BIB22" s="88"/>
      <c r="BIC22" s="90"/>
      <c r="BID22" s="148"/>
      <c r="BIE22" s="88"/>
      <c r="BIF22" s="88"/>
      <c r="BIG22" s="90"/>
      <c r="BIH22" s="93"/>
      <c r="BII22" s="88"/>
      <c r="BIJ22" s="88"/>
      <c r="BIK22" s="91"/>
      <c r="BIL22" s="93"/>
      <c r="BIM22" s="93"/>
      <c r="BIN22" s="88"/>
      <c r="BIO22" s="88"/>
      <c r="BIP22" s="90"/>
      <c r="BIQ22" s="148"/>
      <c r="BIR22" s="88"/>
      <c r="BIS22" s="88"/>
      <c r="BIT22" s="90"/>
      <c r="BIU22" s="93"/>
      <c r="BIV22" s="88"/>
      <c r="BIW22" s="88"/>
      <c r="BIX22" s="91"/>
      <c r="BIY22" s="93"/>
      <c r="BIZ22" s="93"/>
      <c r="BJA22" s="88"/>
      <c r="BJB22" s="88"/>
      <c r="BJC22" s="90"/>
      <c r="BJD22" s="148"/>
      <c r="BJE22" s="88"/>
      <c r="BJF22" s="88"/>
      <c r="BJG22" s="90"/>
      <c r="BJH22" s="93"/>
      <c r="BJI22" s="88"/>
      <c r="BJJ22" s="88"/>
      <c r="BJK22" s="91"/>
      <c r="BJL22" s="93"/>
      <c r="BJM22" s="93"/>
      <c r="BJN22" s="88"/>
      <c r="BJO22" s="88"/>
      <c r="BJP22" s="90"/>
      <c r="BJQ22" s="148"/>
      <c r="BJR22" s="88"/>
      <c r="BJS22" s="88"/>
      <c r="BJT22" s="90"/>
      <c r="BJU22" s="93"/>
      <c r="BJV22" s="88"/>
      <c r="BJW22" s="88"/>
      <c r="BJX22" s="91"/>
      <c r="BJY22" s="93"/>
      <c r="BJZ22" s="93"/>
      <c r="BKA22" s="88"/>
      <c r="BKB22" s="88"/>
      <c r="BKC22" s="90"/>
      <c r="BKD22" s="148"/>
      <c r="BKE22" s="88"/>
      <c r="BKF22" s="88"/>
      <c r="BKG22" s="90"/>
      <c r="BKH22" s="93"/>
      <c r="BKI22" s="88"/>
      <c r="BKJ22" s="88"/>
      <c r="BKK22" s="91"/>
      <c r="BKL22" s="93"/>
      <c r="BKM22" s="93"/>
      <c r="BKN22" s="88"/>
      <c r="BKO22" s="88"/>
      <c r="BKP22" s="90"/>
      <c r="BKQ22" s="148"/>
      <c r="BKR22" s="88"/>
      <c r="BKS22" s="88"/>
      <c r="BKT22" s="90"/>
      <c r="BKU22" s="93"/>
      <c r="BKV22" s="88"/>
      <c r="BKW22" s="88"/>
      <c r="BKX22" s="91"/>
      <c r="BKY22" s="93"/>
      <c r="BKZ22" s="93"/>
      <c r="BLA22" s="88"/>
      <c r="BLB22" s="88"/>
      <c r="BLC22" s="90"/>
      <c r="BLD22" s="148"/>
      <c r="BLE22" s="88"/>
      <c r="BLF22" s="88"/>
      <c r="BLG22" s="90"/>
      <c r="BLH22" s="93"/>
      <c r="BLI22" s="88"/>
      <c r="BLJ22" s="88"/>
      <c r="BLK22" s="91"/>
      <c r="BLL22" s="93"/>
      <c r="BLM22" s="93"/>
      <c r="BLN22" s="88"/>
      <c r="BLO22" s="88"/>
      <c r="BLP22" s="90"/>
      <c r="BLQ22" s="148"/>
      <c r="BLR22" s="88"/>
      <c r="BLS22" s="88"/>
      <c r="BLT22" s="90"/>
      <c r="BLU22" s="93"/>
      <c r="BLV22" s="88"/>
      <c r="BLW22" s="88"/>
      <c r="BLX22" s="91"/>
      <c r="BLY22" s="93"/>
      <c r="BLZ22" s="93"/>
      <c r="BMA22" s="88"/>
      <c r="BMB22" s="88"/>
      <c r="BMC22" s="90"/>
      <c r="BMD22" s="148"/>
      <c r="BME22" s="88"/>
      <c r="BMF22" s="88"/>
      <c r="BMG22" s="90"/>
      <c r="BMH22" s="93"/>
      <c r="BMI22" s="88"/>
      <c r="BMJ22" s="88"/>
      <c r="BMK22" s="91"/>
      <c r="BML22" s="93"/>
      <c r="BMM22" s="93"/>
      <c r="BMN22" s="88"/>
      <c r="BMO22" s="88"/>
      <c r="BMP22" s="90"/>
      <c r="BMQ22" s="148"/>
      <c r="BMR22" s="88"/>
      <c r="BMS22" s="88"/>
      <c r="BMT22" s="90"/>
      <c r="BMU22" s="93"/>
      <c r="BMV22" s="88"/>
      <c r="BMW22" s="88"/>
      <c r="BMX22" s="91"/>
      <c r="BMY22" s="93"/>
      <c r="BMZ22" s="93"/>
      <c r="BNA22" s="88"/>
      <c r="BNB22" s="88"/>
      <c r="BNC22" s="90"/>
      <c r="BND22" s="148"/>
      <c r="BNE22" s="88"/>
      <c r="BNF22" s="88"/>
      <c r="BNG22" s="90"/>
      <c r="BNH22" s="93"/>
      <c r="BNI22" s="88"/>
      <c r="BNJ22" s="88"/>
      <c r="BNK22" s="91"/>
      <c r="BNL22" s="93"/>
      <c r="BNM22" s="93"/>
      <c r="BNN22" s="88"/>
      <c r="BNO22" s="88"/>
      <c r="BNP22" s="90"/>
      <c r="BNQ22" s="148"/>
      <c r="BNR22" s="88"/>
      <c r="BNS22" s="88"/>
      <c r="BNT22" s="90"/>
      <c r="BNU22" s="93"/>
      <c r="BNV22" s="88"/>
      <c r="BNW22" s="88"/>
      <c r="BNX22" s="91"/>
      <c r="BNY22" s="93"/>
      <c r="BNZ22" s="93"/>
      <c r="BOA22" s="88"/>
      <c r="BOB22" s="88"/>
      <c r="BOC22" s="90"/>
      <c r="BOD22" s="148"/>
      <c r="BOE22" s="88"/>
      <c r="BOF22" s="88"/>
      <c r="BOG22" s="90"/>
      <c r="BOH22" s="93"/>
      <c r="BOI22" s="88"/>
      <c r="BOJ22" s="88"/>
      <c r="BOK22" s="91"/>
      <c r="BOL22" s="93"/>
      <c r="BOM22" s="93"/>
      <c r="BON22" s="88"/>
      <c r="BOO22" s="88"/>
      <c r="BOP22" s="90"/>
      <c r="BOQ22" s="148"/>
      <c r="BOR22" s="88"/>
      <c r="BOS22" s="88"/>
      <c r="BOT22" s="90"/>
      <c r="BOU22" s="93"/>
      <c r="BOV22" s="88"/>
      <c r="BOW22" s="88"/>
      <c r="BOX22" s="91"/>
      <c r="BOY22" s="93"/>
      <c r="BOZ22" s="93"/>
      <c r="BPA22" s="88"/>
      <c r="BPB22" s="88"/>
      <c r="BPC22" s="90"/>
      <c r="BPD22" s="148"/>
      <c r="BPE22" s="88"/>
      <c r="BPF22" s="88"/>
      <c r="BPG22" s="90"/>
      <c r="BPH22" s="93"/>
      <c r="BPI22" s="88"/>
      <c r="BPJ22" s="88"/>
      <c r="BPK22" s="91"/>
      <c r="BPL22" s="93"/>
      <c r="BPM22" s="93"/>
      <c r="BPN22" s="88"/>
      <c r="BPO22" s="88"/>
      <c r="BPP22" s="90"/>
      <c r="BPQ22" s="148"/>
      <c r="BPR22" s="88"/>
      <c r="BPS22" s="88"/>
      <c r="BPT22" s="90"/>
      <c r="BPU22" s="93"/>
      <c r="BPV22" s="88"/>
      <c r="BPW22" s="88"/>
      <c r="BPX22" s="91"/>
      <c r="BPY22" s="93"/>
      <c r="BPZ22" s="93"/>
      <c r="BQA22" s="88"/>
      <c r="BQB22" s="88"/>
      <c r="BQC22" s="90"/>
      <c r="BQD22" s="148"/>
      <c r="BQE22" s="88"/>
      <c r="BQF22" s="88"/>
      <c r="BQG22" s="90"/>
      <c r="BQH22" s="93"/>
      <c r="BQI22" s="88"/>
      <c r="BQJ22" s="88"/>
      <c r="BQK22" s="91"/>
      <c r="BQL22" s="93"/>
      <c r="BQM22" s="93"/>
      <c r="BQN22" s="88"/>
      <c r="BQO22" s="88"/>
      <c r="BQP22" s="90"/>
      <c r="BQQ22" s="148"/>
      <c r="BQR22" s="88"/>
      <c r="BQS22" s="88"/>
      <c r="BQT22" s="90"/>
      <c r="BQU22" s="93"/>
      <c r="BQV22" s="88"/>
      <c r="BQW22" s="88"/>
      <c r="BQX22" s="91"/>
      <c r="BQY22" s="93"/>
      <c r="BQZ22" s="93"/>
      <c r="BRA22" s="88"/>
      <c r="BRB22" s="88"/>
      <c r="BRC22" s="90"/>
      <c r="BRD22" s="148"/>
      <c r="BRE22" s="88"/>
      <c r="BRF22" s="88"/>
      <c r="BRG22" s="90"/>
      <c r="BRH22" s="93"/>
      <c r="BRI22" s="88"/>
      <c r="BRJ22" s="88"/>
      <c r="BRK22" s="91"/>
      <c r="BRL22" s="93"/>
      <c r="BRM22" s="93"/>
      <c r="BRN22" s="88"/>
      <c r="BRO22" s="88"/>
      <c r="BRP22" s="90"/>
      <c r="BRQ22" s="148"/>
      <c r="BRR22" s="88"/>
      <c r="BRS22" s="88"/>
      <c r="BRT22" s="90"/>
      <c r="BRU22" s="93"/>
      <c r="BRV22" s="88"/>
      <c r="BRW22" s="88"/>
      <c r="BRX22" s="91"/>
      <c r="BRY22" s="93"/>
      <c r="BRZ22" s="93"/>
      <c r="BSA22" s="88"/>
      <c r="BSB22" s="88"/>
      <c r="BSC22" s="90"/>
      <c r="BSD22" s="148"/>
      <c r="BSE22" s="88"/>
      <c r="BSF22" s="88"/>
      <c r="BSG22" s="90"/>
      <c r="BSH22" s="93"/>
      <c r="BSI22" s="88"/>
      <c r="BSJ22" s="88"/>
      <c r="BSK22" s="91"/>
      <c r="BSL22" s="93"/>
      <c r="BSM22" s="93"/>
      <c r="BSN22" s="88"/>
      <c r="BSO22" s="88"/>
      <c r="BSP22" s="90"/>
      <c r="BSQ22" s="148"/>
      <c r="BSR22" s="88"/>
      <c r="BSS22" s="88"/>
      <c r="BST22" s="90"/>
      <c r="BSU22" s="93"/>
      <c r="BSV22" s="88"/>
      <c r="BSW22" s="88"/>
      <c r="BSX22" s="91"/>
      <c r="BSY22" s="93"/>
      <c r="BSZ22" s="93"/>
      <c r="BTA22" s="88"/>
      <c r="BTB22" s="88"/>
      <c r="BTC22" s="90"/>
      <c r="BTD22" s="148"/>
      <c r="BTE22" s="88"/>
      <c r="BTF22" s="88"/>
      <c r="BTG22" s="90"/>
      <c r="BTH22" s="93"/>
      <c r="BTI22" s="88"/>
      <c r="BTJ22" s="88"/>
      <c r="BTK22" s="91"/>
      <c r="BTL22" s="93"/>
      <c r="BTM22" s="93"/>
      <c r="BTN22" s="88"/>
      <c r="BTO22" s="88"/>
      <c r="BTP22" s="90"/>
      <c r="BTQ22" s="148"/>
      <c r="BTR22" s="88"/>
      <c r="BTS22" s="88"/>
      <c r="BTT22" s="90"/>
      <c r="BTU22" s="93"/>
      <c r="BTV22" s="88"/>
      <c r="BTW22" s="88"/>
      <c r="BTX22" s="91"/>
      <c r="BTY22" s="93"/>
      <c r="BTZ22" s="93"/>
      <c r="BUA22" s="88"/>
      <c r="BUB22" s="88"/>
      <c r="BUC22" s="90"/>
      <c r="BUD22" s="148"/>
      <c r="BUE22" s="88"/>
      <c r="BUF22" s="88"/>
      <c r="BUG22" s="90"/>
      <c r="BUH22" s="93"/>
      <c r="BUI22" s="88"/>
      <c r="BUJ22" s="88"/>
      <c r="BUK22" s="91"/>
      <c r="BUL22" s="93"/>
      <c r="BUM22" s="93"/>
      <c r="BUN22" s="88"/>
      <c r="BUO22" s="88"/>
      <c r="BUP22" s="90"/>
      <c r="BUQ22" s="148"/>
      <c r="BUR22" s="88"/>
      <c r="BUS22" s="88"/>
      <c r="BUT22" s="90"/>
      <c r="BUU22" s="93"/>
      <c r="BUV22" s="88"/>
      <c r="BUW22" s="88"/>
      <c r="BUX22" s="91"/>
      <c r="BUY22" s="93"/>
      <c r="BUZ22" s="93"/>
      <c r="BVA22" s="88"/>
      <c r="BVB22" s="88"/>
      <c r="BVC22" s="90"/>
      <c r="BVD22" s="148"/>
      <c r="BVE22" s="88"/>
      <c r="BVF22" s="88"/>
      <c r="BVG22" s="90"/>
      <c r="BVH22" s="93"/>
      <c r="BVI22" s="88"/>
      <c r="BVJ22" s="88"/>
      <c r="BVK22" s="91"/>
      <c r="BVL22" s="93"/>
      <c r="BVM22" s="93"/>
      <c r="BVN22" s="88"/>
      <c r="BVO22" s="88"/>
      <c r="BVP22" s="90"/>
      <c r="BVQ22" s="148"/>
      <c r="BVR22" s="88"/>
      <c r="BVS22" s="88"/>
      <c r="BVT22" s="90"/>
      <c r="BVU22" s="93"/>
      <c r="BVV22" s="88"/>
      <c r="BVW22" s="88"/>
      <c r="BVX22" s="91"/>
      <c r="BVY22" s="93"/>
      <c r="BVZ22" s="93"/>
      <c r="BWA22" s="88"/>
      <c r="BWB22" s="88"/>
      <c r="BWC22" s="90"/>
      <c r="BWD22" s="148"/>
      <c r="BWE22" s="88"/>
      <c r="BWF22" s="88"/>
      <c r="BWG22" s="90"/>
      <c r="BWH22" s="93"/>
      <c r="BWI22" s="88"/>
      <c r="BWJ22" s="88"/>
      <c r="BWK22" s="91"/>
      <c r="BWL22" s="93"/>
      <c r="BWM22" s="93"/>
      <c r="BWN22" s="88"/>
      <c r="BWO22" s="88"/>
      <c r="BWP22" s="90"/>
      <c r="BWQ22" s="148"/>
      <c r="BWR22" s="88"/>
      <c r="BWS22" s="88"/>
      <c r="BWT22" s="90"/>
      <c r="BWU22" s="93"/>
      <c r="BWV22" s="88"/>
      <c r="BWW22" s="88"/>
      <c r="BWX22" s="91"/>
      <c r="BWY22" s="93"/>
      <c r="BWZ22" s="93"/>
      <c r="BXA22" s="88"/>
      <c r="BXB22" s="88"/>
      <c r="BXC22" s="90"/>
      <c r="BXD22" s="148"/>
      <c r="BXE22" s="88"/>
      <c r="BXF22" s="88"/>
      <c r="BXG22" s="90"/>
      <c r="BXH22" s="93"/>
      <c r="BXI22" s="88"/>
      <c r="BXJ22" s="88"/>
      <c r="BXK22" s="91"/>
      <c r="BXL22" s="93"/>
      <c r="BXM22" s="93"/>
      <c r="BXN22" s="88"/>
      <c r="BXO22" s="88"/>
      <c r="BXP22" s="90"/>
      <c r="BXQ22" s="148"/>
      <c r="BXR22" s="88"/>
      <c r="BXS22" s="88"/>
      <c r="BXT22" s="90"/>
      <c r="BXU22" s="93"/>
      <c r="BXV22" s="88"/>
      <c r="BXW22" s="88"/>
      <c r="BXX22" s="91"/>
      <c r="BXY22" s="93"/>
      <c r="BXZ22" s="93"/>
      <c r="BYA22" s="88"/>
      <c r="BYB22" s="88"/>
      <c r="BYC22" s="90"/>
      <c r="BYD22" s="148"/>
      <c r="BYE22" s="88"/>
      <c r="BYF22" s="88"/>
      <c r="BYG22" s="90"/>
      <c r="BYH22" s="93"/>
      <c r="BYI22" s="88"/>
      <c r="BYJ22" s="88"/>
      <c r="BYK22" s="91"/>
      <c r="BYL22" s="93"/>
      <c r="BYM22" s="93"/>
      <c r="BYN22" s="88"/>
      <c r="BYO22" s="88"/>
      <c r="BYP22" s="90"/>
      <c r="BYQ22" s="148"/>
      <c r="BYR22" s="88"/>
      <c r="BYS22" s="88"/>
      <c r="BYT22" s="90"/>
      <c r="BYU22" s="93"/>
      <c r="BYV22" s="88"/>
      <c r="BYW22" s="88"/>
      <c r="BYX22" s="91"/>
      <c r="BYY22" s="93"/>
      <c r="BYZ22" s="93"/>
      <c r="BZA22" s="88"/>
      <c r="BZB22" s="88"/>
      <c r="BZC22" s="90"/>
      <c r="BZD22" s="148"/>
      <c r="BZE22" s="88"/>
      <c r="BZF22" s="88"/>
      <c r="BZG22" s="90"/>
      <c r="BZH22" s="93"/>
      <c r="BZI22" s="88"/>
      <c r="BZJ22" s="88"/>
      <c r="BZK22" s="91"/>
      <c r="BZL22" s="93"/>
      <c r="BZM22" s="93"/>
      <c r="BZN22" s="88"/>
      <c r="BZO22" s="88"/>
      <c r="BZP22" s="90"/>
      <c r="BZQ22" s="148"/>
      <c r="BZR22" s="88"/>
      <c r="BZS22" s="88"/>
      <c r="BZT22" s="90"/>
      <c r="BZU22" s="93"/>
      <c r="BZV22" s="88"/>
      <c r="BZW22" s="88"/>
      <c r="BZX22" s="91"/>
      <c r="BZY22" s="93"/>
      <c r="BZZ22" s="93"/>
      <c r="CAA22" s="88"/>
      <c r="CAB22" s="88"/>
      <c r="CAC22" s="90"/>
      <c r="CAD22" s="148"/>
      <c r="CAE22" s="88"/>
      <c r="CAF22" s="88"/>
      <c r="CAG22" s="90"/>
      <c r="CAH22" s="93"/>
      <c r="CAI22" s="88"/>
      <c r="CAJ22" s="88"/>
      <c r="CAK22" s="91"/>
      <c r="CAL22" s="93"/>
      <c r="CAM22" s="93"/>
      <c r="CAN22" s="88"/>
      <c r="CAO22" s="88"/>
      <c r="CAP22" s="90"/>
      <c r="CAQ22" s="148"/>
      <c r="CAR22" s="88"/>
      <c r="CAS22" s="88"/>
      <c r="CAT22" s="90"/>
      <c r="CAU22" s="93"/>
      <c r="CAV22" s="88"/>
      <c r="CAW22" s="88"/>
      <c r="CAX22" s="91"/>
      <c r="CAY22" s="93"/>
      <c r="CAZ22" s="93"/>
      <c r="CBA22" s="88"/>
      <c r="CBB22" s="88"/>
      <c r="CBC22" s="90"/>
      <c r="CBD22" s="148"/>
      <c r="CBE22" s="88"/>
      <c r="CBF22" s="88"/>
      <c r="CBG22" s="90"/>
      <c r="CBH22" s="93"/>
      <c r="CBI22" s="88"/>
      <c r="CBJ22" s="88"/>
      <c r="CBK22" s="91"/>
      <c r="CBL22" s="93"/>
      <c r="CBM22" s="93"/>
      <c r="CBN22" s="88"/>
      <c r="CBO22" s="88"/>
      <c r="CBP22" s="90"/>
      <c r="CBQ22" s="148"/>
      <c r="CBR22" s="88"/>
      <c r="CBS22" s="88"/>
      <c r="CBT22" s="90"/>
      <c r="CBU22" s="93"/>
      <c r="CBV22" s="88"/>
      <c r="CBW22" s="88"/>
      <c r="CBX22" s="91"/>
      <c r="CBY22" s="93"/>
      <c r="CBZ22" s="93"/>
      <c r="CCA22" s="88"/>
      <c r="CCB22" s="88"/>
      <c r="CCC22" s="90"/>
      <c r="CCD22" s="148"/>
      <c r="CCE22" s="88"/>
      <c r="CCF22" s="88"/>
      <c r="CCG22" s="90"/>
      <c r="CCH22" s="93"/>
      <c r="CCI22" s="88"/>
      <c r="CCJ22" s="88"/>
      <c r="CCK22" s="91"/>
      <c r="CCL22" s="93"/>
      <c r="CCM22" s="93"/>
      <c r="CCN22" s="88"/>
      <c r="CCO22" s="88"/>
      <c r="CCP22" s="90"/>
      <c r="CCQ22" s="148"/>
      <c r="CCR22" s="88"/>
      <c r="CCS22" s="88"/>
      <c r="CCT22" s="90"/>
      <c r="CCU22" s="93"/>
      <c r="CCV22" s="88"/>
      <c r="CCW22" s="88"/>
      <c r="CCX22" s="91"/>
      <c r="CCY22" s="93"/>
      <c r="CCZ22" s="93"/>
      <c r="CDA22" s="88"/>
      <c r="CDB22" s="88"/>
      <c r="CDC22" s="90"/>
      <c r="CDD22" s="148"/>
      <c r="CDE22" s="88"/>
      <c r="CDF22" s="88"/>
      <c r="CDG22" s="90"/>
      <c r="CDH22" s="93"/>
      <c r="CDI22" s="88"/>
      <c r="CDJ22" s="88"/>
      <c r="CDK22" s="91"/>
      <c r="CDL22" s="93"/>
      <c r="CDM22" s="93"/>
      <c r="CDN22" s="88"/>
      <c r="CDO22" s="88"/>
      <c r="CDP22" s="90"/>
      <c r="CDQ22" s="148"/>
      <c r="CDR22" s="88"/>
      <c r="CDS22" s="88"/>
      <c r="CDT22" s="90"/>
      <c r="CDU22" s="93"/>
      <c r="CDV22" s="88"/>
      <c r="CDW22" s="88"/>
      <c r="CDX22" s="91"/>
      <c r="CDY22" s="93"/>
      <c r="CDZ22" s="93"/>
      <c r="CEA22" s="88"/>
      <c r="CEB22" s="88"/>
      <c r="CEC22" s="90"/>
      <c r="CED22" s="148"/>
      <c r="CEE22" s="88"/>
      <c r="CEF22" s="88"/>
      <c r="CEG22" s="90"/>
      <c r="CEH22" s="93"/>
      <c r="CEI22" s="88"/>
      <c r="CEJ22" s="88"/>
      <c r="CEK22" s="91"/>
      <c r="CEL22" s="93"/>
      <c r="CEM22" s="93"/>
      <c r="CEN22" s="88"/>
      <c r="CEO22" s="88"/>
      <c r="CEP22" s="90"/>
      <c r="CEQ22" s="148"/>
      <c r="CER22" s="88"/>
      <c r="CES22" s="88"/>
      <c r="CET22" s="90"/>
      <c r="CEU22" s="93"/>
      <c r="CEV22" s="88"/>
      <c r="CEW22" s="88"/>
      <c r="CEX22" s="91"/>
      <c r="CEY22" s="93"/>
      <c r="CEZ22" s="93"/>
      <c r="CFA22" s="88"/>
      <c r="CFB22" s="88"/>
      <c r="CFC22" s="90"/>
      <c r="CFD22" s="148"/>
      <c r="CFE22" s="88"/>
      <c r="CFF22" s="88"/>
      <c r="CFG22" s="90"/>
      <c r="CFH22" s="93"/>
      <c r="CFI22" s="88"/>
      <c r="CFJ22" s="88"/>
      <c r="CFK22" s="91"/>
      <c r="CFL22" s="93"/>
      <c r="CFM22" s="93"/>
      <c r="CFN22" s="88"/>
      <c r="CFO22" s="88"/>
      <c r="CFP22" s="90"/>
      <c r="CFQ22" s="148"/>
      <c r="CFR22" s="88"/>
      <c r="CFS22" s="88"/>
      <c r="CFT22" s="90"/>
      <c r="CFU22" s="93"/>
      <c r="CFV22" s="88"/>
      <c r="CFW22" s="88"/>
      <c r="CFX22" s="91"/>
      <c r="CFY22" s="93"/>
      <c r="CFZ22" s="93"/>
      <c r="CGA22" s="88"/>
      <c r="CGB22" s="88"/>
      <c r="CGC22" s="90"/>
      <c r="CGD22" s="148"/>
      <c r="CGE22" s="88"/>
      <c r="CGF22" s="88"/>
      <c r="CGG22" s="90"/>
      <c r="CGH22" s="93"/>
      <c r="CGI22" s="88"/>
      <c r="CGJ22" s="88"/>
      <c r="CGK22" s="91"/>
      <c r="CGL22" s="93"/>
      <c r="CGM22" s="93"/>
      <c r="CGN22" s="88"/>
      <c r="CGO22" s="88"/>
      <c r="CGP22" s="90"/>
      <c r="CGQ22" s="148"/>
      <c r="CGR22" s="88"/>
      <c r="CGS22" s="88"/>
      <c r="CGT22" s="90"/>
      <c r="CGU22" s="93"/>
      <c r="CGV22" s="88"/>
      <c r="CGW22" s="88"/>
      <c r="CGX22" s="91"/>
      <c r="CGY22" s="93"/>
      <c r="CGZ22" s="93"/>
      <c r="CHA22" s="88"/>
      <c r="CHB22" s="88"/>
      <c r="CHC22" s="90"/>
      <c r="CHD22" s="148"/>
      <c r="CHE22" s="88"/>
      <c r="CHF22" s="88"/>
      <c r="CHG22" s="90"/>
      <c r="CHH22" s="93"/>
      <c r="CHI22" s="88"/>
      <c r="CHJ22" s="88"/>
      <c r="CHK22" s="91"/>
      <c r="CHL22" s="93"/>
      <c r="CHM22" s="93"/>
      <c r="CHN22" s="88"/>
      <c r="CHO22" s="88"/>
      <c r="CHP22" s="90"/>
      <c r="CHQ22" s="148"/>
      <c r="CHR22" s="88"/>
      <c r="CHS22" s="88"/>
      <c r="CHT22" s="90"/>
      <c r="CHU22" s="93"/>
      <c r="CHV22" s="88"/>
      <c r="CHW22" s="88"/>
      <c r="CHX22" s="91"/>
      <c r="CHY22" s="93"/>
      <c r="CHZ22" s="93"/>
      <c r="CIA22" s="88"/>
      <c r="CIB22" s="88"/>
      <c r="CIC22" s="90"/>
      <c r="CID22" s="148"/>
      <c r="CIE22" s="88"/>
      <c r="CIF22" s="88"/>
      <c r="CIG22" s="90"/>
      <c r="CIH22" s="93"/>
      <c r="CII22" s="88"/>
      <c r="CIJ22" s="88"/>
      <c r="CIK22" s="91"/>
      <c r="CIL22" s="93"/>
      <c r="CIM22" s="93"/>
      <c r="CIN22" s="88"/>
      <c r="CIO22" s="88"/>
      <c r="CIP22" s="90"/>
      <c r="CIQ22" s="148"/>
      <c r="CIR22" s="88"/>
      <c r="CIS22" s="88"/>
      <c r="CIT22" s="90"/>
      <c r="CIU22" s="93"/>
      <c r="CIV22" s="88"/>
      <c r="CIW22" s="88"/>
      <c r="CIX22" s="91"/>
      <c r="CIY22" s="93"/>
      <c r="CIZ22" s="93"/>
      <c r="CJA22" s="88"/>
      <c r="CJB22" s="88"/>
      <c r="CJC22" s="90"/>
      <c r="CJD22" s="148"/>
      <c r="CJE22" s="88"/>
      <c r="CJF22" s="88"/>
      <c r="CJG22" s="90"/>
      <c r="CJH22" s="93"/>
      <c r="CJI22" s="88"/>
      <c r="CJJ22" s="88"/>
      <c r="CJK22" s="91"/>
      <c r="CJL22" s="93"/>
      <c r="CJM22" s="93"/>
      <c r="CJN22" s="88"/>
      <c r="CJO22" s="88"/>
      <c r="CJP22" s="90"/>
      <c r="CJQ22" s="148"/>
      <c r="CJR22" s="88"/>
      <c r="CJS22" s="88"/>
      <c r="CJT22" s="90"/>
      <c r="CJU22" s="93"/>
      <c r="CJV22" s="88"/>
      <c r="CJW22" s="88"/>
      <c r="CJX22" s="91"/>
      <c r="CJY22" s="93"/>
      <c r="CJZ22" s="93"/>
      <c r="CKA22" s="88"/>
      <c r="CKB22" s="88"/>
      <c r="CKC22" s="90"/>
      <c r="CKD22" s="148"/>
      <c r="CKE22" s="88"/>
      <c r="CKF22" s="88"/>
      <c r="CKG22" s="90"/>
      <c r="CKH22" s="93"/>
      <c r="CKI22" s="88"/>
      <c r="CKJ22" s="88"/>
      <c r="CKK22" s="91"/>
      <c r="CKL22" s="93"/>
      <c r="CKM22" s="93"/>
      <c r="CKN22" s="88"/>
      <c r="CKO22" s="88"/>
      <c r="CKP22" s="90"/>
      <c r="CKQ22" s="148"/>
      <c r="CKR22" s="88"/>
      <c r="CKS22" s="88"/>
      <c r="CKT22" s="90"/>
      <c r="CKU22" s="93"/>
      <c r="CKV22" s="88"/>
      <c r="CKW22" s="88"/>
      <c r="CKX22" s="91"/>
      <c r="CKY22" s="93"/>
      <c r="CKZ22" s="93"/>
      <c r="CLA22" s="88"/>
      <c r="CLB22" s="88"/>
      <c r="CLC22" s="90"/>
      <c r="CLD22" s="148"/>
      <c r="CLE22" s="88"/>
      <c r="CLF22" s="88"/>
      <c r="CLG22" s="90"/>
      <c r="CLH22" s="93"/>
      <c r="CLI22" s="88"/>
      <c r="CLJ22" s="88"/>
      <c r="CLK22" s="91"/>
      <c r="CLL22" s="93"/>
      <c r="CLM22" s="93"/>
      <c r="CLN22" s="88"/>
      <c r="CLO22" s="88"/>
      <c r="CLP22" s="90"/>
      <c r="CLQ22" s="148"/>
      <c r="CLR22" s="88"/>
      <c r="CLS22" s="88"/>
      <c r="CLT22" s="90"/>
      <c r="CLU22" s="93"/>
      <c r="CLV22" s="88"/>
      <c r="CLW22" s="88"/>
      <c r="CLX22" s="91"/>
      <c r="CLY22" s="93"/>
      <c r="CLZ22" s="93"/>
      <c r="CMA22" s="88"/>
      <c r="CMB22" s="88"/>
      <c r="CMC22" s="90"/>
      <c r="CMD22" s="148"/>
      <c r="CME22" s="88"/>
      <c r="CMF22" s="88"/>
      <c r="CMG22" s="90"/>
      <c r="CMH22" s="93"/>
      <c r="CMI22" s="88"/>
      <c r="CMJ22" s="88"/>
      <c r="CMK22" s="91"/>
      <c r="CML22" s="93"/>
      <c r="CMM22" s="93"/>
      <c r="CMN22" s="88"/>
      <c r="CMO22" s="88"/>
      <c r="CMP22" s="90"/>
      <c r="CMQ22" s="148"/>
      <c r="CMR22" s="88"/>
      <c r="CMS22" s="88"/>
      <c r="CMT22" s="90"/>
      <c r="CMU22" s="93"/>
      <c r="CMV22" s="88"/>
      <c r="CMW22" s="88"/>
      <c r="CMX22" s="91"/>
      <c r="CMY22" s="93"/>
      <c r="CMZ22" s="93"/>
      <c r="CNA22" s="88"/>
      <c r="CNB22" s="88"/>
      <c r="CNC22" s="90"/>
      <c r="CND22" s="148"/>
      <c r="CNE22" s="88"/>
      <c r="CNF22" s="88"/>
      <c r="CNG22" s="90"/>
      <c r="CNH22" s="93"/>
      <c r="CNI22" s="88"/>
      <c r="CNJ22" s="88"/>
      <c r="CNK22" s="91"/>
      <c r="CNL22" s="93"/>
      <c r="CNM22" s="93"/>
      <c r="CNN22" s="88"/>
      <c r="CNO22" s="88"/>
      <c r="CNP22" s="90"/>
      <c r="CNQ22" s="148"/>
      <c r="CNR22" s="88"/>
      <c r="CNS22" s="88"/>
      <c r="CNT22" s="90"/>
      <c r="CNU22" s="93"/>
      <c r="CNV22" s="88"/>
      <c r="CNW22" s="88"/>
      <c r="CNX22" s="91"/>
      <c r="CNY22" s="93"/>
      <c r="CNZ22" s="93"/>
      <c r="COA22" s="88"/>
      <c r="COB22" s="88"/>
      <c r="COC22" s="90"/>
      <c r="COD22" s="148"/>
      <c r="COE22" s="88"/>
      <c r="COF22" s="88"/>
      <c r="COG22" s="90"/>
      <c r="COH22" s="93"/>
      <c r="COI22" s="88"/>
      <c r="COJ22" s="88"/>
      <c r="COK22" s="91"/>
      <c r="COL22" s="93"/>
      <c r="COM22" s="93"/>
      <c r="CON22" s="88"/>
      <c r="COO22" s="88"/>
      <c r="COP22" s="90"/>
      <c r="COQ22" s="148"/>
      <c r="COR22" s="88"/>
      <c r="COS22" s="88"/>
      <c r="COT22" s="90"/>
      <c r="COU22" s="93"/>
      <c r="COV22" s="88"/>
      <c r="COW22" s="88"/>
      <c r="COX22" s="91"/>
      <c r="COY22" s="93"/>
      <c r="COZ22" s="93"/>
      <c r="CPA22" s="88"/>
      <c r="CPB22" s="88"/>
      <c r="CPC22" s="90"/>
      <c r="CPD22" s="148"/>
      <c r="CPE22" s="88"/>
      <c r="CPF22" s="88"/>
      <c r="CPG22" s="90"/>
      <c r="CPH22" s="93"/>
      <c r="CPI22" s="88"/>
      <c r="CPJ22" s="88"/>
      <c r="CPK22" s="91"/>
      <c r="CPL22" s="93"/>
      <c r="CPM22" s="93"/>
      <c r="CPN22" s="88"/>
      <c r="CPO22" s="88"/>
      <c r="CPP22" s="90"/>
      <c r="CPQ22" s="148"/>
      <c r="CPR22" s="88"/>
      <c r="CPS22" s="88"/>
      <c r="CPT22" s="90"/>
      <c r="CPU22" s="93"/>
      <c r="CPV22" s="88"/>
      <c r="CPW22" s="88"/>
      <c r="CPX22" s="91"/>
      <c r="CPY22" s="93"/>
      <c r="CPZ22" s="93"/>
      <c r="CQA22" s="88"/>
      <c r="CQB22" s="88"/>
      <c r="CQC22" s="90"/>
      <c r="CQD22" s="148"/>
      <c r="CQE22" s="88"/>
      <c r="CQF22" s="88"/>
      <c r="CQG22" s="90"/>
      <c r="CQH22" s="93"/>
      <c r="CQI22" s="88"/>
      <c r="CQJ22" s="88"/>
      <c r="CQK22" s="91"/>
      <c r="CQL22" s="93"/>
      <c r="CQM22" s="93"/>
      <c r="CQN22" s="88"/>
      <c r="CQO22" s="88"/>
      <c r="CQP22" s="90"/>
      <c r="CQQ22" s="148"/>
      <c r="CQR22" s="88"/>
      <c r="CQS22" s="88"/>
      <c r="CQT22" s="90"/>
      <c r="CQU22" s="93"/>
      <c r="CQV22" s="88"/>
      <c r="CQW22" s="88"/>
      <c r="CQX22" s="91"/>
      <c r="CQY22" s="93"/>
      <c r="CQZ22" s="93"/>
      <c r="CRA22" s="88"/>
      <c r="CRB22" s="88"/>
      <c r="CRC22" s="90"/>
      <c r="CRD22" s="148"/>
      <c r="CRE22" s="88"/>
      <c r="CRF22" s="88"/>
      <c r="CRG22" s="90"/>
      <c r="CRH22" s="93"/>
      <c r="CRI22" s="88"/>
      <c r="CRJ22" s="88"/>
      <c r="CRK22" s="91"/>
      <c r="CRL22" s="93"/>
      <c r="CRM22" s="93"/>
      <c r="CRN22" s="88"/>
      <c r="CRO22" s="88"/>
      <c r="CRP22" s="90"/>
      <c r="CRQ22" s="148"/>
      <c r="CRR22" s="88"/>
      <c r="CRS22" s="88"/>
      <c r="CRT22" s="90"/>
      <c r="CRU22" s="93"/>
      <c r="CRV22" s="88"/>
      <c r="CRW22" s="88"/>
      <c r="CRX22" s="91"/>
      <c r="CRY22" s="93"/>
      <c r="CRZ22" s="93"/>
      <c r="CSA22" s="88"/>
      <c r="CSB22" s="88"/>
      <c r="CSC22" s="90"/>
      <c r="CSD22" s="148"/>
      <c r="CSE22" s="88"/>
      <c r="CSF22" s="88"/>
      <c r="CSG22" s="90"/>
      <c r="CSH22" s="93"/>
      <c r="CSI22" s="88"/>
      <c r="CSJ22" s="88"/>
      <c r="CSK22" s="91"/>
      <c r="CSL22" s="93"/>
      <c r="CSM22" s="93"/>
      <c r="CSN22" s="88"/>
      <c r="CSO22" s="88"/>
      <c r="CSP22" s="90"/>
      <c r="CSQ22" s="148"/>
      <c r="CSR22" s="88"/>
      <c r="CSS22" s="88"/>
      <c r="CST22" s="90"/>
      <c r="CSU22" s="93"/>
      <c r="CSV22" s="88"/>
      <c r="CSW22" s="88"/>
      <c r="CSX22" s="91"/>
      <c r="CSY22" s="93"/>
      <c r="CSZ22" s="93"/>
      <c r="CTA22" s="88"/>
      <c r="CTB22" s="88"/>
      <c r="CTC22" s="90"/>
      <c r="CTD22" s="148"/>
      <c r="CTE22" s="88"/>
      <c r="CTF22" s="88"/>
      <c r="CTG22" s="90"/>
      <c r="CTH22" s="93"/>
      <c r="CTI22" s="88"/>
      <c r="CTJ22" s="88"/>
      <c r="CTK22" s="91"/>
      <c r="CTL22" s="93"/>
      <c r="CTM22" s="93"/>
      <c r="CTN22" s="88"/>
      <c r="CTO22" s="88"/>
      <c r="CTP22" s="90"/>
      <c r="CTQ22" s="148"/>
      <c r="CTR22" s="88"/>
      <c r="CTS22" s="88"/>
      <c r="CTT22" s="90"/>
      <c r="CTU22" s="93"/>
      <c r="CTV22" s="88"/>
      <c r="CTW22" s="88"/>
      <c r="CTX22" s="91"/>
      <c r="CTY22" s="93"/>
      <c r="CTZ22" s="93"/>
      <c r="CUA22" s="88"/>
      <c r="CUB22" s="88"/>
      <c r="CUC22" s="90"/>
      <c r="CUD22" s="148"/>
      <c r="CUE22" s="88"/>
      <c r="CUF22" s="88"/>
      <c r="CUG22" s="90"/>
      <c r="CUH22" s="93"/>
      <c r="CUI22" s="88"/>
      <c r="CUJ22" s="88"/>
      <c r="CUK22" s="91"/>
      <c r="CUL22" s="93"/>
      <c r="CUM22" s="93"/>
      <c r="CUN22" s="88"/>
      <c r="CUO22" s="88"/>
      <c r="CUP22" s="90"/>
      <c r="CUQ22" s="148"/>
      <c r="CUR22" s="88"/>
      <c r="CUS22" s="88"/>
      <c r="CUT22" s="90"/>
      <c r="CUU22" s="93"/>
      <c r="CUV22" s="88"/>
      <c r="CUW22" s="88"/>
      <c r="CUX22" s="91"/>
      <c r="CUY22" s="93"/>
      <c r="CUZ22" s="93"/>
      <c r="CVA22" s="88"/>
      <c r="CVB22" s="88"/>
      <c r="CVC22" s="90"/>
      <c r="CVD22" s="148"/>
      <c r="CVE22" s="88"/>
      <c r="CVF22" s="88"/>
      <c r="CVG22" s="90"/>
      <c r="CVH22" s="93"/>
      <c r="CVI22" s="88"/>
      <c r="CVJ22" s="88"/>
      <c r="CVK22" s="91"/>
      <c r="CVL22" s="93"/>
      <c r="CVM22" s="93"/>
      <c r="CVN22" s="88"/>
      <c r="CVO22" s="88"/>
      <c r="CVP22" s="90"/>
      <c r="CVQ22" s="148"/>
      <c r="CVR22" s="88"/>
      <c r="CVS22" s="88"/>
      <c r="CVT22" s="90"/>
      <c r="CVU22" s="93"/>
      <c r="CVV22" s="88"/>
      <c r="CVW22" s="88"/>
      <c r="CVX22" s="91"/>
      <c r="CVY22" s="93"/>
      <c r="CVZ22" s="93"/>
      <c r="CWA22" s="88"/>
      <c r="CWB22" s="88"/>
      <c r="CWC22" s="90"/>
      <c r="CWD22" s="148"/>
      <c r="CWE22" s="88"/>
      <c r="CWF22" s="88"/>
      <c r="CWG22" s="90"/>
      <c r="CWH22" s="93"/>
      <c r="CWI22" s="88"/>
      <c r="CWJ22" s="88"/>
      <c r="CWK22" s="91"/>
      <c r="CWL22" s="93"/>
      <c r="CWM22" s="93"/>
      <c r="CWN22" s="88"/>
      <c r="CWO22" s="88"/>
      <c r="CWP22" s="90"/>
      <c r="CWQ22" s="148"/>
      <c r="CWR22" s="88"/>
      <c r="CWS22" s="88"/>
      <c r="CWT22" s="90"/>
      <c r="CWU22" s="93"/>
      <c r="CWV22" s="88"/>
      <c r="CWW22" s="88"/>
      <c r="CWX22" s="91"/>
      <c r="CWY22" s="93"/>
      <c r="CWZ22" s="93"/>
      <c r="CXA22" s="88"/>
      <c r="CXB22" s="88"/>
      <c r="CXC22" s="90"/>
      <c r="CXD22" s="148"/>
      <c r="CXE22" s="88"/>
      <c r="CXF22" s="88"/>
      <c r="CXG22" s="90"/>
      <c r="CXH22" s="93"/>
      <c r="CXI22" s="88"/>
      <c r="CXJ22" s="88"/>
      <c r="CXK22" s="91"/>
      <c r="CXL22" s="93"/>
      <c r="CXM22" s="93"/>
      <c r="CXN22" s="88"/>
      <c r="CXO22" s="88"/>
      <c r="CXP22" s="90"/>
      <c r="CXQ22" s="148"/>
      <c r="CXR22" s="88"/>
      <c r="CXS22" s="88"/>
      <c r="CXT22" s="90"/>
      <c r="CXU22" s="93"/>
      <c r="CXV22" s="88"/>
      <c r="CXW22" s="88"/>
      <c r="CXX22" s="91"/>
      <c r="CXY22" s="93"/>
      <c r="CXZ22" s="93"/>
      <c r="CYA22" s="88"/>
      <c r="CYB22" s="88"/>
      <c r="CYC22" s="90"/>
      <c r="CYD22" s="148"/>
      <c r="CYE22" s="88"/>
      <c r="CYF22" s="88"/>
      <c r="CYG22" s="90"/>
      <c r="CYH22" s="93"/>
      <c r="CYI22" s="88"/>
      <c r="CYJ22" s="88"/>
      <c r="CYK22" s="91"/>
      <c r="CYL22" s="93"/>
      <c r="CYM22" s="93"/>
      <c r="CYN22" s="88"/>
      <c r="CYO22" s="88"/>
      <c r="CYP22" s="90"/>
      <c r="CYQ22" s="148"/>
      <c r="CYR22" s="88"/>
      <c r="CYS22" s="88"/>
      <c r="CYT22" s="90"/>
      <c r="CYU22" s="93"/>
      <c r="CYV22" s="88"/>
      <c r="CYW22" s="88"/>
      <c r="CYX22" s="91"/>
      <c r="CYY22" s="93"/>
      <c r="CYZ22" s="93"/>
      <c r="CZA22" s="88"/>
      <c r="CZB22" s="88"/>
      <c r="CZC22" s="90"/>
      <c r="CZD22" s="148"/>
      <c r="CZE22" s="88"/>
      <c r="CZF22" s="88"/>
      <c r="CZG22" s="90"/>
      <c r="CZH22" s="93"/>
      <c r="CZI22" s="88"/>
      <c r="CZJ22" s="88"/>
      <c r="CZK22" s="91"/>
      <c r="CZL22" s="93"/>
      <c r="CZM22" s="93"/>
      <c r="CZN22" s="88"/>
      <c r="CZO22" s="88"/>
      <c r="CZP22" s="90"/>
      <c r="CZQ22" s="148"/>
      <c r="CZR22" s="88"/>
      <c r="CZS22" s="88"/>
      <c r="CZT22" s="90"/>
      <c r="CZU22" s="93"/>
      <c r="CZV22" s="88"/>
      <c r="CZW22" s="88"/>
      <c r="CZX22" s="91"/>
      <c r="CZY22" s="93"/>
      <c r="CZZ22" s="93"/>
      <c r="DAA22" s="88"/>
      <c r="DAB22" s="88"/>
      <c r="DAC22" s="90"/>
      <c r="DAD22" s="148"/>
      <c r="DAE22" s="88"/>
      <c r="DAF22" s="88"/>
      <c r="DAG22" s="90"/>
      <c r="DAH22" s="93"/>
      <c r="DAI22" s="88"/>
      <c r="DAJ22" s="88"/>
      <c r="DAK22" s="91"/>
      <c r="DAL22" s="93"/>
      <c r="DAM22" s="93"/>
      <c r="DAN22" s="88"/>
      <c r="DAO22" s="88"/>
      <c r="DAP22" s="90"/>
      <c r="DAQ22" s="148"/>
      <c r="DAR22" s="88"/>
      <c r="DAS22" s="88"/>
      <c r="DAT22" s="90"/>
      <c r="DAU22" s="93"/>
      <c r="DAV22" s="88"/>
      <c r="DAW22" s="88"/>
      <c r="DAX22" s="91"/>
      <c r="DAY22" s="93"/>
      <c r="DAZ22" s="93"/>
      <c r="DBA22" s="88"/>
      <c r="DBB22" s="88"/>
      <c r="DBC22" s="90"/>
      <c r="DBD22" s="148"/>
      <c r="DBE22" s="88"/>
      <c r="DBF22" s="88"/>
      <c r="DBG22" s="90"/>
      <c r="DBH22" s="93"/>
      <c r="DBI22" s="88"/>
      <c r="DBJ22" s="88"/>
      <c r="DBK22" s="91"/>
      <c r="DBL22" s="93"/>
      <c r="DBM22" s="93"/>
      <c r="DBN22" s="88"/>
      <c r="DBO22" s="88"/>
      <c r="DBP22" s="90"/>
      <c r="DBQ22" s="148"/>
      <c r="DBR22" s="88"/>
      <c r="DBS22" s="88"/>
      <c r="DBT22" s="90"/>
      <c r="DBU22" s="93"/>
      <c r="DBV22" s="88"/>
      <c r="DBW22" s="88"/>
      <c r="DBX22" s="91"/>
      <c r="DBY22" s="93"/>
      <c r="DBZ22" s="93"/>
      <c r="DCA22" s="88"/>
      <c r="DCB22" s="88"/>
      <c r="DCC22" s="90"/>
      <c r="DCD22" s="148"/>
      <c r="DCE22" s="88"/>
      <c r="DCF22" s="88"/>
      <c r="DCG22" s="90"/>
      <c r="DCH22" s="93"/>
      <c r="DCI22" s="88"/>
      <c r="DCJ22" s="88"/>
      <c r="DCK22" s="91"/>
      <c r="DCL22" s="93"/>
      <c r="DCM22" s="93"/>
      <c r="DCN22" s="88"/>
      <c r="DCO22" s="88"/>
      <c r="DCP22" s="90"/>
      <c r="DCQ22" s="148"/>
      <c r="DCR22" s="88"/>
      <c r="DCS22" s="88"/>
      <c r="DCT22" s="90"/>
      <c r="DCU22" s="93"/>
      <c r="DCV22" s="88"/>
      <c r="DCW22" s="88"/>
      <c r="DCX22" s="91"/>
      <c r="DCY22" s="93"/>
      <c r="DCZ22" s="93"/>
      <c r="DDA22" s="88"/>
      <c r="DDB22" s="88"/>
      <c r="DDC22" s="90"/>
      <c r="DDD22" s="148"/>
      <c r="DDE22" s="88"/>
      <c r="DDF22" s="88"/>
      <c r="DDG22" s="90"/>
      <c r="DDH22" s="93"/>
      <c r="DDI22" s="88"/>
      <c r="DDJ22" s="88"/>
      <c r="DDK22" s="91"/>
      <c r="DDL22" s="93"/>
      <c r="DDM22" s="93"/>
      <c r="DDN22" s="88"/>
      <c r="DDO22" s="88"/>
      <c r="DDP22" s="90"/>
      <c r="DDQ22" s="148"/>
      <c r="DDR22" s="88"/>
      <c r="DDS22" s="88"/>
      <c r="DDT22" s="90"/>
      <c r="DDU22" s="93"/>
      <c r="DDV22" s="88"/>
      <c r="DDW22" s="88"/>
      <c r="DDX22" s="91"/>
      <c r="DDY22" s="93"/>
      <c r="DDZ22" s="93"/>
      <c r="DEA22" s="88"/>
      <c r="DEB22" s="88"/>
      <c r="DEC22" s="90"/>
      <c r="DED22" s="148"/>
      <c r="DEE22" s="88"/>
      <c r="DEF22" s="88"/>
      <c r="DEG22" s="90"/>
      <c r="DEH22" s="93"/>
      <c r="DEI22" s="88"/>
      <c r="DEJ22" s="88"/>
      <c r="DEK22" s="91"/>
      <c r="DEL22" s="93"/>
      <c r="DEM22" s="93"/>
      <c r="DEN22" s="88"/>
      <c r="DEO22" s="88"/>
      <c r="DEP22" s="90"/>
      <c r="DEQ22" s="148"/>
      <c r="DER22" s="88"/>
      <c r="DES22" s="88"/>
      <c r="DET22" s="90"/>
      <c r="DEU22" s="93"/>
      <c r="DEV22" s="88"/>
      <c r="DEW22" s="88"/>
      <c r="DEX22" s="91"/>
      <c r="DEY22" s="93"/>
      <c r="DEZ22" s="93"/>
      <c r="DFA22" s="88"/>
      <c r="DFB22" s="88"/>
      <c r="DFC22" s="90"/>
      <c r="DFD22" s="148"/>
      <c r="DFE22" s="88"/>
      <c r="DFF22" s="88"/>
      <c r="DFG22" s="90"/>
      <c r="DFH22" s="93"/>
      <c r="DFI22" s="88"/>
      <c r="DFJ22" s="88"/>
      <c r="DFK22" s="91"/>
      <c r="DFL22" s="93"/>
      <c r="DFM22" s="93"/>
      <c r="DFN22" s="88"/>
      <c r="DFO22" s="88"/>
      <c r="DFP22" s="90"/>
      <c r="DFQ22" s="148"/>
      <c r="DFR22" s="88"/>
      <c r="DFS22" s="88"/>
      <c r="DFT22" s="90"/>
      <c r="DFU22" s="93"/>
      <c r="DFV22" s="88"/>
      <c r="DFW22" s="88"/>
      <c r="DFX22" s="91"/>
      <c r="DFY22" s="93"/>
      <c r="DFZ22" s="93"/>
      <c r="DGA22" s="88"/>
      <c r="DGB22" s="88"/>
      <c r="DGC22" s="90"/>
      <c r="DGD22" s="148"/>
      <c r="DGE22" s="88"/>
      <c r="DGF22" s="88"/>
      <c r="DGG22" s="90"/>
      <c r="DGH22" s="93"/>
      <c r="DGI22" s="88"/>
      <c r="DGJ22" s="88"/>
      <c r="DGK22" s="91"/>
      <c r="DGL22" s="93"/>
      <c r="DGM22" s="93"/>
      <c r="DGN22" s="88"/>
      <c r="DGO22" s="88"/>
      <c r="DGP22" s="90"/>
      <c r="DGQ22" s="148"/>
      <c r="DGR22" s="88"/>
      <c r="DGS22" s="88"/>
      <c r="DGT22" s="90"/>
      <c r="DGU22" s="93"/>
      <c r="DGV22" s="88"/>
      <c r="DGW22" s="88"/>
      <c r="DGX22" s="91"/>
      <c r="DGY22" s="93"/>
      <c r="DGZ22" s="93"/>
      <c r="DHA22" s="88"/>
      <c r="DHB22" s="88"/>
      <c r="DHC22" s="90"/>
      <c r="DHD22" s="148"/>
      <c r="DHE22" s="88"/>
      <c r="DHF22" s="88"/>
      <c r="DHG22" s="90"/>
      <c r="DHH22" s="93"/>
      <c r="DHI22" s="88"/>
      <c r="DHJ22" s="88"/>
      <c r="DHK22" s="91"/>
      <c r="DHL22" s="93"/>
      <c r="DHM22" s="93"/>
      <c r="DHN22" s="88"/>
      <c r="DHO22" s="88"/>
      <c r="DHP22" s="90"/>
      <c r="DHQ22" s="148"/>
      <c r="DHR22" s="88"/>
      <c r="DHS22" s="88"/>
      <c r="DHT22" s="90"/>
      <c r="DHU22" s="93"/>
      <c r="DHV22" s="88"/>
      <c r="DHW22" s="88"/>
      <c r="DHX22" s="91"/>
      <c r="DHY22" s="93"/>
      <c r="DHZ22" s="93"/>
      <c r="DIA22" s="88"/>
      <c r="DIB22" s="88"/>
      <c r="DIC22" s="90"/>
      <c r="DID22" s="148"/>
      <c r="DIE22" s="88"/>
      <c r="DIF22" s="88"/>
      <c r="DIG22" s="90"/>
      <c r="DIH22" s="93"/>
      <c r="DII22" s="88"/>
      <c r="DIJ22" s="88"/>
      <c r="DIK22" s="91"/>
      <c r="DIL22" s="93"/>
      <c r="DIM22" s="93"/>
      <c r="DIN22" s="88"/>
      <c r="DIO22" s="88"/>
      <c r="DIP22" s="90"/>
      <c r="DIQ22" s="148"/>
      <c r="DIR22" s="88"/>
      <c r="DIS22" s="88"/>
      <c r="DIT22" s="90"/>
      <c r="DIU22" s="93"/>
      <c r="DIV22" s="88"/>
      <c r="DIW22" s="88"/>
      <c r="DIX22" s="91"/>
      <c r="DIY22" s="93"/>
      <c r="DIZ22" s="93"/>
      <c r="DJA22" s="88"/>
      <c r="DJB22" s="88"/>
      <c r="DJC22" s="90"/>
      <c r="DJD22" s="148"/>
      <c r="DJE22" s="88"/>
      <c r="DJF22" s="88"/>
      <c r="DJG22" s="90"/>
      <c r="DJH22" s="93"/>
      <c r="DJI22" s="88"/>
      <c r="DJJ22" s="88"/>
      <c r="DJK22" s="91"/>
      <c r="DJL22" s="93"/>
      <c r="DJM22" s="93"/>
      <c r="DJN22" s="88"/>
      <c r="DJO22" s="88"/>
      <c r="DJP22" s="90"/>
      <c r="DJQ22" s="148"/>
      <c r="DJR22" s="88"/>
      <c r="DJS22" s="88"/>
      <c r="DJT22" s="90"/>
      <c r="DJU22" s="93"/>
      <c r="DJV22" s="88"/>
      <c r="DJW22" s="88"/>
      <c r="DJX22" s="91"/>
      <c r="DJY22" s="93"/>
      <c r="DJZ22" s="93"/>
      <c r="DKA22" s="88"/>
      <c r="DKB22" s="88"/>
      <c r="DKC22" s="90"/>
      <c r="DKD22" s="148"/>
      <c r="DKE22" s="88"/>
      <c r="DKF22" s="88"/>
      <c r="DKG22" s="90"/>
      <c r="DKH22" s="93"/>
      <c r="DKI22" s="88"/>
      <c r="DKJ22" s="88"/>
      <c r="DKK22" s="91"/>
      <c r="DKL22" s="93"/>
      <c r="DKM22" s="93"/>
      <c r="DKN22" s="88"/>
      <c r="DKO22" s="88"/>
      <c r="DKP22" s="90"/>
      <c r="DKQ22" s="148"/>
      <c r="DKR22" s="88"/>
      <c r="DKS22" s="88"/>
      <c r="DKT22" s="90"/>
      <c r="DKU22" s="93"/>
      <c r="DKV22" s="88"/>
      <c r="DKW22" s="88"/>
      <c r="DKX22" s="91"/>
      <c r="DKY22" s="93"/>
      <c r="DKZ22" s="93"/>
      <c r="DLA22" s="88"/>
      <c r="DLB22" s="88"/>
      <c r="DLC22" s="90"/>
      <c r="DLD22" s="148"/>
      <c r="DLE22" s="88"/>
      <c r="DLF22" s="88"/>
      <c r="DLG22" s="90"/>
      <c r="DLH22" s="93"/>
      <c r="DLI22" s="88"/>
      <c r="DLJ22" s="88"/>
      <c r="DLK22" s="91"/>
      <c r="DLL22" s="93"/>
      <c r="DLM22" s="93"/>
      <c r="DLN22" s="88"/>
      <c r="DLO22" s="88"/>
      <c r="DLP22" s="90"/>
      <c r="DLQ22" s="148"/>
      <c r="DLR22" s="88"/>
      <c r="DLS22" s="88"/>
      <c r="DLT22" s="90"/>
      <c r="DLU22" s="93"/>
      <c r="DLV22" s="88"/>
      <c r="DLW22" s="88"/>
      <c r="DLX22" s="91"/>
      <c r="DLY22" s="93"/>
      <c r="DLZ22" s="93"/>
      <c r="DMA22" s="88"/>
      <c r="DMB22" s="88"/>
      <c r="DMC22" s="90"/>
      <c r="DMD22" s="148"/>
      <c r="DME22" s="88"/>
      <c r="DMF22" s="88"/>
      <c r="DMG22" s="90"/>
      <c r="DMH22" s="93"/>
      <c r="DMI22" s="88"/>
      <c r="DMJ22" s="88"/>
      <c r="DMK22" s="91"/>
      <c r="DML22" s="93"/>
      <c r="DMM22" s="93"/>
      <c r="DMN22" s="88"/>
      <c r="DMO22" s="88"/>
      <c r="DMP22" s="90"/>
      <c r="DMQ22" s="148"/>
      <c r="DMR22" s="88"/>
      <c r="DMS22" s="88"/>
      <c r="DMT22" s="90"/>
      <c r="DMU22" s="93"/>
      <c r="DMV22" s="88"/>
      <c r="DMW22" s="88"/>
      <c r="DMX22" s="91"/>
      <c r="DMY22" s="93"/>
      <c r="DMZ22" s="93"/>
      <c r="DNA22" s="88"/>
      <c r="DNB22" s="88"/>
      <c r="DNC22" s="90"/>
      <c r="DND22" s="148"/>
      <c r="DNE22" s="88"/>
      <c r="DNF22" s="88"/>
      <c r="DNG22" s="90"/>
      <c r="DNH22" s="93"/>
      <c r="DNI22" s="88"/>
      <c r="DNJ22" s="88"/>
      <c r="DNK22" s="91"/>
      <c r="DNL22" s="93"/>
      <c r="DNM22" s="93"/>
      <c r="DNN22" s="88"/>
      <c r="DNO22" s="88"/>
      <c r="DNP22" s="90"/>
      <c r="DNQ22" s="148"/>
      <c r="DNR22" s="88"/>
      <c r="DNS22" s="88"/>
      <c r="DNT22" s="90"/>
      <c r="DNU22" s="93"/>
      <c r="DNV22" s="88"/>
      <c r="DNW22" s="88"/>
      <c r="DNX22" s="91"/>
      <c r="DNY22" s="93"/>
      <c r="DNZ22" s="93"/>
      <c r="DOA22" s="88"/>
      <c r="DOB22" s="88"/>
      <c r="DOC22" s="90"/>
      <c r="DOD22" s="148"/>
      <c r="DOE22" s="88"/>
      <c r="DOF22" s="88"/>
      <c r="DOG22" s="90"/>
      <c r="DOH22" s="93"/>
      <c r="DOI22" s="88"/>
      <c r="DOJ22" s="88"/>
      <c r="DOK22" s="91"/>
      <c r="DOL22" s="93"/>
      <c r="DOM22" s="93"/>
      <c r="DON22" s="88"/>
      <c r="DOO22" s="88"/>
      <c r="DOP22" s="90"/>
      <c r="DOQ22" s="148"/>
      <c r="DOR22" s="88"/>
      <c r="DOS22" s="88"/>
      <c r="DOT22" s="90"/>
      <c r="DOU22" s="93"/>
      <c r="DOV22" s="88"/>
      <c r="DOW22" s="88"/>
      <c r="DOX22" s="91"/>
      <c r="DOY22" s="93"/>
      <c r="DOZ22" s="93"/>
      <c r="DPA22" s="88"/>
      <c r="DPB22" s="88"/>
      <c r="DPC22" s="90"/>
      <c r="DPD22" s="148"/>
      <c r="DPE22" s="88"/>
      <c r="DPF22" s="88"/>
      <c r="DPG22" s="90"/>
      <c r="DPH22" s="93"/>
      <c r="DPI22" s="88"/>
      <c r="DPJ22" s="88"/>
      <c r="DPK22" s="91"/>
      <c r="DPL22" s="93"/>
      <c r="DPM22" s="93"/>
      <c r="DPN22" s="88"/>
      <c r="DPO22" s="88"/>
      <c r="DPP22" s="90"/>
      <c r="DPQ22" s="148"/>
      <c r="DPR22" s="88"/>
      <c r="DPS22" s="88"/>
      <c r="DPT22" s="90"/>
      <c r="DPU22" s="93"/>
      <c r="DPV22" s="88"/>
      <c r="DPW22" s="88"/>
      <c r="DPX22" s="91"/>
      <c r="DPY22" s="93"/>
      <c r="DPZ22" s="93"/>
      <c r="DQA22" s="88"/>
      <c r="DQB22" s="88"/>
      <c r="DQC22" s="90"/>
      <c r="DQD22" s="148"/>
      <c r="DQE22" s="88"/>
      <c r="DQF22" s="88"/>
      <c r="DQG22" s="90"/>
      <c r="DQH22" s="93"/>
      <c r="DQI22" s="88"/>
      <c r="DQJ22" s="88"/>
      <c r="DQK22" s="91"/>
      <c r="DQL22" s="93"/>
      <c r="DQM22" s="93"/>
      <c r="DQN22" s="88"/>
      <c r="DQO22" s="88"/>
      <c r="DQP22" s="90"/>
      <c r="DQQ22" s="148"/>
      <c r="DQR22" s="88"/>
      <c r="DQS22" s="88"/>
      <c r="DQT22" s="90"/>
      <c r="DQU22" s="93"/>
      <c r="DQV22" s="88"/>
      <c r="DQW22" s="88"/>
      <c r="DQX22" s="91"/>
      <c r="DQY22" s="93"/>
      <c r="DQZ22" s="93"/>
      <c r="DRA22" s="88"/>
      <c r="DRB22" s="88"/>
      <c r="DRC22" s="90"/>
      <c r="DRD22" s="148"/>
      <c r="DRE22" s="88"/>
      <c r="DRF22" s="88"/>
      <c r="DRG22" s="90"/>
      <c r="DRH22" s="93"/>
      <c r="DRI22" s="88"/>
      <c r="DRJ22" s="88"/>
      <c r="DRK22" s="91"/>
      <c r="DRL22" s="93"/>
      <c r="DRM22" s="93"/>
      <c r="DRN22" s="88"/>
      <c r="DRO22" s="88"/>
      <c r="DRP22" s="90"/>
      <c r="DRQ22" s="148"/>
      <c r="DRR22" s="88"/>
      <c r="DRS22" s="88"/>
      <c r="DRT22" s="90"/>
      <c r="DRU22" s="93"/>
      <c r="DRV22" s="88"/>
      <c r="DRW22" s="88"/>
      <c r="DRX22" s="91"/>
      <c r="DRY22" s="93"/>
      <c r="DRZ22" s="93"/>
      <c r="DSA22" s="88"/>
      <c r="DSB22" s="88"/>
      <c r="DSC22" s="90"/>
      <c r="DSD22" s="148"/>
      <c r="DSE22" s="88"/>
      <c r="DSF22" s="88"/>
      <c r="DSG22" s="90"/>
      <c r="DSH22" s="93"/>
      <c r="DSI22" s="88"/>
      <c r="DSJ22" s="88"/>
      <c r="DSK22" s="91"/>
      <c r="DSL22" s="93"/>
      <c r="DSM22" s="93"/>
      <c r="DSN22" s="88"/>
      <c r="DSO22" s="88"/>
      <c r="DSP22" s="90"/>
      <c r="DSQ22" s="148"/>
      <c r="DSR22" s="88"/>
      <c r="DSS22" s="88"/>
      <c r="DST22" s="90"/>
      <c r="DSU22" s="93"/>
      <c r="DSV22" s="88"/>
      <c r="DSW22" s="88"/>
      <c r="DSX22" s="91"/>
      <c r="DSY22" s="93"/>
      <c r="DSZ22" s="93"/>
      <c r="DTA22" s="88"/>
      <c r="DTB22" s="88"/>
      <c r="DTC22" s="90"/>
      <c r="DTD22" s="148"/>
      <c r="DTE22" s="88"/>
      <c r="DTF22" s="88"/>
      <c r="DTG22" s="90"/>
      <c r="DTH22" s="93"/>
      <c r="DTI22" s="88"/>
      <c r="DTJ22" s="88"/>
      <c r="DTK22" s="91"/>
      <c r="DTL22" s="93"/>
      <c r="DTM22" s="93"/>
      <c r="DTN22" s="88"/>
      <c r="DTO22" s="88"/>
      <c r="DTP22" s="90"/>
      <c r="DTQ22" s="148"/>
      <c r="DTR22" s="88"/>
      <c r="DTS22" s="88"/>
      <c r="DTT22" s="90"/>
      <c r="DTU22" s="93"/>
      <c r="DTV22" s="88"/>
      <c r="DTW22" s="88"/>
      <c r="DTX22" s="91"/>
      <c r="DTY22" s="93"/>
      <c r="DTZ22" s="93"/>
      <c r="DUA22" s="88"/>
      <c r="DUB22" s="88"/>
      <c r="DUC22" s="90"/>
      <c r="DUD22" s="148"/>
      <c r="DUE22" s="88"/>
      <c r="DUF22" s="88"/>
      <c r="DUG22" s="90"/>
      <c r="DUH22" s="93"/>
      <c r="DUI22" s="88"/>
      <c r="DUJ22" s="88"/>
      <c r="DUK22" s="91"/>
      <c r="DUL22" s="93"/>
      <c r="DUM22" s="93"/>
      <c r="DUN22" s="88"/>
      <c r="DUO22" s="88"/>
      <c r="DUP22" s="90"/>
      <c r="DUQ22" s="148"/>
      <c r="DUR22" s="88"/>
      <c r="DUS22" s="88"/>
      <c r="DUT22" s="90"/>
      <c r="DUU22" s="93"/>
      <c r="DUV22" s="88"/>
      <c r="DUW22" s="88"/>
      <c r="DUX22" s="91"/>
      <c r="DUY22" s="93"/>
      <c r="DUZ22" s="93"/>
      <c r="DVA22" s="88"/>
      <c r="DVB22" s="88"/>
      <c r="DVC22" s="90"/>
      <c r="DVD22" s="148"/>
      <c r="DVE22" s="88"/>
      <c r="DVF22" s="88"/>
      <c r="DVG22" s="90"/>
      <c r="DVH22" s="93"/>
      <c r="DVI22" s="88"/>
      <c r="DVJ22" s="88"/>
      <c r="DVK22" s="91"/>
      <c r="DVL22" s="93"/>
      <c r="DVM22" s="93"/>
      <c r="DVN22" s="88"/>
      <c r="DVO22" s="88"/>
      <c r="DVP22" s="90"/>
      <c r="DVQ22" s="148"/>
      <c r="DVR22" s="88"/>
      <c r="DVS22" s="88"/>
      <c r="DVT22" s="90"/>
      <c r="DVU22" s="93"/>
      <c r="DVV22" s="88"/>
      <c r="DVW22" s="88"/>
      <c r="DVX22" s="91"/>
      <c r="DVY22" s="93"/>
      <c r="DVZ22" s="93"/>
      <c r="DWA22" s="88"/>
      <c r="DWB22" s="88"/>
      <c r="DWC22" s="90"/>
      <c r="DWD22" s="148"/>
      <c r="DWE22" s="88"/>
      <c r="DWF22" s="88"/>
      <c r="DWG22" s="90"/>
      <c r="DWH22" s="93"/>
      <c r="DWI22" s="88"/>
      <c r="DWJ22" s="88"/>
      <c r="DWK22" s="91"/>
      <c r="DWL22" s="93"/>
      <c r="DWM22" s="93"/>
      <c r="DWN22" s="88"/>
      <c r="DWO22" s="88"/>
      <c r="DWP22" s="90"/>
      <c r="DWQ22" s="148"/>
      <c r="DWR22" s="88"/>
      <c r="DWS22" s="88"/>
      <c r="DWT22" s="90"/>
      <c r="DWU22" s="93"/>
      <c r="DWV22" s="88"/>
      <c r="DWW22" s="88"/>
      <c r="DWX22" s="91"/>
      <c r="DWY22" s="93"/>
      <c r="DWZ22" s="93"/>
      <c r="DXA22" s="88"/>
      <c r="DXB22" s="88"/>
      <c r="DXC22" s="90"/>
      <c r="DXD22" s="148"/>
      <c r="DXE22" s="88"/>
      <c r="DXF22" s="88"/>
      <c r="DXG22" s="90"/>
      <c r="DXH22" s="93"/>
      <c r="DXI22" s="88"/>
      <c r="DXJ22" s="88"/>
      <c r="DXK22" s="91"/>
      <c r="DXL22" s="93"/>
      <c r="DXM22" s="93"/>
      <c r="DXN22" s="88"/>
      <c r="DXO22" s="88"/>
      <c r="DXP22" s="90"/>
      <c r="DXQ22" s="148"/>
      <c r="DXR22" s="88"/>
      <c r="DXS22" s="88"/>
      <c r="DXT22" s="90"/>
      <c r="DXU22" s="93"/>
      <c r="DXV22" s="88"/>
      <c r="DXW22" s="88"/>
      <c r="DXX22" s="91"/>
      <c r="DXY22" s="93"/>
      <c r="DXZ22" s="93"/>
      <c r="DYA22" s="88"/>
      <c r="DYB22" s="88"/>
      <c r="DYC22" s="90"/>
      <c r="DYD22" s="148"/>
      <c r="DYE22" s="88"/>
      <c r="DYF22" s="88"/>
      <c r="DYG22" s="90"/>
      <c r="DYH22" s="93"/>
      <c r="DYI22" s="88"/>
      <c r="DYJ22" s="88"/>
      <c r="DYK22" s="91"/>
      <c r="DYL22" s="93"/>
      <c r="DYM22" s="93"/>
      <c r="DYN22" s="88"/>
      <c r="DYO22" s="88"/>
      <c r="DYP22" s="90"/>
      <c r="DYQ22" s="148"/>
      <c r="DYR22" s="88"/>
      <c r="DYS22" s="88"/>
      <c r="DYT22" s="90"/>
      <c r="DYU22" s="93"/>
      <c r="DYV22" s="88"/>
      <c r="DYW22" s="88"/>
      <c r="DYX22" s="91"/>
      <c r="DYY22" s="93"/>
      <c r="DYZ22" s="93"/>
      <c r="DZA22" s="88"/>
      <c r="DZB22" s="88"/>
      <c r="DZC22" s="90"/>
      <c r="DZD22" s="148"/>
      <c r="DZE22" s="88"/>
      <c r="DZF22" s="88"/>
      <c r="DZG22" s="90"/>
      <c r="DZH22" s="93"/>
      <c r="DZI22" s="88"/>
      <c r="DZJ22" s="88"/>
      <c r="DZK22" s="91"/>
      <c r="DZL22" s="93"/>
      <c r="DZM22" s="93"/>
      <c r="DZN22" s="88"/>
      <c r="DZO22" s="88"/>
      <c r="DZP22" s="90"/>
      <c r="DZQ22" s="148"/>
      <c r="DZR22" s="88"/>
      <c r="DZS22" s="88"/>
      <c r="DZT22" s="90"/>
      <c r="DZU22" s="93"/>
      <c r="DZV22" s="88"/>
      <c r="DZW22" s="88"/>
      <c r="DZX22" s="91"/>
      <c r="DZY22" s="93"/>
      <c r="DZZ22" s="93"/>
      <c r="EAA22" s="88"/>
      <c r="EAB22" s="88"/>
      <c r="EAC22" s="90"/>
      <c r="EAD22" s="148"/>
      <c r="EAE22" s="88"/>
      <c r="EAF22" s="88"/>
      <c r="EAG22" s="90"/>
      <c r="EAH22" s="93"/>
      <c r="EAI22" s="88"/>
      <c r="EAJ22" s="88"/>
      <c r="EAK22" s="91"/>
      <c r="EAL22" s="93"/>
      <c r="EAM22" s="93"/>
      <c r="EAN22" s="88"/>
      <c r="EAO22" s="88"/>
      <c r="EAP22" s="90"/>
      <c r="EAQ22" s="148"/>
      <c r="EAR22" s="88"/>
      <c r="EAS22" s="88"/>
      <c r="EAT22" s="90"/>
      <c r="EAU22" s="93"/>
      <c r="EAV22" s="88"/>
      <c r="EAW22" s="88"/>
      <c r="EAX22" s="91"/>
      <c r="EAY22" s="93"/>
      <c r="EAZ22" s="93"/>
      <c r="EBA22" s="88"/>
      <c r="EBB22" s="88"/>
      <c r="EBC22" s="90"/>
      <c r="EBD22" s="148"/>
      <c r="EBE22" s="88"/>
      <c r="EBF22" s="88"/>
      <c r="EBG22" s="90"/>
      <c r="EBH22" s="93"/>
      <c r="EBI22" s="88"/>
      <c r="EBJ22" s="88"/>
      <c r="EBK22" s="91"/>
      <c r="EBL22" s="93"/>
      <c r="EBM22" s="93"/>
      <c r="EBN22" s="88"/>
      <c r="EBO22" s="88"/>
      <c r="EBP22" s="90"/>
      <c r="EBQ22" s="148"/>
      <c r="EBR22" s="88"/>
      <c r="EBS22" s="88"/>
      <c r="EBT22" s="90"/>
      <c r="EBU22" s="93"/>
      <c r="EBV22" s="88"/>
      <c r="EBW22" s="88"/>
      <c r="EBX22" s="91"/>
      <c r="EBY22" s="93"/>
      <c r="EBZ22" s="93"/>
      <c r="ECA22" s="88"/>
      <c r="ECB22" s="88"/>
      <c r="ECC22" s="90"/>
      <c r="ECD22" s="148"/>
      <c r="ECE22" s="88"/>
      <c r="ECF22" s="88"/>
      <c r="ECG22" s="90"/>
      <c r="ECH22" s="93"/>
      <c r="ECI22" s="88"/>
      <c r="ECJ22" s="88"/>
      <c r="ECK22" s="91"/>
      <c r="ECL22" s="93"/>
      <c r="ECM22" s="93"/>
      <c r="ECN22" s="88"/>
      <c r="ECO22" s="88"/>
      <c r="ECP22" s="90"/>
      <c r="ECQ22" s="148"/>
      <c r="ECR22" s="88"/>
      <c r="ECS22" s="88"/>
      <c r="ECT22" s="90"/>
      <c r="ECU22" s="93"/>
      <c r="ECV22" s="88"/>
      <c r="ECW22" s="88"/>
      <c r="ECX22" s="91"/>
      <c r="ECY22" s="93"/>
      <c r="ECZ22" s="93"/>
      <c r="EDA22" s="88"/>
      <c r="EDB22" s="88"/>
      <c r="EDC22" s="90"/>
      <c r="EDD22" s="148"/>
      <c r="EDE22" s="88"/>
      <c r="EDF22" s="88"/>
      <c r="EDG22" s="90"/>
      <c r="EDH22" s="93"/>
      <c r="EDI22" s="88"/>
      <c r="EDJ22" s="88"/>
      <c r="EDK22" s="91"/>
      <c r="EDL22" s="93"/>
      <c r="EDM22" s="93"/>
      <c r="EDN22" s="88"/>
      <c r="EDO22" s="88"/>
      <c r="EDP22" s="90"/>
      <c r="EDQ22" s="148"/>
      <c r="EDR22" s="88"/>
      <c r="EDS22" s="88"/>
      <c r="EDT22" s="90"/>
      <c r="EDU22" s="93"/>
      <c r="EDV22" s="88"/>
      <c r="EDW22" s="88"/>
      <c r="EDX22" s="91"/>
      <c r="EDY22" s="93"/>
      <c r="EDZ22" s="93"/>
      <c r="EEA22" s="88"/>
      <c r="EEB22" s="88"/>
      <c r="EEC22" s="90"/>
      <c r="EED22" s="148"/>
      <c r="EEE22" s="88"/>
      <c r="EEF22" s="88"/>
      <c r="EEG22" s="90"/>
      <c r="EEH22" s="93"/>
      <c r="EEI22" s="88"/>
      <c r="EEJ22" s="88"/>
      <c r="EEK22" s="91"/>
      <c r="EEL22" s="93"/>
      <c r="EEM22" s="93"/>
      <c r="EEN22" s="88"/>
      <c r="EEO22" s="88"/>
      <c r="EEP22" s="90"/>
      <c r="EEQ22" s="148"/>
      <c r="EER22" s="88"/>
      <c r="EES22" s="88"/>
      <c r="EET22" s="90"/>
      <c r="EEU22" s="93"/>
      <c r="EEV22" s="88"/>
      <c r="EEW22" s="88"/>
      <c r="EEX22" s="91"/>
      <c r="EEY22" s="93"/>
      <c r="EEZ22" s="93"/>
      <c r="EFA22" s="88"/>
      <c r="EFB22" s="88"/>
      <c r="EFC22" s="90"/>
      <c r="EFD22" s="148"/>
      <c r="EFE22" s="88"/>
      <c r="EFF22" s="88"/>
      <c r="EFG22" s="90"/>
      <c r="EFH22" s="93"/>
      <c r="EFI22" s="88"/>
      <c r="EFJ22" s="88"/>
      <c r="EFK22" s="91"/>
      <c r="EFL22" s="93"/>
      <c r="EFM22" s="93"/>
      <c r="EFN22" s="88"/>
      <c r="EFO22" s="88"/>
      <c r="EFP22" s="90"/>
      <c r="EFQ22" s="148"/>
      <c r="EFR22" s="88"/>
      <c r="EFS22" s="88"/>
      <c r="EFT22" s="90"/>
      <c r="EFU22" s="93"/>
      <c r="EFV22" s="88"/>
      <c r="EFW22" s="88"/>
      <c r="EFX22" s="91"/>
      <c r="EFY22" s="93"/>
      <c r="EFZ22" s="93"/>
      <c r="EGA22" s="88"/>
      <c r="EGB22" s="88"/>
      <c r="EGC22" s="90"/>
      <c r="EGD22" s="148"/>
      <c r="EGE22" s="88"/>
      <c r="EGF22" s="88"/>
      <c r="EGG22" s="90"/>
      <c r="EGH22" s="93"/>
      <c r="EGI22" s="88"/>
      <c r="EGJ22" s="88"/>
      <c r="EGK22" s="91"/>
      <c r="EGL22" s="93"/>
      <c r="EGM22" s="93"/>
      <c r="EGN22" s="88"/>
      <c r="EGO22" s="88"/>
      <c r="EGP22" s="90"/>
      <c r="EGQ22" s="148"/>
      <c r="EGR22" s="88"/>
      <c r="EGS22" s="88"/>
      <c r="EGT22" s="90"/>
      <c r="EGU22" s="93"/>
      <c r="EGV22" s="88"/>
      <c r="EGW22" s="88"/>
      <c r="EGX22" s="91"/>
      <c r="EGY22" s="93"/>
      <c r="EGZ22" s="93"/>
      <c r="EHA22" s="88"/>
      <c r="EHB22" s="88"/>
      <c r="EHC22" s="90"/>
      <c r="EHD22" s="148"/>
      <c r="EHE22" s="88"/>
      <c r="EHF22" s="88"/>
      <c r="EHG22" s="90"/>
      <c r="EHH22" s="93"/>
      <c r="EHI22" s="88"/>
      <c r="EHJ22" s="88"/>
      <c r="EHK22" s="91"/>
      <c r="EHL22" s="93"/>
      <c r="EHM22" s="93"/>
      <c r="EHN22" s="88"/>
      <c r="EHO22" s="88"/>
      <c r="EHP22" s="90"/>
      <c r="EHQ22" s="148"/>
      <c r="EHR22" s="88"/>
      <c r="EHS22" s="88"/>
      <c r="EHT22" s="90"/>
      <c r="EHU22" s="93"/>
      <c r="EHV22" s="88"/>
      <c r="EHW22" s="88"/>
      <c r="EHX22" s="91"/>
      <c r="EHY22" s="93"/>
      <c r="EHZ22" s="93"/>
      <c r="EIA22" s="88"/>
      <c r="EIB22" s="88"/>
      <c r="EIC22" s="90"/>
      <c r="EID22" s="148"/>
      <c r="EIE22" s="88"/>
      <c r="EIF22" s="88"/>
      <c r="EIG22" s="90"/>
      <c r="EIH22" s="93"/>
      <c r="EII22" s="88"/>
      <c r="EIJ22" s="88"/>
      <c r="EIK22" s="91"/>
      <c r="EIL22" s="93"/>
      <c r="EIM22" s="93"/>
      <c r="EIN22" s="88"/>
      <c r="EIO22" s="88"/>
      <c r="EIP22" s="90"/>
      <c r="EIQ22" s="148"/>
      <c r="EIR22" s="88"/>
      <c r="EIS22" s="88"/>
      <c r="EIT22" s="90"/>
      <c r="EIU22" s="93"/>
      <c r="EIV22" s="88"/>
      <c r="EIW22" s="88"/>
      <c r="EIX22" s="91"/>
      <c r="EIY22" s="93"/>
      <c r="EIZ22" s="93"/>
      <c r="EJA22" s="88"/>
      <c r="EJB22" s="88"/>
      <c r="EJC22" s="90"/>
      <c r="EJD22" s="148"/>
      <c r="EJE22" s="88"/>
      <c r="EJF22" s="88"/>
      <c r="EJG22" s="90"/>
      <c r="EJH22" s="93"/>
      <c r="EJI22" s="88"/>
      <c r="EJJ22" s="88"/>
      <c r="EJK22" s="91"/>
      <c r="EJL22" s="93"/>
      <c r="EJM22" s="93"/>
      <c r="EJN22" s="88"/>
      <c r="EJO22" s="88"/>
      <c r="EJP22" s="90"/>
      <c r="EJQ22" s="148"/>
      <c r="EJR22" s="88"/>
      <c r="EJS22" s="88"/>
      <c r="EJT22" s="90"/>
      <c r="EJU22" s="93"/>
      <c r="EJV22" s="88"/>
      <c r="EJW22" s="88"/>
      <c r="EJX22" s="91"/>
      <c r="EJY22" s="93"/>
      <c r="EJZ22" s="93"/>
      <c r="EKA22" s="88"/>
      <c r="EKB22" s="88"/>
      <c r="EKC22" s="90"/>
      <c r="EKD22" s="148"/>
      <c r="EKE22" s="88"/>
      <c r="EKF22" s="88"/>
      <c r="EKG22" s="90"/>
      <c r="EKH22" s="93"/>
      <c r="EKI22" s="88"/>
      <c r="EKJ22" s="88"/>
      <c r="EKK22" s="91"/>
      <c r="EKL22" s="93"/>
      <c r="EKM22" s="93"/>
      <c r="EKN22" s="88"/>
      <c r="EKO22" s="88"/>
      <c r="EKP22" s="90"/>
      <c r="EKQ22" s="148"/>
      <c r="EKR22" s="88"/>
      <c r="EKS22" s="88"/>
      <c r="EKT22" s="90"/>
      <c r="EKU22" s="93"/>
      <c r="EKV22" s="88"/>
      <c r="EKW22" s="88"/>
      <c r="EKX22" s="91"/>
      <c r="EKY22" s="93"/>
      <c r="EKZ22" s="93"/>
      <c r="ELA22" s="88"/>
      <c r="ELB22" s="88"/>
      <c r="ELC22" s="90"/>
      <c r="ELD22" s="148"/>
      <c r="ELE22" s="88"/>
      <c r="ELF22" s="88"/>
      <c r="ELG22" s="90"/>
      <c r="ELH22" s="93"/>
      <c r="ELI22" s="88"/>
      <c r="ELJ22" s="88"/>
      <c r="ELK22" s="91"/>
      <c r="ELL22" s="93"/>
      <c r="ELM22" s="93"/>
      <c r="ELN22" s="88"/>
      <c r="ELO22" s="88"/>
      <c r="ELP22" s="90"/>
      <c r="ELQ22" s="148"/>
      <c r="ELR22" s="88"/>
      <c r="ELS22" s="88"/>
      <c r="ELT22" s="90"/>
      <c r="ELU22" s="93"/>
      <c r="ELV22" s="88"/>
      <c r="ELW22" s="88"/>
      <c r="ELX22" s="91"/>
      <c r="ELY22" s="93"/>
      <c r="ELZ22" s="93"/>
      <c r="EMA22" s="88"/>
      <c r="EMB22" s="88"/>
      <c r="EMC22" s="90"/>
      <c r="EMD22" s="148"/>
      <c r="EME22" s="88"/>
      <c r="EMF22" s="88"/>
      <c r="EMG22" s="90"/>
      <c r="EMH22" s="93"/>
      <c r="EMI22" s="88"/>
      <c r="EMJ22" s="88"/>
      <c r="EMK22" s="91"/>
      <c r="EML22" s="93"/>
      <c r="EMM22" s="93"/>
      <c r="EMN22" s="88"/>
      <c r="EMO22" s="88"/>
      <c r="EMP22" s="90"/>
      <c r="EMQ22" s="148"/>
      <c r="EMR22" s="88"/>
      <c r="EMS22" s="88"/>
      <c r="EMT22" s="90"/>
      <c r="EMU22" s="93"/>
      <c r="EMV22" s="88"/>
      <c r="EMW22" s="88"/>
      <c r="EMX22" s="91"/>
      <c r="EMY22" s="93"/>
      <c r="EMZ22" s="93"/>
      <c r="ENA22" s="88"/>
      <c r="ENB22" s="88"/>
      <c r="ENC22" s="90"/>
      <c r="END22" s="148"/>
      <c r="ENE22" s="88"/>
      <c r="ENF22" s="88"/>
      <c r="ENG22" s="90"/>
      <c r="ENH22" s="93"/>
      <c r="ENI22" s="88"/>
      <c r="ENJ22" s="88"/>
      <c r="ENK22" s="91"/>
      <c r="ENL22" s="93"/>
      <c r="ENM22" s="93"/>
      <c r="ENN22" s="88"/>
      <c r="ENO22" s="88"/>
      <c r="ENP22" s="90"/>
      <c r="ENQ22" s="148"/>
      <c r="ENR22" s="88"/>
      <c r="ENS22" s="88"/>
      <c r="ENT22" s="90"/>
      <c r="ENU22" s="93"/>
      <c r="ENV22" s="88"/>
      <c r="ENW22" s="88"/>
      <c r="ENX22" s="91"/>
      <c r="ENY22" s="93"/>
      <c r="ENZ22" s="93"/>
      <c r="EOA22" s="88"/>
      <c r="EOB22" s="88"/>
      <c r="EOC22" s="90"/>
      <c r="EOD22" s="148"/>
      <c r="EOE22" s="88"/>
      <c r="EOF22" s="88"/>
      <c r="EOG22" s="90"/>
      <c r="EOH22" s="93"/>
      <c r="EOI22" s="88"/>
      <c r="EOJ22" s="88"/>
      <c r="EOK22" s="91"/>
      <c r="EOL22" s="93"/>
      <c r="EOM22" s="93"/>
      <c r="EON22" s="88"/>
      <c r="EOO22" s="88"/>
      <c r="EOP22" s="90"/>
      <c r="EOQ22" s="148"/>
      <c r="EOR22" s="88"/>
      <c r="EOS22" s="88"/>
      <c r="EOT22" s="90"/>
      <c r="EOU22" s="93"/>
      <c r="EOV22" s="88"/>
      <c r="EOW22" s="88"/>
      <c r="EOX22" s="91"/>
      <c r="EOY22" s="93"/>
      <c r="EOZ22" s="93"/>
      <c r="EPA22" s="88"/>
      <c r="EPB22" s="88"/>
      <c r="EPC22" s="90"/>
      <c r="EPD22" s="148"/>
      <c r="EPE22" s="88"/>
      <c r="EPF22" s="88"/>
      <c r="EPG22" s="90"/>
      <c r="EPH22" s="93"/>
      <c r="EPI22" s="88"/>
      <c r="EPJ22" s="88"/>
      <c r="EPK22" s="91"/>
      <c r="EPL22" s="93"/>
      <c r="EPM22" s="93"/>
      <c r="EPN22" s="88"/>
      <c r="EPO22" s="88"/>
      <c r="EPP22" s="90"/>
      <c r="EPQ22" s="148"/>
      <c r="EPR22" s="88"/>
      <c r="EPS22" s="88"/>
      <c r="EPT22" s="90"/>
      <c r="EPU22" s="93"/>
      <c r="EPV22" s="88"/>
      <c r="EPW22" s="88"/>
      <c r="EPX22" s="91"/>
      <c r="EPY22" s="93"/>
      <c r="EPZ22" s="93"/>
      <c r="EQA22" s="88"/>
      <c r="EQB22" s="88"/>
      <c r="EQC22" s="90"/>
      <c r="EQD22" s="148"/>
      <c r="EQE22" s="88"/>
      <c r="EQF22" s="88"/>
      <c r="EQG22" s="90"/>
      <c r="EQH22" s="93"/>
      <c r="EQI22" s="88"/>
      <c r="EQJ22" s="88"/>
      <c r="EQK22" s="91"/>
      <c r="EQL22" s="93"/>
      <c r="EQM22" s="93"/>
      <c r="EQN22" s="88"/>
      <c r="EQO22" s="88"/>
      <c r="EQP22" s="90"/>
      <c r="EQQ22" s="148"/>
      <c r="EQR22" s="88"/>
      <c r="EQS22" s="88"/>
      <c r="EQT22" s="90"/>
      <c r="EQU22" s="93"/>
      <c r="EQV22" s="88"/>
      <c r="EQW22" s="88"/>
      <c r="EQX22" s="91"/>
      <c r="EQY22" s="93"/>
      <c r="EQZ22" s="93"/>
      <c r="ERA22" s="88"/>
      <c r="ERB22" s="88"/>
      <c r="ERC22" s="90"/>
      <c r="ERD22" s="148"/>
      <c r="ERE22" s="88"/>
      <c r="ERF22" s="88"/>
      <c r="ERG22" s="90"/>
      <c r="ERH22" s="93"/>
      <c r="ERI22" s="88"/>
      <c r="ERJ22" s="88"/>
      <c r="ERK22" s="91"/>
      <c r="ERL22" s="93"/>
      <c r="ERM22" s="93"/>
      <c r="ERN22" s="88"/>
      <c r="ERO22" s="88"/>
      <c r="ERP22" s="90"/>
      <c r="ERQ22" s="148"/>
      <c r="ERR22" s="88"/>
      <c r="ERS22" s="88"/>
      <c r="ERT22" s="90"/>
      <c r="ERU22" s="93"/>
      <c r="ERV22" s="88"/>
      <c r="ERW22" s="88"/>
      <c r="ERX22" s="91"/>
      <c r="ERY22" s="93"/>
      <c r="ERZ22" s="93"/>
      <c r="ESA22" s="88"/>
      <c r="ESB22" s="88"/>
      <c r="ESC22" s="90"/>
      <c r="ESD22" s="148"/>
      <c r="ESE22" s="88"/>
      <c r="ESF22" s="88"/>
      <c r="ESG22" s="90"/>
      <c r="ESH22" s="93"/>
      <c r="ESI22" s="88"/>
      <c r="ESJ22" s="88"/>
      <c r="ESK22" s="91"/>
      <c r="ESL22" s="93"/>
      <c r="ESM22" s="93"/>
      <c r="ESN22" s="88"/>
      <c r="ESO22" s="88"/>
      <c r="ESP22" s="90"/>
      <c r="ESQ22" s="148"/>
      <c r="ESR22" s="88"/>
      <c r="ESS22" s="88"/>
      <c r="EST22" s="90"/>
      <c r="ESU22" s="93"/>
      <c r="ESV22" s="88"/>
      <c r="ESW22" s="88"/>
      <c r="ESX22" s="91"/>
      <c r="ESY22" s="93"/>
      <c r="ESZ22" s="93"/>
      <c r="ETA22" s="88"/>
      <c r="ETB22" s="88"/>
      <c r="ETC22" s="90"/>
      <c r="ETD22" s="148"/>
      <c r="ETE22" s="88"/>
      <c r="ETF22" s="88"/>
      <c r="ETG22" s="90"/>
      <c r="ETH22" s="93"/>
      <c r="ETI22" s="88"/>
      <c r="ETJ22" s="88"/>
      <c r="ETK22" s="91"/>
      <c r="ETL22" s="93"/>
      <c r="ETM22" s="93"/>
      <c r="ETN22" s="88"/>
      <c r="ETO22" s="88"/>
      <c r="ETP22" s="90"/>
      <c r="ETQ22" s="148"/>
      <c r="ETR22" s="88"/>
      <c r="ETS22" s="88"/>
      <c r="ETT22" s="90"/>
      <c r="ETU22" s="93"/>
      <c r="ETV22" s="88"/>
      <c r="ETW22" s="88"/>
      <c r="ETX22" s="91"/>
      <c r="ETY22" s="93"/>
      <c r="ETZ22" s="93"/>
      <c r="EUA22" s="88"/>
      <c r="EUB22" s="88"/>
      <c r="EUC22" s="90"/>
      <c r="EUD22" s="148"/>
      <c r="EUE22" s="88"/>
      <c r="EUF22" s="88"/>
      <c r="EUG22" s="90"/>
      <c r="EUH22" s="93"/>
      <c r="EUI22" s="88"/>
      <c r="EUJ22" s="88"/>
      <c r="EUK22" s="91"/>
      <c r="EUL22" s="93"/>
      <c r="EUM22" s="93"/>
      <c r="EUN22" s="88"/>
      <c r="EUO22" s="88"/>
      <c r="EUP22" s="90"/>
      <c r="EUQ22" s="148"/>
      <c r="EUR22" s="88"/>
      <c r="EUS22" s="88"/>
      <c r="EUT22" s="90"/>
      <c r="EUU22" s="93"/>
      <c r="EUV22" s="88"/>
      <c r="EUW22" s="88"/>
      <c r="EUX22" s="91"/>
      <c r="EUY22" s="93"/>
      <c r="EUZ22" s="93"/>
      <c r="EVA22" s="88"/>
      <c r="EVB22" s="88"/>
      <c r="EVC22" s="90"/>
      <c r="EVD22" s="148"/>
      <c r="EVE22" s="88"/>
      <c r="EVF22" s="88"/>
      <c r="EVG22" s="90"/>
      <c r="EVH22" s="93"/>
      <c r="EVI22" s="88"/>
      <c r="EVJ22" s="88"/>
      <c r="EVK22" s="91"/>
      <c r="EVL22" s="93"/>
      <c r="EVM22" s="93"/>
      <c r="EVN22" s="88"/>
      <c r="EVO22" s="88"/>
      <c r="EVP22" s="90"/>
      <c r="EVQ22" s="148"/>
      <c r="EVR22" s="88"/>
      <c r="EVS22" s="88"/>
      <c r="EVT22" s="90"/>
      <c r="EVU22" s="93"/>
      <c r="EVV22" s="88"/>
      <c r="EVW22" s="88"/>
      <c r="EVX22" s="91"/>
      <c r="EVY22" s="93"/>
      <c r="EVZ22" s="93"/>
      <c r="EWA22" s="88"/>
      <c r="EWB22" s="88"/>
      <c r="EWC22" s="90"/>
      <c r="EWD22" s="148"/>
      <c r="EWE22" s="88"/>
      <c r="EWF22" s="88"/>
      <c r="EWG22" s="90"/>
      <c r="EWH22" s="93"/>
      <c r="EWI22" s="88"/>
      <c r="EWJ22" s="88"/>
      <c r="EWK22" s="91"/>
      <c r="EWL22" s="93"/>
      <c r="EWM22" s="93"/>
      <c r="EWN22" s="88"/>
      <c r="EWO22" s="88"/>
      <c r="EWP22" s="90"/>
      <c r="EWQ22" s="148"/>
      <c r="EWR22" s="88"/>
      <c r="EWS22" s="88"/>
      <c r="EWT22" s="90"/>
      <c r="EWU22" s="93"/>
      <c r="EWV22" s="88"/>
      <c r="EWW22" s="88"/>
      <c r="EWX22" s="91"/>
      <c r="EWY22" s="93"/>
      <c r="EWZ22" s="93"/>
      <c r="EXA22" s="88"/>
      <c r="EXB22" s="88"/>
      <c r="EXC22" s="90"/>
      <c r="EXD22" s="148"/>
      <c r="EXE22" s="88"/>
      <c r="EXF22" s="88"/>
      <c r="EXG22" s="90"/>
      <c r="EXH22" s="93"/>
      <c r="EXI22" s="88"/>
      <c r="EXJ22" s="88"/>
      <c r="EXK22" s="91"/>
      <c r="EXL22" s="93"/>
      <c r="EXM22" s="93"/>
      <c r="EXN22" s="88"/>
      <c r="EXO22" s="88"/>
      <c r="EXP22" s="90"/>
      <c r="EXQ22" s="148"/>
      <c r="EXR22" s="88"/>
      <c r="EXS22" s="88"/>
      <c r="EXT22" s="90"/>
      <c r="EXU22" s="93"/>
      <c r="EXV22" s="88"/>
      <c r="EXW22" s="88"/>
      <c r="EXX22" s="91"/>
      <c r="EXY22" s="93"/>
      <c r="EXZ22" s="93"/>
      <c r="EYA22" s="88"/>
      <c r="EYB22" s="88"/>
      <c r="EYC22" s="90"/>
      <c r="EYD22" s="148"/>
      <c r="EYE22" s="88"/>
      <c r="EYF22" s="88"/>
      <c r="EYG22" s="90"/>
      <c r="EYH22" s="93"/>
      <c r="EYI22" s="88"/>
      <c r="EYJ22" s="88"/>
      <c r="EYK22" s="91"/>
      <c r="EYL22" s="93"/>
      <c r="EYM22" s="93"/>
      <c r="EYN22" s="88"/>
      <c r="EYO22" s="88"/>
      <c r="EYP22" s="90"/>
      <c r="EYQ22" s="148"/>
      <c r="EYR22" s="88"/>
      <c r="EYS22" s="88"/>
      <c r="EYT22" s="90"/>
      <c r="EYU22" s="93"/>
      <c r="EYV22" s="88"/>
      <c r="EYW22" s="88"/>
      <c r="EYX22" s="91"/>
      <c r="EYY22" s="93"/>
      <c r="EYZ22" s="93"/>
      <c r="EZA22" s="88"/>
      <c r="EZB22" s="88"/>
      <c r="EZC22" s="90"/>
      <c r="EZD22" s="148"/>
      <c r="EZE22" s="88"/>
      <c r="EZF22" s="88"/>
      <c r="EZG22" s="90"/>
      <c r="EZH22" s="93"/>
      <c r="EZI22" s="88"/>
      <c r="EZJ22" s="88"/>
      <c r="EZK22" s="91"/>
      <c r="EZL22" s="93"/>
      <c r="EZM22" s="93"/>
      <c r="EZN22" s="88"/>
      <c r="EZO22" s="88"/>
      <c r="EZP22" s="90"/>
      <c r="EZQ22" s="148"/>
      <c r="EZR22" s="88"/>
      <c r="EZS22" s="88"/>
      <c r="EZT22" s="90"/>
      <c r="EZU22" s="93"/>
      <c r="EZV22" s="88"/>
      <c r="EZW22" s="88"/>
      <c r="EZX22" s="91"/>
      <c r="EZY22" s="93"/>
      <c r="EZZ22" s="93"/>
      <c r="FAA22" s="88"/>
      <c r="FAB22" s="88"/>
      <c r="FAC22" s="90"/>
      <c r="FAD22" s="148"/>
      <c r="FAE22" s="88"/>
      <c r="FAF22" s="88"/>
      <c r="FAG22" s="90"/>
      <c r="FAH22" s="93"/>
      <c r="FAI22" s="88"/>
      <c r="FAJ22" s="88"/>
      <c r="FAK22" s="91"/>
      <c r="FAL22" s="93"/>
      <c r="FAM22" s="93"/>
      <c r="FAN22" s="88"/>
      <c r="FAO22" s="88"/>
      <c r="FAP22" s="90"/>
      <c r="FAQ22" s="148"/>
      <c r="FAR22" s="88"/>
      <c r="FAS22" s="88"/>
      <c r="FAT22" s="90"/>
      <c r="FAU22" s="93"/>
      <c r="FAV22" s="88"/>
      <c r="FAW22" s="88"/>
      <c r="FAX22" s="91"/>
      <c r="FAY22" s="93"/>
      <c r="FAZ22" s="93"/>
      <c r="FBA22" s="88"/>
      <c r="FBB22" s="88"/>
      <c r="FBC22" s="90"/>
      <c r="FBD22" s="148"/>
      <c r="FBE22" s="88"/>
      <c r="FBF22" s="88"/>
      <c r="FBG22" s="90"/>
      <c r="FBH22" s="93"/>
      <c r="FBI22" s="88"/>
      <c r="FBJ22" s="88"/>
      <c r="FBK22" s="91"/>
      <c r="FBL22" s="93"/>
      <c r="FBM22" s="93"/>
      <c r="FBN22" s="88"/>
      <c r="FBO22" s="88"/>
      <c r="FBP22" s="90"/>
      <c r="FBQ22" s="148"/>
      <c r="FBR22" s="88"/>
      <c r="FBS22" s="88"/>
      <c r="FBT22" s="90"/>
      <c r="FBU22" s="93"/>
      <c r="FBV22" s="88"/>
      <c r="FBW22" s="88"/>
      <c r="FBX22" s="91"/>
      <c r="FBY22" s="93"/>
      <c r="FBZ22" s="93"/>
      <c r="FCA22" s="88"/>
      <c r="FCB22" s="88"/>
      <c r="FCC22" s="90"/>
      <c r="FCD22" s="148"/>
      <c r="FCE22" s="88"/>
      <c r="FCF22" s="88"/>
      <c r="FCG22" s="90"/>
      <c r="FCH22" s="93"/>
      <c r="FCI22" s="88"/>
      <c r="FCJ22" s="88"/>
      <c r="FCK22" s="91"/>
      <c r="FCL22" s="93"/>
      <c r="FCM22" s="93"/>
      <c r="FCN22" s="88"/>
      <c r="FCO22" s="88"/>
      <c r="FCP22" s="90"/>
      <c r="FCQ22" s="148"/>
      <c r="FCR22" s="88"/>
      <c r="FCS22" s="88"/>
      <c r="FCT22" s="90"/>
      <c r="FCU22" s="93"/>
      <c r="FCV22" s="88"/>
      <c r="FCW22" s="88"/>
      <c r="FCX22" s="91"/>
      <c r="FCY22" s="93"/>
      <c r="FCZ22" s="93"/>
      <c r="FDA22" s="88"/>
      <c r="FDB22" s="88"/>
      <c r="FDC22" s="90"/>
      <c r="FDD22" s="148"/>
      <c r="FDE22" s="88"/>
      <c r="FDF22" s="88"/>
      <c r="FDG22" s="90"/>
      <c r="FDH22" s="93"/>
      <c r="FDI22" s="88"/>
      <c r="FDJ22" s="88"/>
      <c r="FDK22" s="91"/>
      <c r="FDL22" s="93"/>
      <c r="FDM22" s="93"/>
      <c r="FDN22" s="88"/>
      <c r="FDO22" s="88"/>
      <c r="FDP22" s="90"/>
      <c r="FDQ22" s="148"/>
      <c r="FDR22" s="88"/>
      <c r="FDS22" s="88"/>
      <c r="FDT22" s="90"/>
      <c r="FDU22" s="93"/>
      <c r="FDV22" s="88"/>
      <c r="FDW22" s="88"/>
      <c r="FDX22" s="91"/>
      <c r="FDY22" s="93"/>
      <c r="FDZ22" s="93"/>
      <c r="FEA22" s="88"/>
      <c r="FEB22" s="88"/>
      <c r="FEC22" s="90"/>
      <c r="FED22" s="148"/>
      <c r="FEE22" s="88"/>
      <c r="FEF22" s="88"/>
      <c r="FEG22" s="90"/>
      <c r="FEH22" s="93"/>
      <c r="FEI22" s="88"/>
      <c r="FEJ22" s="88"/>
      <c r="FEK22" s="91"/>
      <c r="FEL22" s="93"/>
      <c r="FEM22" s="93"/>
      <c r="FEN22" s="88"/>
      <c r="FEO22" s="88"/>
      <c r="FEP22" s="90"/>
      <c r="FEQ22" s="148"/>
      <c r="FER22" s="88"/>
      <c r="FES22" s="88"/>
      <c r="FET22" s="90"/>
      <c r="FEU22" s="93"/>
      <c r="FEV22" s="88"/>
      <c r="FEW22" s="88"/>
      <c r="FEX22" s="91"/>
      <c r="FEY22" s="93"/>
      <c r="FEZ22" s="93"/>
      <c r="FFA22" s="88"/>
      <c r="FFB22" s="88"/>
      <c r="FFC22" s="90"/>
      <c r="FFD22" s="148"/>
      <c r="FFE22" s="88"/>
      <c r="FFF22" s="88"/>
      <c r="FFG22" s="90"/>
      <c r="FFH22" s="93"/>
      <c r="FFI22" s="88"/>
      <c r="FFJ22" s="88"/>
      <c r="FFK22" s="91"/>
      <c r="FFL22" s="93"/>
      <c r="FFM22" s="93"/>
      <c r="FFN22" s="88"/>
      <c r="FFO22" s="88"/>
      <c r="FFP22" s="90"/>
      <c r="FFQ22" s="148"/>
      <c r="FFR22" s="88"/>
      <c r="FFS22" s="88"/>
      <c r="FFT22" s="90"/>
      <c r="FFU22" s="93"/>
      <c r="FFV22" s="88"/>
      <c r="FFW22" s="88"/>
      <c r="FFX22" s="91"/>
      <c r="FFY22" s="93"/>
      <c r="FFZ22" s="93"/>
      <c r="FGA22" s="88"/>
      <c r="FGB22" s="88"/>
      <c r="FGC22" s="90"/>
      <c r="FGD22" s="148"/>
      <c r="FGE22" s="88"/>
      <c r="FGF22" s="88"/>
      <c r="FGG22" s="90"/>
      <c r="FGH22" s="93"/>
      <c r="FGI22" s="88"/>
      <c r="FGJ22" s="88"/>
      <c r="FGK22" s="91"/>
      <c r="FGL22" s="93"/>
      <c r="FGM22" s="93"/>
      <c r="FGN22" s="88"/>
      <c r="FGO22" s="88"/>
      <c r="FGP22" s="90"/>
      <c r="FGQ22" s="148"/>
      <c r="FGR22" s="88"/>
      <c r="FGS22" s="88"/>
      <c r="FGT22" s="90"/>
      <c r="FGU22" s="93"/>
      <c r="FGV22" s="88"/>
      <c r="FGW22" s="88"/>
      <c r="FGX22" s="91"/>
      <c r="FGY22" s="93"/>
      <c r="FGZ22" s="93"/>
      <c r="FHA22" s="88"/>
      <c r="FHB22" s="88"/>
      <c r="FHC22" s="90"/>
      <c r="FHD22" s="148"/>
      <c r="FHE22" s="88"/>
      <c r="FHF22" s="88"/>
      <c r="FHG22" s="90"/>
      <c r="FHH22" s="93"/>
      <c r="FHI22" s="88"/>
      <c r="FHJ22" s="88"/>
      <c r="FHK22" s="91"/>
      <c r="FHL22" s="93"/>
      <c r="FHM22" s="93"/>
      <c r="FHN22" s="88"/>
      <c r="FHO22" s="88"/>
      <c r="FHP22" s="90"/>
      <c r="FHQ22" s="148"/>
      <c r="FHR22" s="88"/>
      <c r="FHS22" s="88"/>
      <c r="FHT22" s="90"/>
      <c r="FHU22" s="93"/>
      <c r="FHV22" s="88"/>
      <c r="FHW22" s="88"/>
      <c r="FHX22" s="91"/>
      <c r="FHY22" s="93"/>
      <c r="FHZ22" s="93"/>
      <c r="FIA22" s="88"/>
      <c r="FIB22" s="88"/>
      <c r="FIC22" s="90"/>
      <c r="FID22" s="148"/>
      <c r="FIE22" s="88"/>
      <c r="FIF22" s="88"/>
      <c r="FIG22" s="90"/>
      <c r="FIH22" s="93"/>
      <c r="FII22" s="88"/>
      <c r="FIJ22" s="88"/>
      <c r="FIK22" s="91"/>
      <c r="FIL22" s="93"/>
      <c r="FIM22" s="93"/>
      <c r="FIN22" s="88"/>
      <c r="FIO22" s="88"/>
      <c r="FIP22" s="90"/>
      <c r="FIQ22" s="148"/>
      <c r="FIR22" s="88"/>
      <c r="FIS22" s="88"/>
      <c r="FIT22" s="90"/>
      <c r="FIU22" s="93"/>
      <c r="FIV22" s="88"/>
      <c r="FIW22" s="88"/>
      <c r="FIX22" s="91"/>
      <c r="FIY22" s="93"/>
      <c r="FIZ22" s="93"/>
      <c r="FJA22" s="88"/>
      <c r="FJB22" s="88"/>
      <c r="FJC22" s="90"/>
      <c r="FJD22" s="148"/>
      <c r="FJE22" s="88"/>
      <c r="FJF22" s="88"/>
      <c r="FJG22" s="90"/>
      <c r="FJH22" s="93"/>
      <c r="FJI22" s="88"/>
      <c r="FJJ22" s="88"/>
      <c r="FJK22" s="91"/>
      <c r="FJL22" s="93"/>
      <c r="FJM22" s="93"/>
      <c r="FJN22" s="88"/>
      <c r="FJO22" s="88"/>
      <c r="FJP22" s="90"/>
      <c r="FJQ22" s="148"/>
      <c r="FJR22" s="88"/>
      <c r="FJS22" s="88"/>
      <c r="FJT22" s="90"/>
      <c r="FJU22" s="93"/>
      <c r="FJV22" s="88"/>
      <c r="FJW22" s="88"/>
      <c r="FJX22" s="91"/>
      <c r="FJY22" s="93"/>
      <c r="FJZ22" s="93"/>
      <c r="FKA22" s="88"/>
      <c r="FKB22" s="88"/>
      <c r="FKC22" s="90"/>
      <c r="FKD22" s="148"/>
      <c r="FKE22" s="88"/>
      <c r="FKF22" s="88"/>
      <c r="FKG22" s="90"/>
      <c r="FKH22" s="93"/>
      <c r="FKI22" s="88"/>
      <c r="FKJ22" s="88"/>
      <c r="FKK22" s="91"/>
      <c r="FKL22" s="93"/>
      <c r="FKM22" s="93"/>
      <c r="FKN22" s="88"/>
      <c r="FKO22" s="88"/>
      <c r="FKP22" s="90"/>
      <c r="FKQ22" s="148"/>
      <c r="FKR22" s="88"/>
      <c r="FKS22" s="88"/>
      <c r="FKT22" s="90"/>
      <c r="FKU22" s="93"/>
      <c r="FKV22" s="88"/>
      <c r="FKW22" s="88"/>
      <c r="FKX22" s="91"/>
      <c r="FKY22" s="93"/>
      <c r="FKZ22" s="93"/>
      <c r="FLA22" s="88"/>
      <c r="FLB22" s="88"/>
      <c r="FLC22" s="90"/>
      <c r="FLD22" s="148"/>
      <c r="FLE22" s="88"/>
      <c r="FLF22" s="88"/>
      <c r="FLG22" s="90"/>
      <c r="FLH22" s="93"/>
      <c r="FLI22" s="88"/>
      <c r="FLJ22" s="88"/>
      <c r="FLK22" s="91"/>
      <c r="FLL22" s="93"/>
      <c r="FLM22" s="93"/>
      <c r="FLN22" s="88"/>
      <c r="FLO22" s="88"/>
      <c r="FLP22" s="90"/>
      <c r="FLQ22" s="148"/>
      <c r="FLR22" s="88"/>
      <c r="FLS22" s="88"/>
      <c r="FLT22" s="90"/>
      <c r="FLU22" s="93"/>
      <c r="FLV22" s="88"/>
      <c r="FLW22" s="88"/>
      <c r="FLX22" s="91"/>
      <c r="FLY22" s="93"/>
      <c r="FLZ22" s="93"/>
      <c r="FMA22" s="88"/>
      <c r="FMB22" s="88"/>
      <c r="FMC22" s="90"/>
      <c r="FMD22" s="148"/>
      <c r="FME22" s="88"/>
      <c r="FMF22" s="88"/>
      <c r="FMG22" s="90"/>
      <c r="FMH22" s="93"/>
      <c r="FMI22" s="88"/>
      <c r="FMJ22" s="88"/>
      <c r="FMK22" s="91"/>
      <c r="FML22" s="93"/>
      <c r="FMM22" s="93"/>
      <c r="FMN22" s="88"/>
      <c r="FMO22" s="88"/>
      <c r="FMP22" s="90"/>
      <c r="FMQ22" s="148"/>
      <c r="FMR22" s="88"/>
      <c r="FMS22" s="88"/>
      <c r="FMT22" s="90"/>
      <c r="FMU22" s="93"/>
      <c r="FMV22" s="88"/>
      <c r="FMW22" s="88"/>
      <c r="FMX22" s="91"/>
      <c r="FMY22" s="93"/>
      <c r="FMZ22" s="93"/>
      <c r="FNA22" s="88"/>
      <c r="FNB22" s="88"/>
      <c r="FNC22" s="90"/>
      <c r="FND22" s="148"/>
      <c r="FNE22" s="88"/>
      <c r="FNF22" s="88"/>
      <c r="FNG22" s="90"/>
      <c r="FNH22" s="93"/>
      <c r="FNI22" s="88"/>
      <c r="FNJ22" s="88"/>
      <c r="FNK22" s="91"/>
      <c r="FNL22" s="93"/>
      <c r="FNM22" s="93"/>
      <c r="FNN22" s="88"/>
      <c r="FNO22" s="88"/>
      <c r="FNP22" s="90"/>
      <c r="FNQ22" s="148"/>
      <c r="FNR22" s="88"/>
      <c r="FNS22" s="88"/>
      <c r="FNT22" s="90"/>
      <c r="FNU22" s="93"/>
      <c r="FNV22" s="88"/>
      <c r="FNW22" s="88"/>
      <c r="FNX22" s="91"/>
      <c r="FNY22" s="93"/>
      <c r="FNZ22" s="93"/>
      <c r="FOA22" s="88"/>
      <c r="FOB22" s="88"/>
      <c r="FOC22" s="90"/>
      <c r="FOD22" s="148"/>
      <c r="FOE22" s="88"/>
      <c r="FOF22" s="88"/>
      <c r="FOG22" s="90"/>
      <c r="FOH22" s="93"/>
      <c r="FOI22" s="88"/>
      <c r="FOJ22" s="88"/>
      <c r="FOK22" s="91"/>
      <c r="FOL22" s="93"/>
      <c r="FOM22" s="93"/>
      <c r="FON22" s="88"/>
      <c r="FOO22" s="88"/>
      <c r="FOP22" s="90"/>
      <c r="FOQ22" s="148"/>
      <c r="FOR22" s="88"/>
      <c r="FOS22" s="88"/>
      <c r="FOT22" s="90"/>
      <c r="FOU22" s="93"/>
      <c r="FOV22" s="88"/>
      <c r="FOW22" s="88"/>
      <c r="FOX22" s="91"/>
      <c r="FOY22" s="93"/>
      <c r="FOZ22" s="93"/>
      <c r="FPA22" s="88"/>
      <c r="FPB22" s="88"/>
      <c r="FPC22" s="90"/>
      <c r="FPD22" s="148"/>
      <c r="FPE22" s="88"/>
      <c r="FPF22" s="88"/>
      <c r="FPG22" s="90"/>
      <c r="FPH22" s="93"/>
      <c r="FPI22" s="88"/>
      <c r="FPJ22" s="88"/>
      <c r="FPK22" s="91"/>
      <c r="FPL22" s="93"/>
      <c r="FPM22" s="93"/>
      <c r="FPN22" s="88"/>
      <c r="FPO22" s="88"/>
      <c r="FPP22" s="90"/>
      <c r="FPQ22" s="148"/>
      <c r="FPR22" s="88"/>
      <c r="FPS22" s="88"/>
      <c r="FPT22" s="90"/>
      <c r="FPU22" s="93"/>
      <c r="FPV22" s="88"/>
      <c r="FPW22" s="88"/>
      <c r="FPX22" s="91"/>
      <c r="FPY22" s="93"/>
      <c r="FPZ22" s="93"/>
      <c r="FQA22" s="88"/>
      <c r="FQB22" s="88"/>
      <c r="FQC22" s="90"/>
      <c r="FQD22" s="148"/>
      <c r="FQE22" s="88"/>
      <c r="FQF22" s="88"/>
      <c r="FQG22" s="90"/>
      <c r="FQH22" s="93"/>
      <c r="FQI22" s="88"/>
      <c r="FQJ22" s="88"/>
      <c r="FQK22" s="91"/>
      <c r="FQL22" s="93"/>
      <c r="FQM22" s="93"/>
      <c r="FQN22" s="88"/>
      <c r="FQO22" s="88"/>
      <c r="FQP22" s="90"/>
      <c r="FQQ22" s="148"/>
      <c r="FQR22" s="88"/>
      <c r="FQS22" s="88"/>
      <c r="FQT22" s="90"/>
      <c r="FQU22" s="93"/>
      <c r="FQV22" s="88"/>
      <c r="FQW22" s="88"/>
      <c r="FQX22" s="91"/>
      <c r="FQY22" s="93"/>
      <c r="FQZ22" s="93"/>
      <c r="FRA22" s="88"/>
      <c r="FRB22" s="88"/>
      <c r="FRC22" s="90"/>
      <c r="FRD22" s="148"/>
      <c r="FRE22" s="88"/>
      <c r="FRF22" s="88"/>
      <c r="FRG22" s="90"/>
      <c r="FRH22" s="93"/>
      <c r="FRI22" s="88"/>
      <c r="FRJ22" s="88"/>
      <c r="FRK22" s="91"/>
      <c r="FRL22" s="93"/>
      <c r="FRM22" s="93"/>
      <c r="FRN22" s="88"/>
      <c r="FRO22" s="88"/>
      <c r="FRP22" s="90"/>
      <c r="FRQ22" s="148"/>
      <c r="FRR22" s="88"/>
      <c r="FRS22" s="88"/>
      <c r="FRT22" s="90"/>
      <c r="FRU22" s="93"/>
      <c r="FRV22" s="88"/>
      <c r="FRW22" s="88"/>
      <c r="FRX22" s="91"/>
      <c r="FRY22" s="93"/>
      <c r="FRZ22" s="93"/>
      <c r="FSA22" s="88"/>
      <c r="FSB22" s="88"/>
      <c r="FSC22" s="90"/>
      <c r="FSD22" s="148"/>
      <c r="FSE22" s="88"/>
      <c r="FSF22" s="88"/>
      <c r="FSG22" s="90"/>
      <c r="FSH22" s="93"/>
      <c r="FSI22" s="88"/>
      <c r="FSJ22" s="88"/>
      <c r="FSK22" s="91"/>
      <c r="FSL22" s="93"/>
      <c r="FSM22" s="93"/>
      <c r="FSN22" s="88"/>
      <c r="FSO22" s="88"/>
      <c r="FSP22" s="90"/>
      <c r="FSQ22" s="148"/>
      <c r="FSR22" s="88"/>
      <c r="FSS22" s="88"/>
      <c r="FST22" s="90"/>
      <c r="FSU22" s="93"/>
      <c r="FSV22" s="88"/>
      <c r="FSW22" s="88"/>
      <c r="FSX22" s="91"/>
      <c r="FSY22" s="93"/>
      <c r="FSZ22" s="93"/>
      <c r="FTA22" s="88"/>
      <c r="FTB22" s="88"/>
      <c r="FTC22" s="90"/>
      <c r="FTD22" s="148"/>
      <c r="FTE22" s="88"/>
      <c r="FTF22" s="88"/>
      <c r="FTG22" s="90"/>
      <c r="FTH22" s="93"/>
      <c r="FTI22" s="88"/>
      <c r="FTJ22" s="88"/>
      <c r="FTK22" s="91"/>
      <c r="FTL22" s="93"/>
      <c r="FTM22" s="93"/>
      <c r="FTN22" s="88"/>
      <c r="FTO22" s="88"/>
      <c r="FTP22" s="90"/>
      <c r="FTQ22" s="148"/>
      <c r="FTR22" s="88"/>
      <c r="FTS22" s="88"/>
      <c r="FTT22" s="90"/>
      <c r="FTU22" s="93"/>
      <c r="FTV22" s="88"/>
      <c r="FTW22" s="88"/>
      <c r="FTX22" s="91"/>
      <c r="FTY22" s="93"/>
      <c r="FTZ22" s="93"/>
      <c r="FUA22" s="88"/>
      <c r="FUB22" s="88"/>
      <c r="FUC22" s="90"/>
      <c r="FUD22" s="148"/>
      <c r="FUE22" s="88"/>
      <c r="FUF22" s="88"/>
      <c r="FUG22" s="90"/>
      <c r="FUH22" s="93"/>
      <c r="FUI22" s="88"/>
      <c r="FUJ22" s="88"/>
      <c r="FUK22" s="91"/>
      <c r="FUL22" s="93"/>
      <c r="FUM22" s="93"/>
      <c r="FUN22" s="88"/>
      <c r="FUO22" s="88"/>
      <c r="FUP22" s="90"/>
      <c r="FUQ22" s="148"/>
      <c r="FUR22" s="88"/>
      <c r="FUS22" s="88"/>
      <c r="FUT22" s="90"/>
      <c r="FUU22" s="93"/>
      <c r="FUV22" s="88"/>
      <c r="FUW22" s="88"/>
      <c r="FUX22" s="91"/>
      <c r="FUY22" s="93"/>
      <c r="FUZ22" s="93"/>
      <c r="FVA22" s="88"/>
      <c r="FVB22" s="88"/>
      <c r="FVC22" s="90"/>
      <c r="FVD22" s="148"/>
      <c r="FVE22" s="88"/>
      <c r="FVF22" s="88"/>
      <c r="FVG22" s="90"/>
      <c r="FVH22" s="93"/>
      <c r="FVI22" s="88"/>
      <c r="FVJ22" s="88"/>
      <c r="FVK22" s="91"/>
      <c r="FVL22" s="93"/>
      <c r="FVM22" s="93"/>
      <c r="FVN22" s="88"/>
      <c r="FVO22" s="88"/>
      <c r="FVP22" s="90"/>
      <c r="FVQ22" s="148"/>
      <c r="FVR22" s="88"/>
      <c r="FVS22" s="88"/>
      <c r="FVT22" s="90"/>
      <c r="FVU22" s="93"/>
      <c r="FVV22" s="88"/>
      <c r="FVW22" s="88"/>
      <c r="FVX22" s="91"/>
      <c r="FVY22" s="93"/>
      <c r="FVZ22" s="93"/>
      <c r="FWA22" s="88"/>
      <c r="FWB22" s="88"/>
      <c r="FWC22" s="90"/>
      <c r="FWD22" s="148"/>
      <c r="FWE22" s="88"/>
      <c r="FWF22" s="88"/>
      <c r="FWG22" s="90"/>
      <c r="FWH22" s="93"/>
      <c r="FWI22" s="88"/>
      <c r="FWJ22" s="88"/>
      <c r="FWK22" s="91"/>
      <c r="FWL22" s="93"/>
      <c r="FWM22" s="93"/>
      <c r="FWN22" s="88"/>
      <c r="FWO22" s="88"/>
      <c r="FWP22" s="90"/>
      <c r="FWQ22" s="148"/>
      <c r="FWR22" s="88"/>
      <c r="FWS22" s="88"/>
      <c r="FWT22" s="90"/>
      <c r="FWU22" s="93"/>
      <c r="FWV22" s="88"/>
      <c r="FWW22" s="88"/>
      <c r="FWX22" s="91"/>
      <c r="FWY22" s="93"/>
      <c r="FWZ22" s="93"/>
      <c r="FXA22" s="88"/>
      <c r="FXB22" s="88"/>
      <c r="FXC22" s="90"/>
      <c r="FXD22" s="148"/>
      <c r="FXE22" s="88"/>
      <c r="FXF22" s="88"/>
      <c r="FXG22" s="90"/>
      <c r="FXH22" s="93"/>
      <c r="FXI22" s="88"/>
      <c r="FXJ22" s="88"/>
      <c r="FXK22" s="91"/>
      <c r="FXL22" s="93"/>
      <c r="FXM22" s="93"/>
      <c r="FXN22" s="88"/>
      <c r="FXO22" s="88"/>
      <c r="FXP22" s="90"/>
      <c r="FXQ22" s="148"/>
      <c r="FXR22" s="88"/>
      <c r="FXS22" s="88"/>
      <c r="FXT22" s="90"/>
      <c r="FXU22" s="93"/>
      <c r="FXV22" s="88"/>
      <c r="FXW22" s="88"/>
      <c r="FXX22" s="91"/>
      <c r="FXY22" s="93"/>
      <c r="FXZ22" s="93"/>
      <c r="FYA22" s="88"/>
      <c r="FYB22" s="88"/>
      <c r="FYC22" s="90"/>
      <c r="FYD22" s="148"/>
      <c r="FYE22" s="88"/>
      <c r="FYF22" s="88"/>
      <c r="FYG22" s="90"/>
      <c r="FYH22" s="93"/>
      <c r="FYI22" s="88"/>
      <c r="FYJ22" s="88"/>
      <c r="FYK22" s="91"/>
      <c r="FYL22" s="93"/>
      <c r="FYM22" s="93"/>
      <c r="FYN22" s="88"/>
      <c r="FYO22" s="88"/>
      <c r="FYP22" s="90"/>
      <c r="FYQ22" s="148"/>
      <c r="FYR22" s="88"/>
      <c r="FYS22" s="88"/>
      <c r="FYT22" s="90"/>
      <c r="FYU22" s="93"/>
      <c r="FYV22" s="88"/>
      <c r="FYW22" s="88"/>
      <c r="FYX22" s="91"/>
      <c r="FYY22" s="93"/>
      <c r="FYZ22" s="93"/>
      <c r="FZA22" s="88"/>
      <c r="FZB22" s="88"/>
      <c r="FZC22" s="90"/>
      <c r="FZD22" s="148"/>
      <c r="FZE22" s="88"/>
      <c r="FZF22" s="88"/>
      <c r="FZG22" s="90"/>
      <c r="FZH22" s="93"/>
      <c r="FZI22" s="88"/>
      <c r="FZJ22" s="88"/>
      <c r="FZK22" s="91"/>
      <c r="FZL22" s="93"/>
      <c r="FZM22" s="93"/>
      <c r="FZN22" s="88"/>
      <c r="FZO22" s="88"/>
      <c r="FZP22" s="90"/>
      <c r="FZQ22" s="148"/>
      <c r="FZR22" s="88"/>
      <c r="FZS22" s="88"/>
      <c r="FZT22" s="90"/>
      <c r="FZU22" s="93"/>
      <c r="FZV22" s="88"/>
      <c r="FZW22" s="88"/>
      <c r="FZX22" s="91"/>
      <c r="FZY22" s="93"/>
      <c r="FZZ22" s="93"/>
      <c r="GAA22" s="88"/>
      <c r="GAB22" s="88"/>
      <c r="GAC22" s="90"/>
      <c r="GAD22" s="148"/>
      <c r="GAE22" s="88"/>
      <c r="GAF22" s="88"/>
      <c r="GAG22" s="90"/>
      <c r="GAH22" s="93"/>
      <c r="GAI22" s="88"/>
      <c r="GAJ22" s="88"/>
      <c r="GAK22" s="91"/>
      <c r="GAL22" s="93"/>
      <c r="GAM22" s="93"/>
      <c r="GAN22" s="88"/>
      <c r="GAO22" s="88"/>
      <c r="GAP22" s="90"/>
      <c r="GAQ22" s="148"/>
      <c r="GAR22" s="88"/>
      <c r="GAS22" s="88"/>
      <c r="GAT22" s="90"/>
      <c r="GAU22" s="93"/>
      <c r="GAV22" s="88"/>
      <c r="GAW22" s="88"/>
      <c r="GAX22" s="91"/>
      <c r="GAY22" s="93"/>
      <c r="GAZ22" s="93"/>
      <c r="GBA22" s="88"/>
      <c r="GBB22" s="88"/>
      <c r="GBC22" s="90"/>
      <c r="GBD22" s="148"/>
      <c r="GBE22" s="88"/>
      <c r="GBF22" s="88"/>
      <c r="GBG22" s="90"/>
      <c r="GBH22" s="93"/>
      <c r="GBI22" s="88"/>
      <c r="GBJ22" s="88"/>
      <c r="GBK22" s="91"/>
      <c r="GBL22" s="93"/>
      <c r="GBM22" s="93"/>
      <c r="GBN22" s="88"/>
      <c r="GBO22" s="88"/>
      <c r="GBP22" s="90"/>
      <c r="GBQ22" s="148"/>
      <c r="GBR22" s="88"/>
      <c r="GBS22" s="88"/>
      <c r="GBT22" s="90"/>
      <c r="GBU22" s="93"/>
      <c r="GBV22" s="88"/>
      <c r="GBW22" s="88"/>
      <c r="GBX22" s="91"/>
      <c r="GBY22" s="93"/>
      <c r="GBZ22" s="93"/>
      <c r="GCA22" s="88"/>
      <c r="GCB22" s="88"/>
      <c r="GCC22" s="90"/>
      <c r="GCD22" s="148"/>
      <c r="GCE22" s="88"/>
      <c r="GCF22" s="88"/>
      <c r="GCG22" s="90"/>
      <c r="GCH22" s="93"/>
      <c r="GCI22" s="88"/>
      <c r="GCJ22" s="88"/>
      <c r="GCK22" s="91"/>
      <c r="GCL22" s="93"/>
      <c r="GCM22" s="93"/>
      <c r="GCN22" s="88"/>
      <c r="GCO22" s="88"/>
      <c r="GCP22" s="90"/>
      <c r="GCQ22" s="148"/>
      <c r="GCR22" s="88"/>
      <c r="GCS22" s="88"/>
      <c r="GCT22" s="90"/>
      <c r="GCU22" s="93"/>
      <c r="GCV22" s="88"/>
      <c r="GCW22" s="88"/>
      <c r="GCX22" s="91"/>
      <c r="GCY22" s="93"/>
      <c r="GCZ22" s="93"/>
      <c r="GDA22" s="88"/>
      <c r="GDB22" s="88"/>
      <c r="GDC22" s="90"/>
      <c r="GDD22" s="148"/>
      <c r="GDE22" s="88"/>
      <c r="GDF22" s="88"/>
      <c r="GDG22" s="90"/>
      <c r="GDH22" s="93"/>
      <c r="GDI22" s="88"/>
      <c r="GDJ22" s="88"/>
      <c r="GDK22" s="91"/>
      <c r="GDL22" s="93"/>
      <c r="GDM22" s="93"/>
      <c r="GDN22" s="88"/>
      <c r="GDO22" s="88"/>
      <c r="GDP22" s="90"/>
      <c r="GDQ22" s="148"/>
      <c r="GDR22" s="88"/>
      <c r="GDS22" s="88"/>
      <c r="GDT22" s="90"/>
      <c r="GDU22" s="93"/>
      <c r="GDV22" s="88"/>
      <c r="GDW22" s="88"/>
      <c r="GDX22" s="91"/>
      <c r="GDY22" s="93"/>
      <c r="GDZ22" s="93"/>
      <c r="GEA22" s="88"/>
      <c r="GEB22" s="88"/>
      <c r="GEC22" s="90"/>
      <c r="GED22" s="148"/>
      <c r="GEE22" s="88"/>
      <c r="GEF22" s="88"/>
      <c r="GEG22" s="90"/>
      <c r="GEH22" s="93"/>
      <c r="GEI22" s="88"/>
      <c r="GEJ22" s="88"/>
      <c r="GEK22" s="91"/>
      <c r="GEL22" s="93"/>
      <c r="GEM22" s="93"/>
      <c r="GEN22" s="88"/>
      <c r="GEO22" s="88"/>
      <c r="GEP22" s="90"/>
      <c r="GEQ22" s="148"/>
      <c r="GER22" s="88"/>
      <c r="GES22" s="88"/>
      <c r="GET22" s="90"/>
      <c r="GEU22" s="93"/>
      <c r="GEV22" s="88"/>
      <c r="GEW22" s="88"/>
      <c r="GEX22" s="91"/>
      <c r="GEY22" s="93"/>
      <c r="GEZ22" s="93"/>
      <c r="GFA22" s="88"/>
      <c r="GFB22" s="88"/>
      <c r="GFC22" s="90"/>
      <c r="GFD22" s="148"/>
      <c r="GFE22" s="88"/>
      <c r="GFF22" s="88"/>
      <c r="GFG22" s="90"/>
      <c r="GFH22" s="93"/>
      <c r="GFI22" s="88"/>
      <c r="GFJ22" s="88"/>
      <c r="GFK22" s="91"/>
      <c r="GFL22" s="93"/>
      <c r="GFM22" s="93"/>
      <c r="GFN22" s="88"/>
      <c r="GFO22" s="88"/>
      <c r="GFP22" s="90"/>
      <c r="GFQ22" s="148"/>
      <c r="GFR22" s="88"/>
      <c r="GFS22" s="88"/>
      <c r="GFT22" s="90"/>
      <c r="GFU22" s="93"/>
      <c r="GFV22" s="88"/>
      <c r="GFW22" s="88"/>
      <c r="GFX22" s="91"/>
      <c r="GFY22" s="93"/>
      <c r="GFZ22" s="93"/>
      <c r="GGA22" s="88"/>
      <c r="GGB22" s="88"/>
      <c r="GGC22" s="90"/>
      <c r="GGD22" s="148"/>
      <c r="GGE22" s="88"/>
      <c r="GGF22" s="88"/>
      <c r="GGG22" s="90"/>
      <c r="GGH22" s="93"/>
      <c r="GGI22" s="88"/>
      <c r="GGJ22" s="88"/>
      <c r="GGK22" s="91"/>
      <c r="GGL22" s="93"/>
      <c r="GGM22" s="93"/>
      <c r="GGN22" s="88"/>
      <c r="GGO22" s="88"/>
      <c r="GGP22" s="90"/>
      <c r="GGQ22" s="148"/>
      <c r="GGR22" s="88"/>
      <c r="GGS22" s="88"/>
      <c r="GGT22" s="90"/>
      <c r="GGU22" s="93"/>
      <c r="GGV22" s="88"/>
      <c r="GGW22" s="88"/>
      <c r="GGX22" s="91"/>
      <c r="GGY22" s="93"/>
      <c r="GGZ22" s="93"/>
      <c r="GHA22" s="88"/>
      <c r="GHB22" s="88"/>
      <c r="GHC22" s="90"/>
      <c r="GHD22" s="148"/>
      <c r="GHE22" s="88"/>
      <c r="GHF22" s="88"/>
      <c r="GHG22" s="90"/>
      <c r="GHH22" s="93"/>
      <c r="GHI22" s="88"/>
      <c r="GHJ22" s="88"/>
      <c r="GHK22" s="91"/>
      <c r="GHL22" s="93"/>
      <c r="GHM22" s="93"/>
      <c r="GHN22" s="88"/>
      <c r="GHO22" s="88"/>
      <c r="GHP22" s="90"/>
      <c r="GHQ22" s="148"/>
      <c r="GHR22" s="88"/>
      <c r="GHS22" s="88"/>
      <c r="GHT22" s="90"/>
      <c r="GHU22" s="93"/>
      <c r="GHV22" s="88"/>
      <c r="GHW22" s="88"/>
      <c r="GHX22" s="91"/>
      <c r="GHY22" s="93"/>
      <c r="GHZ22" s="93"/>
      <c r="GIA22" s="88"/>
      <c r="GIB22" s="88"/>
      <c r="GIC22" s="90"/>
      <c r="GID22" s="148"/>
      <c r="GIE22" s="88"/>
      <c r="GIF22" s="88"/>
      <c r="GIG22" s="90"/>
      <c r="GIH22" s="93"/>
      <c r="GII22" s="88"/>
      <c r="GIJ22" s="88"/>
      <c r="GIK22" s="91"/>
      <c r="GIL22" s="93"/>
      <c r="GIM22" s="93"/>
      <c r="GIN22" s="88"/>
      <c r="GIO22" s="88"/>
      <c r="GIP22" s="90"/>
      <c r="GIQ22" s="148"/>
      <c r="GIR22" s="88"/>
      <c r="GIS22" s="88"/>
      <c r="GIT22" s="90"/>
      <c r="GIU22" s="93"/>
      <c r="GIV22" s="88"/>
      <c r="GIW22" s="88"/>
      <c r="GIX22" s="91"/>
      <c r="GIY22" s="93"/>
      <c r="GIZ22" s="93"/>
      <c r="GJA22" s="88"/>
      <c r="GJB22" s="88"/>
      <c r="GJC22" s="90"/>
      <c r="GJD22" s="148"/>
      <c r="GJE22" s="88"/>
      <c r="GJF22" s="88"/>
      <c r="GJG22" s="90"/>
      <c r="GJH22" s="93"/>
      <c r="GJI22" s="88"/>
      <c r="GJJ22" s="88"/>
      <c r="GJK22" s="91"/>
      <c r="GJL22" s="93"/>
      <c r="GJM22" s="93"/>
      <c r="GJN22" s="88"/>
      <c r="GJO22" s="88"/>
      <c r="GJP22" s="90"/>
      <c r="GJQ22" s="148"/>
      <c r="GJR22" s="88"/>
      <c r="GJS22" s="88"/>
      <c r="GJT22" s="90"/>
      <c r="GJU22" s="93"/>
      <c r="GJV22" s="88"/>
      <c r="GJW22" s="88"/>
      <c r="GJX22" s="91"/>
      <c r="GJY22" s="93"/>
      <c r="GJZ22" s="93"/>
      <c r="GKA22" s="88"/>
      <c r="GKB22" s="88"/>
      <c r="GKC22" s="90"/>
      <c r="GKD22" s="148"/>
      <c r="GKE22" s="88"/>
      <c r="GKF22" s="88"/>
      <c r="GKG22" s="90"/>
      <c r="GKH22" s="93"/>
      <c r="GKI22" s="88"/>
      <c r="GKJ22" s="88"/>
      <c r="GKK22" s="91"/>
      <c r="GKL22" s="93"/>
      <c r="GKM22" s="93"/>
      <c r="GKN22" s="88"/>
      <c r="GKO22" s="88"/>
      <c r="GKP22" s="90"/>
      <c r="GKQ22" s="148"/>
      <c r="GKR22" s="88"/>
      <c r="GKS22" s="88"/>
      <c r="GKT22" s="90"/>
      <c r="GKU22" s="93"/>
      <c r="GKV22" s="88"/>
      <c r="GKW22" s="88"/>
      <c r="GKX22" s="91"/>
      <c r="GKY22" s="93"/>
      <c r="GKZ22" s="93"/>
      <c r="GLA22" s="88"/>
      <c r="GLB22" s="88"/>
      <c r="GLC22" s="90"/>
      <c r="GLD22" s="148"/>
      <c r="GLE22" s="88"/>
      <c r="GLF22" s="88"/>
      <c r="GLG22" s="90"/>
      <c r="GLH22" s="93"/>
      <c r="GLI22" s="88"/>
      <c r="GLJ22" s="88"/>
      <c r="GLK22" s="91"/>
      <c r="GLL22" s="93"/>
      <c r="GLM22" s="93"/>
      <c r="GLN22" s="88"/>
      <c r="GLO22" s="88"/>
      <c r="GLP22" s="90"/>
      <c r="GLQ22" s="148"/>
      <c r="GLR22" s="88"/>
      <c r="GLS22" s="88"/>
      <c r="GLT22" s="90"/>
      <c r="GLU22" s="93"/>
      <c r="GLV22" s="88"/>
      <c r="GLW22" s="88"/>
      <c r="GLX22" s="91"/>
      <c r="GLY22" s="93"/>
      <c r="GLZ22" s="93"/>
      <c r="GMA22" s="88"/>
      <c r="GMB22" s="88"/>
      <c r="GMC22" s="90"/>
      <c r="GMD22" s="148"/>
      <c r="GME22" s="88"/>
      <c r="GMF22" s="88"/>
      <c r="GMG22" s="90"/>
      <c r="GMH22" s="93"/>
      <c r="GMI22" s="88"/>
      <c r="GMJ22" s="88"/>
      <c r="GMK22" s="91"/>
      <c r="GML22" s="93"/>
      <c r="GMM22" s="93"/>
      <c r="GMN22" s="88"/>
      <c r="GMO22" s="88"/>
      <c r="GMP22" s="90"/>
      <c r="GMQ22" s="148"/>
      <c r="GMR22" s="88"/>
      <c r="GMS22" s="88"/>
      <c r="GMT22" s="90"/>
      <c r="GMU22" s="93"/>
      <c r="GMV22" s="88"/>
      <c r="GMW22" s="88"/>
      <c r="GMX22" s="91"/>
      <c r="GMY22" s="93"/>
      <c r="GMZ22" s="93"/>
      <c r="GNA22" s="88"/>
      <c r="GNB22" s="88"/>
      <c r="GNC22" s="90"/>
      <c r="GND22" s="148"/>
      <c r="GNE22" s="88"/>
      <c r="GNF22" s="88"/>
      <c r="GNG22" s="90"/>
      <c r="GNH22" s="93"/>
      <c r="GNI22" s="88"/>
      <c r="GNJ22" s="88"/>
      <c r="GNK22" s="91"/>
      <c r="GNL22" s="93"/>
      <c r="GNM22" s="93"/>
      <c r="GNN22" s="88"/>
      <c r="GNO22" s="88"/>
      <c r="GNP22" s="90"/>
      <c r="GNQ22" s="148"/>
      <c r="GNR22" s="88"/>
      <c r="GNS22" s="88"/>
      <c r="GNT22" s="90"/>
      <c r="GNU22" s="93"/>
      <c r="GNV22" s="88"/>
      <c r="GNW22" s="88"/>
      <c r="GNX22" s="91"/>
      <c r="GNY22" s="93"/>
      <c r="GNZ22" s="93"/>
      <c r="GOA22" s="88"/>
      <c r="GOB22" s="88"/>
      <c r="GOC22" s="90"/>
      <c r="GOD22" s="148"/>
      <c r="GOE22" s="88"/>
      <c r="GOF22" s="88"/>
      <c r="GOG22" s="90"/>
      <c r="GOH22" s="93"/>
      <c r="GOI22" s="88"/>
      <c r="GOJ22" s="88"/>
      <c r="GOK22" s="91"/>
      <c r="GOL22" s="93"/>
      <c r="GOM22" s="93"/>
      <c r="GON22" s="88"/>
      <c r="GOO22" s="88"/>
      <c r="GOP22" s="90"/>
      <c r="GOQ22" s="148"/>
      <c r="GOR22" s="88"/>
      <c r="GOS22" s="88"/>
      <c r="GOT22" s="90"/>
      <c r="GOU22" s="93"/>
      <c r="GOV22" s="88"/>
      <c r="GOW22" s="88"/>
      <c r="GOX22" s="91"/>
      <c r="GOY22" s="93"/>
      <c r="GOZ22" s="93"/>
      <c r="GPA22" s="88"/>
      <c r="GPB22" s="88"/>
      <c r="GPC22" s="90"/>
      <c r="GPD22" s="148"/>
      <c r="GPE22" s="88"/>
      <c r="GPF22" s="88"/>
      <c r="GPG22" s="90"/>
      <c r="GPH22" s="93"/>
      <c r="GPI22" s="88"/>
      <c r="GPJ22" s="88"/>
      <c r="GPK22" s="91"/>
      <c r="GPL22" s="93"/>
      <c r="GPM22" s="93"/>
      <c r="GPN22" s="88"/>
      <c r="GPO22" s="88"/>
      <c r="GPP22" s="90"/>
      <c r="GPQ22" s="148"/>
      <c r="GPR22" s="88"/>
      <c r="GPS22" s="88"/>
      <c r="GPT22" s="90"/>
      <c r="GPU22" s="93"/>
      <c r="GPV22" s="88"/>
      <c r="GPW22" s="88"/>
      <c r="GPX22" s="91"/>
      <c r="GPY22" s="93"/>
      <c r="GPZ22" s="93"/>
      <c r="GQA22" s="88"/>
      <c r="GQB22" s="88"/>
      <c r="GQC22" s="90"/>
      <c r="GQD22" s="148"/>
      <c r="GQE22" s="88"/>
      <c r="GQF22" s="88"/>
      <c r="GQG22" s="90"/>
      <c r="GQH22" s="93"/>
      <c r="GQI22" s="88"/>
      <c r="GQJ22" s="88"/>
      <c r="GQK22" s="91"/>
      <c r="GQL22" s="93"/>
      <c r="GQM22" s="93"/>
      <c r="GQN22" s="88"/>
      <c r="GQO22" s="88"/>
      <c r="GQP22" s="90"/>
      <c r="GQQ22" s="148"/>
      <c r="GQR22" s="88"/>
      <c r="GQS22" s="88"/>
      <c r="GQT22" s="90"/>
      <c r="GQU22" s="93"/>
      <c r="GQV22" s="88"/>
      <c r="GQW22" s="88"/>
      <c r="GQX22" s="91"/>
      <c r="GQY22" s="93"/>
      <c r="GQZ22" s="93"/>
      <c r="GRA22" s="88"/>
      <c r="GRB22" s="88"/>
      <c r="GRC22" s="90"/>
      <c r="GRD22" s="148"/>
      <c r="GRE22" s="88"/>
      <c r="GRF22" s="88"/>
      <c r="GRG22" s="90"/>
      <c r="GRH22" s="93"/>
      <c r="GRI22" s="88"/>
      <c r="GRJ22" s="88"/>
      <c r="GRK22" s="91"/>
      <c r="GRL22" s="93"/>
      <c r="GRM22" s="93"/>
      <c r="GRN22" s="88"/>
      <c r="GRO22" s="88"/>
      <c r="GRP22" s="90"/>
      <c r="GRQ22" s="148"/>
      <c r="GRR22" s="88"/>
      <c r="GRS22" s="88"/>
      <c r="GRT22" s="90"/>
      <c r="GRU22" s="93"/>
      <c r="GRV22" s="88"/>
      <c r="GRW22" s="88"/>
      <c r="GRX22" s="91"/>
      <c r="GRY22" s="93"/>
      <c r="GRZ22" s="93"/>
      <c r="GSA22" s="88"/>
      <c r="GSB22" s="88"/>
      <c r="GSC22" s="90"/>
      <c r="GSD22" s="148"/>
      <c r="GSE22" s="88"/>
      <c r="GSF22" s="88"/>
      <c r="GSG22" s="90"/>
      <c r="GSH22" s="93"/>
      <c r="GSI22" s="88"/>
      <c r="GSJ22" s="88"/>
      <c r="GSK22" s="91"/>
      <c r="GSL22" s="93"/>
      <c r="GSM22" s="93"/>
      <c r="GSN22" s="88"/>
      <c r="GSO22" s="88"/>
      <c r="GSP22" s="90"/>
      <c r="GSQ22" s="148"/>
      <c r="GSR22" s="88"/>
      <c r="GSS22" s="88"/>
      <c r="GST22" s="90"/>
      <c r="GSU22" s="93"/>
      <c r="GSV22" s="88"/>
      <c r="GSW22" s="88"/>
      <c r="GSX22" s="91"/>
      <c r="GSY22" s="93"/>
      <c r="GSZ22" s="93"/>
      <c r="GTA22" s="88"/>
      <c r="GTB22" s="88"/>
      <c r="GTC22" s="90"/>
      <c r="GTD22" s="148"/>
      <c r="GTE22" s="88"/>
      <c r="GTF22" s="88"/>
      <c r="GTG22" s="90"/>
      <c r="GTH22" s="93"/>
      <c r="GTI22" s="88"/>
      <c r="GTJ22" s="88"/>
      <c r="GTK22" s="91"/>
      <c r="GTL22" s="93"/>
      <c r="GTM22" s="93"/>
      <c r="GTN22" s="88"/>
      <c r="GTO22" s="88"/>
      <c r="GTP22" s="90"/>
      <c r="GTQ22" s="148"/>
      <c r="GTR22" s="88"/>
      <c r="GTS22" s="88"/>
      <c r="GTT22" s="90"/>
      <c r="GTU22" s="93"/>
      <c r="GTV22" s="88"/>
      <c r="GTW22" s="88"/>
      <c r="GTX22" s="91"/>
      <c r="GTY22" s="93"/>
      <c r="GTZ22" s="93"/>
      <c r="GUA22" s="88"/>
      <c r="GUB22" s="88"/>
      <c r="GUC22" s="90"/>
      <c r="GUD22" s="148"/>
      <c r="GUE22" s="88"/>
      <c r="GUF22" s="88"/>
      <c r="GUG22" s="90"/>
      <c r="GUH22" s="93"/>
      <c r="GUI22" s="88"/>
      <c r="GUJ22" s="88"/>
      <c r="GUK22" s="91"/>
      <c r="GUL22" s="93"/>
      <c r="GUM22" s="93"/>
      <c r="GUN22" s="88"/>
      <c r="GUO22" s="88"/>
      <c r="GUP22" s="90"/>
      <c r="GUQ22" s="148"/>
      <c r="GUR22" s="88"/>
      <c r="GUS22" s="88"/>
      <c r="GUT22" s="90"/>
      <c r="GUU22" s="93"/>
      <c r="GUV22" s="88"/>
      <c r="GUW22" s="88"/>
      <c r="GUX22" s="91"/>
      <c r="GUY22" s="93"/>
      <c r="GUZ22" s="93"/>
      <c r="GVA22" s="88"/>
      <c r="GVB22" s="88"/>
      <c r="GVC22" s="90"/>
      <c r="GVD22" s="148"/>
      <c r="GVE22" s="88"/>
      <c r="GVF22" s="88"/>
      <c r="GVG22" s="90"/>
      <c r="GVH22" s="93"/>
      <c r="GVI22" s="88"/>
      <c r="GVJ22" s="88"/>
      <c r="GVK22" s="91"/>
      <c r="GVL22" s="93"/>
      <c r="GVM22" s="93"/>
      <c r="GVN22" s="88"/>
      <c r="GVO22" s="88"/>
      <c r="GVP22" s="90"/>
      <c r="GVQ22" s="148"/>
      <c r="GVR22" s="88"/>
      <c r="GVS22" s="88"/>
      <c r="GVT22" s="90"/>
      <c r="GVU22" s="93"/>
      <c r="GVV22" s="88"/>
      <c r="GVW22" s="88"/>
      <c r="GVX22" s="91"/>
      <c r="GVY22" s="93"/>
      <c r="GVZ22" s="93"/>
      <c r="GWA22" s="88"/>
      <c r="GWB22" s="88"/>
      <c r="GWC22" s="90"/>
      <c r="GWD22" s="148"/>
      <c r="GWE22" s="88"/>
      <c r="GWF22" s="88"/>
      <c r="GWG22" s="90"/>
      <c r="GWH22" s="93"/>
      <c r="GWI22" s="88"/>
      <c r="GWJ22" s="88"/>
      <c r="GWK22" s="91"/>
      <c r="GWL22" s="93"/>
      <c r="GWM22" s="93"/>
      <c r="GWN22" s="88"/>
      <c r="GWO22" s="88"/>
      <c r="GWP22" s="90"/>
      <c r="GWQ22" s="148"/>
      <c r="GWR22" s="88"/>
      <c r="GWS22" s="88"/>
      <c r="GWT22" s="90"/>
      <c r="GWU22" s="93"/>
      <c r="GWV22" s="88"/>
      <c r="GWW22" s="88"/>
      <c r="GWX22" s="91"/>
      <c r="GWY22" s="93"/>
      <c r="GWZ22" s="93"/>
      <c r="GXA22" s="88"/>
      <c r="GXB22" s="88"/>
      <c r="GXC22" s="90"/>
      <c r="GXD22" s="148"/>
      <c r="GXE22" s="88"/>
      <c r="GXF22" s="88"/>
      <c r="GXG22" s="90"/>
      <c r="GXH22" s="93"/>
      <c r="GXI22" s="88"/>
      <c r="GXJ22" s="88"/>
      <c r="GXK22" s="91"/>
      <c r="GXL22" s="93"/>
      <c r="GXM22" s="93"/>
      <c r="GXN22" s="88"/>
      <c r="GXO22" s="88"/>
      <c r="GXP22" s="90"/>
      <c r="GXQ22" s="148"/>
      <c r="GXR22" s="88"/>
      <c r="GXS22" s="88"/>
      <c r="GXT22" s="90"/>
      <c r="GXU22" s="93"/>
      <c r="GXV22" s="88"/>
      <c r="GXW22" s="88"/>
      <c r="GXX22" s="91"/>
      <c r="GXY22" s="93"/>
      <c r="GXZ22" s="93"/>
      <c r="GYA22" s="88"/>
      <c r="GYB22" s="88"/>
      <c r="GYC22" s="90"/>
      <c r="GYD22" s="148"/>
      <c r="GYE22" s="88"/>
      <c r="GYF22" s="88"/>
      <c r="GYG22" s="90"/>
      <c r="GYH22" s="93"/>
      <c r="GYI22" s="88"/>
      <c r="GYJ22" s="88"/>
      <c r="GYK22" s="91"/>
      <c r="GYL22" s="93"/>
      <c r="GYM22" s="93"/>
      <c r="GYN22" s="88"/>
      <c r="GYO22" s="88"/>
      <c r="GYP22" s="90"/>
      <c r="GYQ22" s="148"/>
      <c r="GYR22" s="88"/>
      <c r="GYS22" s="88"/>
      <c r="GYT22" s="90"/>
      <c r="GYU22" s="93"/>
      <c r="GYV22" s="88"/>
      <c r="GYW22" s="88"/>
      <c r="GYX22" s="91"/>
      <c r="GYY22" s="93"/>
      <c r="GYZ22" s="93"/>
      <c r="GZA22" s="88"/>
      <c r="GZB22" s="88"/>
      <c r="GZC22" s="90"/>
      <c r="GZD22" s="148"/>
      <c r="GZE22" s="88"/>
      <c r="GZF22" s="88"/>
      <c r="GZG22" s="90"/>
      <c r="GZH22" s="93"/>
      <c r="GZI22" s="88"/>
      <c r="GZJ22" s="88"/>
      <c r="GZK22" s="91"/>
      <c r="GZL22" s="93"/>
      <c r="GZM22" s="93"/>
      <c r="GZN22" s="88"/>
      <c r="GZO22" s="88"/>
      <c r="GZP22" s="90"/>
      <c r="GZQ22" s="148"/>
      <c r="GZR22" s="88"/>
      <c r="GZS22" s="88"/>
      <c r="GZT22" s="90"/>
      <c r="GZU22" s="93"/>
      <c r="GZV22" s="88"/>
      <c r="GZW22" s="88"/>
      <c r="GZX22" s="91"/>
      <c r="GZY22" s="93"/>
      <c r="GZZ22" s="93"/>
      <c r="HAA22" s="88"/>
      <c r="HAB22" s="88"/>
      <c r="HAC22" s="90"/>
      <c r="HAD22" s="148"/>
      <c r="HAE22" s="88"/>
      <c r="HAF22" s="88"/>
      <c r="HAG22" s="90"/>
      <c r="HAH22" s="93"/>
      <c r="HAI22" s="88"/>
      <c r="HAJ22" s="88"/>
      <c r="HAK22" s="91"/>
      <c r="HAL22" s="93"/>
      <c r="HAM22" s="93"/>
      <c r="HAN22" s="88"/>
      <c r="HAO22" s="88"/>
      <c r="HAP22" s="90"/>
      <c r="HAQ22" s="148"/>
      <c r="HAR22" s="88"/>
      <c r="HAS22" s="88"/>
      <c r="HAT22" s="90"/>
      <c r="HAU22" s="93"/>
      <c r="HAV22" s="88"/>
      <c r="HAW22" s="88"/>
      <c r="HAX22" s="91"/>
      <c r="HAY22" s="93"/>
      <c r="HAZ22" s="93"/>
      <c r="HBA22" s="88"/>
      <c r="HBB22" s="88"/>
      <c r="HBC22" s="90"/>
      <c r="HBD22" s="148"/>
      <c r="HBE22" s="88"/>
      <c r="HBF22" s="88"/>
      <c r="HBG22" s="90"/>
      <c r="HBH22" s="93"/>
      <c r="HBI22" s="88"/>
      <c r="HBJ22" s="88"/>
      <c r="HBK22" s="91"/>
      <c r="HBL22" s="93"/>
      <c r="HBM22" s="93"/>
      <c r="HBN22" s="88"/>
      <c r="HBO22" s="88"/>
      <c r="HBP22" s="90"/>
      <c r="HBQ22" s="148"/>
      <c r="HBR22" s="88"/>
      <c r="HBS22" s="88"/>
      <c r="HBT22" s="90"/>
      <c r="HBU22" s="93"/>
      <c r="HBV22" s="88"/>
      <c r="HBW22" s="88"/>
      <c r="HBX22" s="91"/>
      <c r="HBY22" s="93"/>
      <c r="HBZ22" s="93"/>
      <c r="HCA22" s="88"/>
      <c r="HCB22" s="88"/>
      <c r="HCC22" s="90"/>
      <c r="HCD22" s="148"/>
      <c r="HCE22" s="88"/>
      <c r="HCF22" s="88"/>
      <c r="HCG22" s="90"/>
      <c r="HCH22" s="93"/>
      <c r="HCI22" s="88"/>
      <c r="HCJ22" s="88"/>
      <c r="HCK22" s="91"/>
      <c r="HCL22" s="93"/>
      <c r="HCM22" s="93"/>
      <c r="HCN22" s="88"/>
      <c r="HCO22" s="88"/>
      <c r="HCP22" s="90"/>
      <c r="HCQ22" s="148"/>
      <c r="HCR22" s="88"/>
      <c r="HCS22" s="88"/>
      <c r="HCT22" s="90"/>
      <c r="HCU22" s="93"/>
      <c r="HCV22" s="88"/>
      <c r="HCW22" s="88"/>
      <c r="HCX22" s="91"/>
      <c r="HCY22" s="93"/>
      <c r="HCZ22" s="93"/>
      <c r="HDA22" s="88"/>
      <c r="HDB22" s="88"/>
      <c r="HDC22" s="90"/>
      <c r="HDD22" s="148"/>
      <c r="HDE22" s="88"/>
      <c r="HDF22" s="88"/>
      <c r="HDG22" s="90"/>
      <c r="HDH22" s="93"/>
      <c r="HDI22" s="88"/>
      <c r="HDJ22" s="88"/>
      <c r="HDK22" s="91"/>
      <c r="HDL22" s="93"/>
      <c r="HDM22" s="93"/>
      <c r="HDN22" s="88"/>
      <c r="HDO22" s="88"/>
      <c r="HDP22" s="90"/>
      <c r="HDQ22" s="148"/>
      <c r="HDR22" s="88"/>
      <c r="HDS22" s="88"/>
      <c r="HDT22" s="90"/>
      <c r="HDU22" s="93"/>
      <c r="HDV22" s="88"/>
      <c r="HDW22" s="88"/>
      <c r="HDX22" s="91"/>
      <c r="HDY22" s="93"/>
      <c r="HDZ22" s="93"/>
      <c r="HEA22" s="88"/>
      <c r="HEB22" s="88"/>
      <c r="HEC22" s="90"/>
      <c r="HED22" s="148"/>
      <c r="HEE22" s="88"/>
      <c r="HEF22" s="88"/>
      <c r="HEG22" s="90"/>
      <c r="HEH22" s="93"/>
      <c r="HEI22" s="88"/>
      <c r="HEJ22" s="88"/>
      <c r="HEK22" s="91"/>
      <c r="HEL22" s="93"/>
      <c r="HEM22" s="93"/>
      <c r="HEN22" s="88"/>
      <c r="HEO22" s="88"/>
      <c r="HEP22" s="90"/>
      <c r="HEQ22" s="148"/>
      <c r="HER22" s="88"/>
      <c r="HES22" s="88"/>
      <c r="HET22" s="90"/>
      <c r="HEU22" s="93"/>
      <c r="HEV22" s="88"/>
      <c r="HEW22" s="88"/>
      <c r="HEX22" s="91"/>
      <c r="HEY22" s="93"/>
      <c r="HEZ22" s="93"/>
      <c r="HFA22" s="88"/>
      <c r="HFB22" s="88"/>
      <c r="HFC22" s="90"/>
      <c r="HFD22" s="148"/>
      <c r="HFE22" s="88"/>
      <c r="HFF22" s="88"/>
      <c r="HFG22" s="90"/>
      <c r="HFH22" s="93"/>
      <c r="HFI22" s="88"/>
      <c r="HFJ22" s="88"/>
      <c r="HFK22" s="91"/>
      <c r="HFL22" s="93"/>
      <c r="HFM22" s="93"/>
      <c r="HFN22" s="88"/>
      <c r="HFO22" s="88"/>
      <c r="HFP22" s="90"/>
      <c r="HFQ22" s="148"/>
      <c r="HFR22" s="88"/>
      <c r="HFS22" s="88"/>
      <c r="HFT22" s="90"/>
      <c r="HFU22" s="93"/>
      <c r="HFV22" s="88"/>
      <c r="HFW22" s="88"/>
      <c r="HFX22" s="91"/>
      <c r="HFY22" s="93"/>
      <c r="HFZ22" s="93"/>
      <c r="HGA22" s="88"/>
      <c r="HGB22" s="88"/>
      <c r="HGC22" s="90"/>
      <c r="HGD22" s="148"/>
      <c r="HGE22" s="88"/>
      <c r="HGF22" s="88"/>
      <c r="HGG22" s="90"/>
      <c r="HGH22" s="93"/>
      <c r="HGI22" s="88"/>
      <c r="HGJ22" s="88"/>
      <c r="HGK22" s="91"/>
      <c r="HGL22" s="93"/>
      <c r="HGM22" s="93"/>
      <c r="HGN22" s="88"/>
      <c r="HGO22" s="88"/>
      <c r="HGP22" s="90"/>
      <c r="HGQ22" s="148"/>
      <c r="HGR22" s="88"/>
      <c r="HGS22" s="88"/>
      <c r="HGT22" s="90"/>
      <c r="HGU22" s="93"/>
      <c r="HGV22" s="88"/>
      <c r="HGW22" s="88"/>
      <c r="HGX22" s="91"/>
      <c r="HGY22" s="93"/>
      <c r="HGZ22" s="93"/>
      <c r="HHA22" s="88"/>
      <c r="HHB22" s="88"/>
      <c r="HHC22" s="90"/>
      <c r="HHD22" s="148"/>
      <c r="HHE22" s="88"/>
      <c r="HHF22" s="88"/>
      <c r="HHG22" s="90"/>
      <c r="HHH22" s="93"/>
      <c r="HHI22" s="88"/>
      <c r="HHJ22" s="88"/>
      <c r="HHK22" s="91"/>
      <c r="HHL22" s="93"/>
      <c r="HHM22" s="93"/>
      <c r="HHN22" s="88"/>
      <c r="HHO22" s="88"/>
      <c r="HHP22" s="90"/>
      <c r="HHQ22" s="148"/>
      <c r="HHR22" s="88"/>
      <c r="HHS22" s="88"/>
      <c r="HHT22" s="90"/>
      <c r="HHU22" s="93"/>
      <c r="HHV22" s="88"/>
      <c r="HHW22" s="88"/>
      <c r="HHX22" s="91"/>
      <c r="HHY22" s="93"/>
      <c r="HHZ22" s="93"/>
      <c r="HIA22" s="88"/>
      <c r="HIB22" s="88"/>
      <c r="HIC22" s="90"/>
      <c r="HID22" s="148"/>
      <c r="HIE22" s="88"/>
      <c r="HIF22" s="88"/>
      <c r="HIG22" s="90"/>
      <c r="HIH22" s="93"/>
      <c r="HII22" s="88"/>
      <c r="HIJ22" s="88"/>
      <c r="HIK22" s="91"/>
      <c r="HIL22" s="93"/>
      <c r="HIM22" s="93"/>
      <c r="HIN22" s="88"/>
      <c r="HIO22" s="88"/>
      <c r="HIP22" s="90"/>
      <c r="HIQ22" s="148"/>
      <c r="HIR22" s="88"/>
      <c r="HIS22" s="88"/>
      <c r="HIT22" s="90"/>
      <c r="HIU22" s="93"/>
      <c r="HIV22" s="88"/>
      <c r="HIW22" s="88"/>
      <c r="HIX22" s="91"/>
      <c r="HIY22" s="93"/>
      <c r="HIZ22" s="93"/>
      <c r="HJA22" s="88"/>
      <c r="HJB22" s="88"/>
      <c r="HJC22" s="90"/>
      <c r="HJD22" s="148"/>
      <c r="HJE22" s="88"/>
      <c r="HJF22" s="88"/>
      <c r="HJG22" s="90"/>
      <c r="HJH22" s="93"/>
      <c r="HJI22" s="88"/>
      <c r="HJJ22" s="88"/>
      <c r="HJK22" s="91"/>
      <c r="HJL22" s="93"/>
      <c r="HJM22" s="93"/>
      <c r="HJN22" s="88"/>
      <c r="HJO22" s="88"/>
      <c r="HJP22" s="90"/>
      <c r="HJQ22" s="148"/>
      <c r="HJR22" s="88"/>
      <c r="HJS22" s="88"/>
      <c r="HJT22" s="90"/>
      <c r="HJU22" s="93"/>
      <c r="HJV22" s="88"/>
      <c r="HJW22" s="88"/>
      <c r="HJX22" s="91"/>
      <c r="HJY22" s="93"/>
      <c r="HJZ22" s="93"/>
      <c r="HKA22" s="88"/>
      <c r="HKB22" s="88"/>
      <c r="HKC22" s="90"/>
      <c r="HKD22" s="148"/>
      <c r="HKE22" s="88"/>
      <c r="HKF22" s="88"/>
      <c r="HKG22" s="90"/>
      <c r="HKH22" s="93"/>
      <c r="HKI22" s="88"/>
      <c r="HKJ22" s="88"/>
      <c r="HKK22" s="91"/>
      <c r="HKL22" s="93"/>
      <c r="HKM22" s="93"/>
      <c r="HKN22" s="88"/>
      <c r="HKO22" s="88"/>
      <c r="HKP22" s="90"/>
      <c r="HKQ22" s="148"/>
      <c r="HKR22" s="88"/>
      <c r="HKS22" s="88"/>
      <c r="HKT22" s="90"/>
      <c r="HKU22" s="93"/>
      <c r="HKV22" s="88"/>
      <c r="HKW22" s="88"/>
      <c r="HKX22" s="91"/>
      <c r="HKY22" s="93"/>
      <c r="HKZ22" s="93"/>
      <c r="HLA22" s="88"/>
      <c r="HLB22" s="88"/>
      <c r="HLC22" s="90"/>
      <c r="HLD22" s="148"/>
      <c r="HLE22" s="88"/>
      <c r="HLF22" s="88"/>
      <c r="HLG22" s="90"/>
      <c r="HLH22" s="93"/>
      <c r="HLI22" s="88"/>
      <c r="HLJ22" s="88"/>
      <c r="HLK22" s="91"/>
      <c r="HLL22" s="93"/>
      <c r="HLM22" s="93"/>
      <c r="HLN22" s="88"/>
      <c r="HLO22" s="88"/>
      <c r="HLP22" s="90"/>
      <c r="HLQ22" s="148"/>
      <c r="HLR22" s="88"/>
      <c r="HLS22" s="88"/>
      <c r="HLT22" s="90"/>
      <c r="HLU22" s="93"/>
      <c r="HLV22" s="88"/>
      <c r="HLW22" s="88"/>
      <c r="HLX22" s="91"/>
      <c r="HLY22" s="93"/>
      <c r="HLZ22" s="93"/>
      <c r="HMA22" s="88"/>
      <c r="HMB22" s="88"/>
      <c r="HMC22" s="90"/>
      <c r="HMD22" s="148"/>
      <c r="HME22" s="88"/>
      <c r="HMF22" s="88"/>
      <c r="HMG22" s="90"/>
      <c r="HMH22" s="93"/>
      <c r="HMI22" s="88"/>
      <c r="HMJ22" s="88"/>
      <c r="HMK22" s="91"/>
      <c r="HML22" s="93"/>
      <c r="HMM22" s="93"/>
      <c r="HMN22" s="88"/>
      <c r="HMO22" s="88"/>
      <c r="HMP22" s="90"/>
      <c r="HMQ22" s="148"/>
      <c r="HMR22" s="88"/>
      <c r="HMS22" s="88"/>
      <c r="HMT22" s="90"/>
      <c r="HMU22" s="93"/>
      <c r="HMV22" s="88"/>
      <c r="HMW22" s="88"/>
      <c r="HMX22" s="91"/>
      <c r="HMY22" s="93"/>
      <c r="HMZ22" s="93"/>
      <c r="HNA22" s="88"/>
      <c r="HNB22" s="88"/>
      <c r="HNC22" s="90"/>
      <c r="HND22" s="148"/>
      <c r="HNE22" s="88"/>
      <c r="HNF22" s="88"/>
      <c r="HNG22" s="90"/>
      <c r="HNH22" s="93"/>
      <c r="HNI22" s="88"/>
      <c r="HNJ22" s="88"/>
      <c r="HNK22" s="91"/>
      <c r="HNL22" s="93"/>
      <c r="HNM22" s="93"/>
      <c r="HNN22" s="88"/>
      <c r="HNO22" s="88"/>
      <c r="HNP22" s="90"/>
      <c r="HNQ22" s="148"/>
      <c r="HNR22" s="88"/>
      <c r="HNS22" s="88"/>
      <c r="HNT22" s="90"/>
      <c r="HNU22" s="93"/>
      <c r="HNV22" s="88"/>
      <c r="HNW22" s="88"/>
      <c r="HNX22" s="91"/>
      <c r="HNY22" s="93"/>
      <c r="HNZ22" s="93"/>
      <c r="HOA22" s="88"/>
      <c r="HOB22" s="88"/>
      <c r="HOC22" s="90"/>
      <c r="HOD22" s="148"/>
      <c r="HOE22" s="88"/>
      <c r="HOF22" s="88"/>
      <c r="HOG22" s="90"/>
      <c r="HOH22" s="93"/>
      <c r="HOI22" s="88"/>
      <c r="HOJ22" s="88"/>
      <c r="HOK22" s="91"/>
      <c r="HOL22" s="93"/>
      <c r="HOM22" s="93"/>
      <c r="HON22" s="88"/>
      <c r="HOO22" s="88"/>
      <c r="HOP22" s="90"/>
      <c r="HOQ22" s="148"/>
      <c r="HOR22" s="88"/>
      <c r="HOS22" s="88"/>
      <c r="HOT22" s="90"/>
      <c r="HOU22" s="93"/>
      <c r="HOV22" s="88"/>
      <c r="HOW22" s="88"/>
      <c r="HOX22" s="91"/>
      <c r="HOY22" s="93"/>
      <c r="HOZ22" s="93"/>
      <c r="HPA22" s="88"/>
      <c r="HPB22" s="88"/>
      <c r="HPC22" s="90"/>
      <c r="HPD22" s="148"/>
      <c r="HPE22" s="88"/>
      <c r="HPF22" s="88"/>
      <c r="HPG22" s="90"/>
      <c r="HPH22" s="93"/>
      <c r="HPI22" s="88"/>
      <c r="HPJ22" s="88"/>
      <c r="HPK22" s="91"/>
      <c r="HPL22" s="93"/>
      <c r="HPM22" s="93"/>
      <c r="HPN22" s="88"/>
      <c r="HPO22" s="88"/>
      <c r="HPP22" s="90"/>
      <c r="HPQ22" s="148"/>
      <c r="HPR22" s="88"/>
      <c r="HPS22" s="88"/>
      <c r="HPT22" s="90"/>
      <c r="HPU22" s="93"/>
      <c r="HPV22" s="88"/>
      <c r="HPW22" s="88"/>
      <c r="HPX22" s="91"/>
      <c r="HPY22" s="93"/>
      <c r="HPZ22" s="93"/>
      <c r="HQA22" s="88"/>
      <c r="HQB22" s="88"/>
      <c r="HQC22" s="90"/>
      <c r="HQD22" s="148"/>
      <c r="HQE22" s="88"/>
      <c r="HQF22" s="88"/>
      <c r="HQG22" s="90"/>
      <c r="HQH22" s="93"/>
      <c r="HQI22" s="88"/>
      <c r="HQJ22" s="88"/>
      <c r="HQK22" s="91"/>
      <c r="HQL22" s="93"/>
      <c r="HQM22" s="93"/>
      <c r="HQN22" s="88"/>
      <c r="HQO22" s="88"/>
      <c r="HQP22" s="90"/>
      <c r="HQQ22" s="148"/>
      <c r="HQR22" s="88"/>
      <c r="HQS22" s="88"/>
      <c r="HQT22" s="90"/>
      <c r="HQU22" s="93"/>
      <c r="HQV22" s="88"/>
      <c r="HQW22" s="88"/>
      <c r="HQX22" s="91"/>
      <c r="HQY22" s="93"/>
      <c r="HQZ22" s="93"/>
      <c r="HRA22" s="88"/>
      <c r="HRB22" s="88"/>
      <c r="HRC22" s="90"/>
      <c r="HRD22" s="148"/>
      <c r="HRE22" s="88"/>
      <c r="HRF22" s="88"/>
      <c r="HRG22" s="90"/>
      <c r="HRH22" s="93"/>
      <c r="HRI22" s="88"/>
      <c r="HRJ22" s="88"/>
      <c r="HRK22" s="91"/>
      <c r="HRL22" s="93"/>
      <c r="HRM22" s="93"/>
      <c r="HRN22" s="88"/>
      <c r="HRO22" s="88"/>
      <c r="HRP22" s="90"/>
      <c r="HRQ22" s="148"/>
      <c r="HRR22" s="88"/>
      <c r="HRS22" s="88"/>
      <c r="HRT22" s="90"/>
      <c r="HRU22" s="93"/>
      <c r="HRV22" s="88"/>
      <c r="HRW22" s="88"/>
      <c r="HRX22" s="91"/>
      <c r="HRY22" s="93"/>
      <c r="HRZ22" s="93"/>
      <c r="HSA22" s="88"/>
      <c r="HSB22" s="88"/>
      <c r="HSC22" s="90"/>
      <c r="HSD22" s="148"/>
      <c r="HSE22" s="88"/>
      <c r="HSF22" s="88"/>
      <c r="HSG22" s="90"/>
      <c r="HSH22" s="93"/>
      <c r="HSI22" s="88"/>
      <c r="HSJ22" s="88"/>
      <c r="HSK22" s="91"/>
      <c r="HSL22" s="93"/>
      <c r="HSM22" s="93"/>
      <c r="HSN22" s="88"/>
      <c r="HSO22" s="88"/>
      <c r="HSP22" s="90"/>
      <c r="HSQ22" s="148"/>
      <c r="HSR22" s="88"/>
      <c r="HSS22" s="88"/>
      <c r="HST22" s="90"/>
      <c r="HSU22" s="93"/>
      <c r="HSV22" s="88"/>
      <c r="HSW22" s="88"/>
      <c r="HSX22" s="91"/>
      <c r="HSY22" s="93"/>
      <c r="HSZ22" s="93"/>
      <c r="HTA22" s="88"/>
      <c r="HTB22" s="88"/>
      <c r="HTC22" s="90"/>
      <c r="HTD22" s="148"/>
      <c r="HTE22" s="88"/>
      <c r="HTF22" s="88"/>
      <c r="HTG22" s="90"/>
      <c r="HTH22" s="93"/>
      <c r="HTI22" s="88"/>
      <c r="HTJ22" s="88"/>
      <c r="HTK22" s="91"/>
      <c r="HTL22" s="93"/>
      <c r="HTM22" s="93"/>
      <c r="HTN22" s="88"/>
      <c r="HTO22" s="88"/>
      <c r="HTP22" s="90"/>
      <c r="HTQ22" s="148"/>
      <c r="HTR22" s="88"/>
      <c r="HTS22" s="88"/>
      <c r="HTT22" s="90"/>
      <c r="HTU22" s="93"/>
      <c r="HTV22" s="88"/>
      <c r="HTW22" s="88"/>
      <c r="HTX22" s="91"/>
      <c r="HTY22" s="93"/>
      <c r="HTZ22" s="93"/>
      <c r="HUA22" s="88"/>
      <c r="HUB22" s="88"/>
      <c r="HUC22" s="90"/>
      <c r="HUD22" s="148"/>
      <c r="HUE22" s="88"/>
      <c r="HUF22" s="88"/>
      <c r="HUG22" s="90"/>
      <c r="HUH22" s="93"/>
      <c r="HUI22" s="88"/>
      <c r="HUJ22" s="88"/>
      <c r="HUK22" s="91"/>
      <c r="HUL22" s="93"/>
      <c r="HUM22" s="93"/>
      <c r="HUN22" s="88"/>
      <c r="HUO22" s="88"/>
      <c r="HUP22" s="90"/>
      <c r="HUQ22" s="148"/>
      <c r="HUR22" s="88"/>
      <c r="HUS22" s="88"/>
      <c r="HUT22" s="90"/>
      <c r="HUU22" s="93"/>
      <c r="HUV22" s="88"/>
      <c r="HUW22" s="88"/>
      <c r="HUX22" s="91"/>
      <c r="HUY22" s="93"/>
      <c r="HUZ22" s="93"/>
      <c r="HVA22" s="88"/>
      <c r="HVB22" s="88"/>
      <c r="HVC22" s="90"/>
      <c r="HVD22" s="148"/>
      <c r="HVE22" s="88"/>
      <c r="HVF22" s="88"/>
      <c r="HVG22" s="90"/>
      <c r="HVH22" s="93"/>
      <c r="HVI22" s="88"/>
      <c r="HVJ22" s="88"/>
      <c r="HVK22" s="91"/>
      <c r="HVL22" s="93"/>
      <c r="HVM22" s="93"/>
      <c r="HVN22" s="88"/>
      <c r="HVO22" s="88"/>
      <c r="HVP22" s="90"/>
      <c r="HVQ22" s="148"/>
      <c r="HVR22" s="88"/>
      <c r="HVS22" s="88"/>
      <c r="HVT22" s="90"/>
      <c r="HVU22" s="93"/>
      <c r="HVV22" s="88"/>
      <c r="HVW22" s="88"/>
      <c r="HVX22" s="91"/>
      <c r="HVY22" s="93"/>
      <c r="HVZ22" s="93"/>
      <c r="HWA22" s="88"/>
      <c r="HWB22" s="88"/>
      <c r="HWC22" s="90"/>
      <c r="HWD22" s="148"/>
      <c r="HWE22" s="88"/>
      <c r="HWF22" s="88"/>
      <c r="HWG22" s="90"/>
      <c r="HWH22" s="93"/>
      <c r="HWI22" s="88"/>
      <c r="HWJ22" s="88"/>
      <c r="HWK22" s="91"/>
      <c r="HWL22" s="93"/>
      <c r="HWM22" s="93"/>
      <c r="HWN22" s="88"/>
      <c r="HWO22" s="88"/>
      <c r="HWP22" s="90"/>
      <c r="HWQ22" s="148"/>
      <c r="HWR22" s="88"/>
      <c r="HWS22" s="88"/>
      <c r="HWT22" s="90"/>
      <c r="HWU22" s="93"/>
      <c r="HWV22" s="88"/>
      <c r="HWW22" s="88"/>
      <c r="HWX22" s="91"/>
      <c r="HWY22" s="93"/>
      <c r="HWZ22" s="93"/>
      <c r="HXA22" s="88"/>
      <c r="HXB22" s="88"/>
      <c r="HXC22" s="90"/>
      <c r="HXD22" s="148"/>
      <c r="HXE22" s="88"/>
      <c r="HXF22" s="88"/>
      <c r="HXG22" s="90"/>
      <c r="HXH22" s="93"/>
      <c r="HXI22" s="88"/>
      <c r="HXJ22" s="88"/>
      <c r="HXK22" s="91"/>
      <c r="HXL22" s="93"/>
      <c r="HXM22" s="93"/>
      <c r="HXN22" s="88"/>
      <c r="HXO22" s="88"/>
      <c r="HXP22" s="90"/>
      <c r="HXQ22" s="148"/>
      <c r="HXR22" s="88"/>
      <c r="HXS22" s="88"/>
      <c r="HXT22" s="90"/>
      <c r="HXU22" s="93"/>
      <c r="HXV22" s="88"/>
      <c r="HXW22" s="88"/>
      <c r="HXX22" s="91"/>
      <c r="HXY22" s="93"/>
      <c r="HXZ22" s="93"/>
      <c r="HYA22" s="88"/>
      <c r="HYB22" s="88"/>
      <c r="HYC22" s="90"/>
      <c r="HYD22" s="148"/>
      <c r="HYE22" s="88"/>
      <c r="HYF22" s="88"/>
      <c r="HYG22" s="90"/>
      <c r="HYH22" s="93"/>
      <c r="HYI22" s="88"/>
      <c r="HYJ22" s="88"/>
      <c r="HYK22" s="91"/>
      <c r="HYL22" s="93"/>
      <c r="HYM22" s="93"/>
      <c r="HYN22" s="88"/>
      <c r="HYO22" s="88"/>
      <c r="HYP22" s="90"/>
      <c r="HYQ22" s="148"/>
      <c r="HYR22" s="88"/>
      <c r="HYS22" s="88"/>
      <c r="HYT22" s="90"/>
      <c r="HYU22" s="93"/>
      <c r="HYV22" s="88"/>
      <c r="HYW22" s="88"/>
      <c r="HYX22" s="91"/>
      <c r="HYY22" s="93"/>
      <c r="HYZ22" s="93"/>
      <c r="HZA22" s="88"/>
      <c r="HZB22" s="88"/>
      <c r="HZC22" s="90"/>
      <c r="HZD22" s="148"/>
      <c r="HZE22" s="88"/>
      <c r="HZF22" s="88"/>
      <c r="HZG22" s="90"/>
      <c r="HZH22" s="93"/>
      <c r="HZI22" s="88"/>
      <c r="HZJ22" s="88"/>
      <c r="HZK22" s="91"/>
      <c r="HZL22" s="93"/>
      <c r="HZM22" s="93"/>
      <c r="HZN22" s="88"/>
      <c r="HZO22" s="88"/>
      <c r="HZP22" s="90"/>
      <c r="HZQ22" s="148"/>
      <c r="HZR22" s="88"/>
      <c r="HZS22" s="88"/>
      <c r="HZT22" s="90"/>
      <c r="HZU22" s="93"/>
      <c r="HZV22" s="88"/>
      <c r="HZW22" s="88"/>
      <c r="HZX22" s="91"/>
      <c r="HZY22" s="93"/>
      <c r="HZZ22" s="93"/>
      <c r="IAA22" s="88"/>
      <c r="IAB22" s="88"/>
      <c r="IAC22" s="90"/>
      <c r="IAD22" s="148"/>
      <c r="IAE22" s="88"/>
      <c r="IAF22" s="88"/>
      <c r="IAG22" s="90"/>
      <c r="IAH22" s="93"/>
      <c r="IAI22" s="88"/>
      <c r="IAJ22" s="88"/>
      <c r="IAK22" s="91"/>
      <c r="IAL22" s="93"/>
      <c r="IAM22" s="93"/>
      <c r="IAN22" s="88"/>
      <c r="IAO22" s="88"/>
      <c r="IAP22" s="90"/>
      <c r="IAQ22" s="148"/>
      <c r="IAR22" s="88"/>
      <c r="IAS22" s="88"/>
      <c r="IAT22" s="90"/>
      <c r="IAU22" s="93"/>
      <c r="IAV22" s="88"/>
      <c r="IAW22" s="88"/>
      <c r="IAX22" s="91"/>
      <c r="IAY22" s="93"/>
      <c r="IAZ22" s="93"/>
      <c r="IBA22" s="88"/>
      <c r="IBB22" s="88"/>
      <c r="IBC22" s="90"/>
      <c r="IBD22" s="148"/>
      <c r="IBE22" s="88"/>
      <c r="IBF22" s="88"/>
      <c r="IBG22" s="90"/>
      <c r="IBH22" s="93"/>
      <c r="IBI22" s="88"/>
      <c r="IBJ22" s="88"/>
      <c r="IBK22" s="91"/>
      <c r="IBL22" s="93"/>
      <c r="IBM22" s="93"/>
      <c r="IBN22" s="88"/>
      <c r="IBO22" s="88"/>
      <c r="IBP22" s="90"/>
      <c r="IBQ22" s="148"/>
      <c r="IBR22" s="88"/>
      <c r="IBS22" s="88"/>
      <c r="IBT22" s="90"/>
      <c r="IBU22" s="93"/>
      <c r="IBV22" s="88"/>
      <c r="IBW22" s="88"/>
      <c r="IBX22" s="91"/>
      <c r="IBY22" s="93"/>
      <c r="IBZ22" s="93"/>
      <c r="ICA22" s="88"/>
      <c r="ICB22" s="88"/>
      <c r="ICC22" s="90"/>
      <c r="ICD22" s="148"/>
      <c r="ICE22" s="88"/>
      <c r="ICF22" s="88"/>
      <c r="ICG22" s="90"/>
      <c r="ICH22" s="93"/>
      <c r="ICI22" s="88"/>
      <c r="ICJ22" s="88"/>
      <c r="ICK22" s="91"/>
      <c r="ICL22" s="93"/>
      <c r="ICM22" s="93"/>
      <c r="ICN22" s="88"/>
      <c r="ICO22" s="88"/>
      <c r="ICP22" s="90"/>
      <c r="ICQ22" s="148"/>
      <c r="ICR22" s="88"/>
      <c r="ICS22" s="88"/>
      <c r="ICT22" s="90"/>
      <c r="ICU22" s="93"/>
      <c r="ICV22" s="88"/>
      <c r="ICW22" s="88"/>
      <c r="ICX22" s="91"/>
      <c r="ICY22" s="93"/>
      <c r="ICZ22" s="93"/>
      <c r="IDA22" s="88"/>
      <c r="IDB22" s="88"/>
      <c r="IDC22" s="90"/>
      <c r="IDD22" s="148"/>
      <c r="IDE22" s="88"/>
      <c r="IDF22" s="88"/>
      <c r="IDG22" s="90"/>
      <c r="IDH22" s="93"/>
      <c r="IDI22" s="88"/>
      <c r="IDJ22" s="88"/>
      <c r="IDK22" s="91"/>
      <c r="IDL22" s="93"/>
      <c r="IDM22" s="93"/>
      <c r="IDN22" s="88"/>
      <c r="IDO22" s="88"/>
      <c r="IDP22" s="90"/>
      <c r="IDQ22" s="148"/>
      <c r="IDR22" s="88"/>
      <c r="IDS22" s="88"/>
      <c r="IDT22" s="90"/>
      <c r="IDU22" s="93"/>
      <c r="IDV22" s="88"/>
      <c r="IDW22" s="88"/>
      <c r="IDX22" s="91"/>
      <c r="IDY22" s="93"/>
      <c r="IDZ22" s="93"/>
      <c r="IEA22" s="88"/>
      <c r="IEB22" s="88"/>
      <c r="IEC22" s="90"/>
      <c r="IED22" s="148"/>
      <c r="IEE22" s="88"/>
      <c r="IEF22" s="88"/>
      <c r="IEG22" s="90"/>
      <c r="IEH22" s="93"/>
      <c r="IEI22" s="88"/>
      <c r="IEJ22" s="88"/>
      <c r="IEK22" s="91"/>
      <c r="IEL22" s="93"/>
      <c r="IEM22" s="93"/>
      <c r="IEN22" s="88"/>
      <c r="IEO22" s="88"/>
      <c r="IEP22" s="90"/>
      <c r="IEQ22" s="148"/>
      <c r="IER22" s="88"/>
      <c r="IES22" s="88"/>
      <c r="IET22" s="90"/>
      <c r="IEU22" s="93"/>
      <c r="IEV22" s="88"/>
      <c r="IEW22" s="88"/>
      <c r="IEX22" s="91"/>
      <c r="IEY22" s="93"/>
      <c r="IEZ22" s="93"/>
      <c r="IFA22" s="88"/>
      <c r="IFB22" s="88"/>
      <c r="IFC22" s="90"/>
      <c r="IFD22" s="148"/>
      <c r="IFE22" s="88"/>
      <c r="IFF22" s="88"/>
      <c r="IFG22" s="90"/>
      <c r="IFH22" s="93"/>
      <c r="IFI22" s="88"/>
      <c r="IFJ22" s="88"/>
      <c r="IFK22" s="91"/>
      <c r="IFL22" s="93"/>
      <c r="IFM22" s="93"/>
      <c r="IFN22" s="88"/>
      <c r="IFO22" s="88"/>
      <c r="IFP22" s="90"/>
      <c r="IFQ22" s="148"/>
      <c r="IFR22" s="88"/>
      <c r="IFS22" s="88"/>
      <c r="IFT22" s="90"/>
      <c r="IFU22" s="93"/>
      <c r="IFV22" s="88"/>
      <c r="IFW22" s="88"/>
      <c r="IFX22" s="91"/>
      <c r="IFY22" s="93"/>
      <c r="IFZ22" s="93"/>
      <c r="IGA22" s="88"/>
      <c r="IGB22" s="88"/>
      <c r="IGC22" s="90"/>
      <c r="IGD22" s="148"/>
      <c r="IGE22" s="88"/>
      <c r="IGF22" s="88"/>
      <c r="IGG22" s="90"/>
      <c r="IGH22" s="93"/>
      <c r="IGI22" s="88"/>
      <c r="IGJ22" s="88"/>
      <c r="IGK22" s="91"/>
      <c r="IGL22" s="93"/>
      <c r="IGM22" s="93"/>
      <c r="IGN22" s="88"/>
      <c r="IGO22" s="88"/>
      <c r="IGP22" s="90"/>
      <c r="IGQ22" s="148"/>
      <c r="IGR22" s="88"/>
      <c r="IGS22" s="88"/>
      <c r="IGT22" s="90"/>
      <c r="IGU22" s="93"/>
      <c r="IGV22" s="88"/>
      <c r="IGW22" s="88"/>
      <c r="IGX22" s="91"/>
      <c r="IGY22" s="93"/>
      <c r="IGZ22" s="93"/>
      <c r="IHA22" s="88"/>
      <c r="IHB22" s="88"/>
      <c r="IHC22" s="90"/>
      <c r="IHD22" s="148"/>
      <c r="IHE22" s="88"/>
      <c r="IHF22" s="88"/>
      <c r="IHG22" s="90"/>
      <c r="IHH22" s="93"/>
      <c r="IHI22" s="88"/>
      <c r="IHJ22" s="88"/>
      <c r="IHK22" s="91"/>
      <c r="IHL22" s="93"/>
      <c r="IHM22" s="93"/>
      <c r="IHN22" s="88"/>
      <c r="IHO22" s="88"/>
      <c r="IHP22" s="90"/>
      <c r="IHQ22" s="148"/>
      <c r="IHR22" s="88"/>
      <c r="IHS22" s="88"/>
      <c r="IHT22" s="90"/>
      <c r="IHU22" s="93"/>
      <c r="IHV22" s="88"/>
      <c r="IHW22" s="88"/>
      <c r="IHX22" s="91"/>
      <c r="IHY22" s="93"/>
      <c r="IHZ22" s="93"/>
      <c r="IIA22" s="88"/>
      <c r="IIB22" s="88"/>
      <c r="IIC22" s="90"/>
      <c r="IID22" s="148"/>
      <c r="IIE22" s="88"/>
      <c r="IIF22" s="88"/>
      <c r="IIG22" s="90"/>
      <c r="IIH22" s="93"/>
      <c r="III22" s="88"/>
      <c r="IIJ22" s="88"/>
      <c r="IIK22" s="91"/>
      <c r="IIL22" s="93"/>
      <c r="IIM22" s="93"/>
      <c r="IIN22" s="88"/>
      <c r="IIO22" s="88"/>
      <c r="IIP22" s="90"/>
      <c r="IIQ22" s="148"/>
      <c r="IIR22" s="88"/>
      <c r="IIS22" s="88"/>
      <c r="IIT22" s="90"/>
      <c r="IIU22" s="93"/>
      <c r="IIV22" s="88"/>
      <c r="IIW22" s="88"/>
      <c r="IIX22" s="91"/>
      <c r="IIY22" s="93"/>
      <c r="IIZ22" s="93"/>
      <c r="IJA22" s="88"/>
      <c r="IJB22" s="88"/>
      <c r="IJC22" s="90"/>
      <c r="IJD22" s="148"/>
      <c r="IJE22" s="88"/>
      <c r="IJF22" s="88"/>
      <c r="IJG22" s="90"/>
      <c r="IJH22" s="93"/>
      <c r="IJI22" s="88"/>
      <c r="IJJ22" s="88"/>
      <c r="IJK22" s="91"/>
      <c r="IJL22" s="93"/>
      <c r="IJM22" s="93"/>
      <c r="IJN22" s="88"/>
      <c r="IJO22" s="88"/>
      <c r="IJP22" s="90"/>
      <c r="IJQ22" s="148"/>
      <c r="IJR22" s="88"/>
      <c r="IJS22" s="88"/>
      <c r="IJT22" s="90"/>
      <c r="IJU22" s="93"/>
      <c r="IJV22" s="88"/>
      <c r="IJW22" s="88"/>
      <c r="IJX22" s="91"/>
      <c r="IJY22" s="93"/>
      <c r="IJZ22" s="93"/>
      <c r="IKA22" s="88"/>
      <c r="IKB22" s="88"/>
      <c r="IKC22" s="90"/>
      <c r="IKD22" s="148"/>
      <c r="IKE22" s="88"/>
      <c r="IKF22" s="88"/>
      <c r="IKG22" s="90"/>
      <c r="IKH22" s="93"/>
      <c r="IKI22" s="88"/>
      <c r="IKJ22" s="88"/>
      <c r="IKK22" s="91"/>
      <c r="IKL22" s="93"/>
      <c r="IKM22" s="93"/>
      <c r="IKN22" s="88"/>
      <c r="IKO22" s="88"/>
      <c r="IKP22" s="90"/>
      <c r="IKQ22" s="148"/>
      <c r="IKR22" s="88"/>
      <c r="IKS22" s="88"/>
      <c r="IKT22" s="90"/>
      <c r="IKU22" s="93"/>
      <c r="IKV22" s="88"/>
      <c r="IKW22" s="88"/>
      <c r="IKX22" s="91"/>
      <c r="IKY22" s="93"/>
      <c r="IKZ22" s="93"/>
      <c r="ILA22" s="88"/>
      <c r="ILB22" s="88"/>
      <c r="ILC22" s="90"/>
      <c r="ILD22" s="148"/>
      <c r="ILE22" s="88"/>
      <c r="ILF22" s="88"/>
      <c r="ILG22" s="90"/>
      <c r="ILH22" s="93"/>
      <c r="ILI22" s="88"/>
      <c r="ILJ22" s="88"/>
      <c r="ILK22" s="91"/>
      <c r="ILL22" s="93"/>
      <c r="ILM22" s="93"/>
      <c r="ILN22" s="88"/>
      <c r="ILO22" s="88"/>
      <c r="ILP22" s="90"/>
      <c r="ILQ22" s="148"/>
      <c r="ILR22" s="88"/>
      <c r="ILS22" s="88"/>
      <c r="ILT22" s="90"/>
      <c r="ILU22" s="93"/>
      <c r="ILV22" s="88"/>
      <c r="ILW22" s="88"/>
      <c r="ILX22" s="91"/>
      <c r="ILY22" s="93"/>
      <c r="ILZ22" s="93"/>
      <c r="IMA22" s="88"/>
      <c r="IMB22" s="88"/>
      <c r="IMC22" s="90"/>
      <c r="IMD22" s="148"/>
      <c r="IME22" s="88"/>
      <c r="IMF22" s="88"/>
      <c r="IMG22" s="90"/>
      <c r="IMH22" s="93"/>
      <c r="IMI22" s="88"/>
      <c r="IMJ22" s="88"/>
      <c r="IMK22" s="91"/>
      <c r="IML22" s="93"/>
      <c r="IMM22" s="93"/>
      <c r="IMN22" s="88"/>
      <c r="IMO22" s="88"/>
      <c r="IMP22" s="90"/>
      <c r="IMQ22" s="148"/>
      <c r="IMR22" s="88"/>
      <c r="IMS22" s="88"/>
      <c r="IMT22" s="90"/>
      <c r="IMU22" s="93"/>
      <c r="IMV22" s="88"/>
      <c r="IMW22" s="88"/>
      <c r="IMX22" s="91"/>
      <c r="IMY22" s="93"/>
      <c r="IMZ22" s="93"/>
      <c r="INA22" s="88"/>
      <c r="INB22" s="88"/>
      <c r="INC22" s="90"/>
      <c r="IND22" s="148"/>
      <c r="INE22" s="88"/>
      <c r="INF22" s="88"/>
      <c r="ING22" s="90"/>
      <c r="INH22" s="93"/>
      <c r="INI22" s="88"/>
      <c r="INJ22" s="88"/>
      <c r="INK22" s="91"/>
      <c r="INL22" s="93"/>
      <c r="INM22" s="93"/>
      <c r="INN22" s="88"/>
      <c r="INO22" s="88"/>
      <c r="INP22" s="90"/>
      <c r="INQ22" s="148"/>
      <c r="INR22" s="88"/>
      <c r="INS22" s="88"/>
      <c r="INT22" s="90"/>
      <c r="INU22" s="93"/>
      <c r="INV22" s="88"/>
      <c r="INW22" s="88"/>
      <c r="INX22" s="91"/>
      <c r="INY22" s="93"/>
      <c r="INZ22" s="93"/>
      <c r="IOA22" s="88"/>
      <c r="IOB22" s="88"/>
      <c r="IOC22" s="90"/>
      <c r="IOD22" s="148"/>
      <c r="IOE22" s="88"/>
      <c r="IOF22" s="88"/>
      <c r="IOG22" s="90"/>
      <c r="IOH22" s="93"/>
      <c r="IOI22" s="88"/>
      <c r="IOJ22" s="88"/>
      <c r="IOK22" s="91"/>
      <c r="IOL22" s="93"/>
      <c r="IOM22" s="93"/>
      <c r="ION22" s="88"/>
      <c r="IOO22" s="88"/>
      <c r="IOP22" s="90"/>
      <c r="IOQ22" s="148"/>
      <c r="IOR22" s="88"/>
      <c r="IOS22" s="88"/>
      <c r="IOT22" s="90"/>
      <c r="IOU22" s="93"/>
      <c r="IOV22" s="88"/>
      <c r="IOW22" s="88"/>
      <c r="IOX22" s="91"/>
      <c r="IOY22" s="93"/>
      <c r="IOZ22" s="93"/>
      <c r="IPA22" s="88"/>
      <c r="IPB22" s="88"/>
      <c r="IPC22" s="90"/>
      <c r="IPD22" s="148"/>
      <c r="IPE22" s="88"/>
      <c r="IPF22" s="88"/>
      <c r="IPG22" s="90"/>
      <c r="IPH22" s="93"/>
      <c r="IPI22" s="88"/>
      <c r="IPJ22" s="88"/>
      <c r="IPK22" s="91"/>
      <c r="IPL22" s="93"/>
      <c r="IPM22" s="93"/>
      <c r="IPN22" s="88"/>
      <c r="IPO22" s="88"/>
      <c r="IPP22" s="90"/>
      <c r="IPQ22" s="148"/>
      <c r="IPR22" s="88"/>
      <c r="IPS22" s="88"/>
      <c r="IPT22" s="90"/>
      <c r="IPU22" s="93"/>
      <c r="IPV22" s="88"/>
      <c r="IPW22" s="88"/>
      <c r="IPX22" s="91"/>
      <c r="IPY22" s="93"/>
      <c r="IPZ22" s="93"/>
      <c r="IQA22" s="88"/>
      <c r="IQB22" s="88"/>
      <c r="IQC22" s="90"/>
      <c r="IQD22" s="148"/>
      <c r="IQE22" s="88"/>
      <c r="IQF22" s="88"/>
      <c r="IQG22" s="90"/>
      <c r="IQH22" s="93"/>
      <c r="IQI22" s="88"/>
      <c r="IQJ22" s="88"/>
      <c r="IQK22" s="91"/>
      <c r="IQL22" s="93"/>
      <c r="IQM22" s="93"/>
      <c r="IQN22" s="88"/>
      <c r="IQO22" s="88"/>
      <c r="IQP22" s="90"/>
      <c r="IQQ22" s="148"/>
      <c r="IQR22" s="88"/>
      <c r="IQS22" s="88"/>
      <c r="IQT22" s="90"/>
      <c r="IQU22" s="93"/>
      <c r="IQV22" s="88"/>
      <c r="IQW22" s="88"/>
      <c r="IQX22" s="91"/>
      <c r="IQY22" s="93"/>
      <c r="IQZ22" s="93"/>
      <c r="IRA22" s="88"/>
      <c r="IRB22" s="88"/>
      <c r="IRC22" s="90"/>
      <c r="IRD22" s="148"/>
      <c r="IRE22" s="88"/>
      <c r="IRF22" s="88"/>
      <c r="IRG22" s="90"/>
      <c r="IRH22" s="93"/>
      <c r="IRI22" s="88"/>
      <c r="IRJ22" s="88"/>
      <c r="IRK22" s="91"/>
      <c r="IRL22" s="93"/>
      <c r="IRM22" s="93"/>
      <c r="IRN22" s="88"/>
      <c r="IRO22" s="88"/>
      <c r="IRP22" s="90"/>
      <c r="IRQ22" s="148"/>
      <c r="IRR22" s="88"/>
      <c r="IRS22" s="88"/>
      <c r="IRT22" s="90"/>
      <c r="IRU22" s="93"/>
      <c r="IRV22" s="88"/>
      <c r="IRW22" s="88"/>
      <c r="IRX22" s="91"/>
      <c r="IRY22" s="93"/>
      <c r="IRZ22" s="93"/>
      <c r="ISA22" s="88"/>
      <c r="ISB22" s="88"/>
      <c r="ISC22" s="90"/>
      <c r="ISD22" s="148"/>
      <c r="ISE22" s="88"/>
      <c r="ISF22" s="88"/>
      <c r="ISG22" s="90"/>
      <c r="ISH22" s="93"/>
      <c r="ISI22" s="88"/>
      <c r="ISJ22" s="88"/>
      <c r="ISK22" s="91"/>
      <c r="ISL22" s="93"/>
      <c r="ISM22" s="93"/>
      <c r="ISN22" s="88"/>
      <c r="ISO22" s="88"/>
      <c r="ISP22" s="90"/>
      <c r="ISQ22" s="148"/>
      <c r="ISR22" s="88"/>
      <c r="ISS22" s="88"/>
      <c r="IST22" s="90"/>
      <c r="ISU22" s="93"/>
      <c r="ISV22" s="88"/>
      <c r="ISW22" s="88"/>
      <c r="ISX22" s="91"/>
      <c r="ISY22" s="93"/>
      <c r="ISZ22" s="93"/>
      <c r="ITA22" s="88"/>
      <c r="ITB22" s="88"/>
      <c r="ITC22" s="90"/>
      <c r="ITD22" s="148"/>
      <c r="ITE22" s="88"/>
      <c r="ITF22" s="88"/>
      <c r="ITG22" s="90"/>
      <c r="ITH22" s="93"/>
      <c r="ITI22" s="88"/>
      <c r="ITJ22" s="88"/>
      <c r="ITK22" s="91"/>
      <c r="ITL22" s="93"/>
      <c r="ITM22" s="93"/>
      <c r="ITN22" s="88"/>
      <c r="ITO22" s="88"/>
      <c r="ITP22" s="90"/>
      <c r="ITQ22" s="148"/>
      <c r="ITR22" s="88"/>
      <c r="ITS22" s="88"/>
      <c r="ITT22" s="90"/>
      <c r="ITU22" s="93"/>
      <c r="ITV22" s="88"/>
      <c r="ITW22" s="88"/>
      <c r="ITX22" s="91"/>
      <c r="ITY22" s="93"/>
      <c r="ITZ22" s="93"/>
      <c r="IUA22" s="88"/>
      <c r="IUB22" s="88"/>
      <c r="IUC22" s="90"/>
      <c r="IUD22" s="148"/>
      <c r="IUE22" s="88"/>
      <c r="IUF22" s="88"/>
      <c r="IUG22" s="90"/>
      <c r="IUH22" s="93"/>
      <c r="IUI22" s="88"/>
      <c r="IUJ22" s="88"/>
      <c r="IUK22" s="91"/>
      <c r="IUL22" s="93"/>
      <c r="IUM22" s="93"/>
      <c r="IUN22" s="88"/>
      <c r="IUO22" s="88"/>
      <c r="IUP22" s="90"/>
      <c r="IUQ22" s="148"/>
      <c r="IUR22" s="88"/>
      <c r="IUS22" s="88"/>
      <c r="IUT22" s="90"/>
      <c r="IUU22" s="93"/>
      <c r="IUV22" s="88"/>
      <c r="IUW22" s="88"/>
      <c r="IUX22" s="91"/>
      <c r="IUY22" s="93"/>
      <c r="IUZ22" s="93"/>
      <c r="IVA22" s="88"/>
      <c r="IVB22" s="88"/>
      <c r="IVC22" s="90"/>
      <c r="IVD22" s="148"/>
      <c r="IVE22" s="88"/>
      <c r="IVF22" s="88"/>
      <c r="IVG22" s="90"/>
      <c r="IVH22" s="93"/>
      <c r="IVI22" s="88"/>
      <c r="IVJ22" s="88"/>
      <c r="IVK22" s="91"/>
      <c r="IVL22" s="93"/>
      <c r="IVM22" s="93"/>
      <c r="IVN22" s="88"/>
      <c r="IVO22" s="88"/>
      <c r="IVP22" s="90"/>
      <c r="IVQ22" s="148"/>
      <c r="IVR22" s="88"/>
      <c r="IVS22" s="88"/>
      <c r="IVT22" s="90"/>
      <c r="IVU22" s="93"/>
      <c r="IVV22" s="88"/>
      <c r="IVW22" s="88"/>
      <c r="IVX22" s="91"/>
      <c r="IVY22" s="93"/>
      <c r="IVZ22" s="93"/>
      <c r="IWA22" s="88"/>
      <c r="IWB22" s="88"/>
      <c r="IWC22" s="90"/>
      <c r="IWD22" s="148"/>
      <c r="IWE22" s="88"/>
      <c r="IWF22" s="88"/>
      <c r="IWG22" s="90"/>
      <c r="IWH22" s="93"/>
      <c r="IWI22" s="88"/>
      <c r="IWJ22" s="88"/>
      <c r="IWK22" s="91"/>
      <c r="IWL22" s="93"/>
      <c r="IWM22" s="93"/>
      <c r="IWN22" s="88"/>
      <c r="IWO22" s="88"/>
      <c r="IWP22" s="90"/>
      <c r="IWQ22" s="148"/>
      <c r="IWR22" s="88"/>
      <c r="IWS22" s="88"/>
      <c r="IWT22" s="90"/>
      <c r="IWU22" s="93"/>
      <c r="IWV22" s="88"/>
      <c r="IWW22" s="88"/>
      <c r="IWX22" s="91"/>
      <c r="IWY22" s="93"/>
      <c r="IWZ22" s="93"/>
      <c r="IXA22" s="88"/>
      <c r="IXB22" s="88"/>
      <c r="IXC22" s="90"/>
      <c r="IXD22" s="148"/>
      <c r="IXE22" s="88"/>
      <c r="IXF22" s="88"/>
      <c r="IXG22" s="90"/>
      <c r="IXH22" s="93"/>
      <c r="IXI22" s="88"/>
      <c r="IXJ22" s="88"/>
      <c r="IXK22" s="91"/>
      <c r="IXL22" s="93"/>
      <c r="IXM22" s="93"/>
      <c r="IXN22" s="88"/>
      <c r="IXO22" s="88"/>
      <c r="IXP22" s="90"/>
      <c r="IXQ22" s="148"/>
      <c r="IXR22" s="88"/>
      <c r="IXS22" s="88"/>
      <c r="IXT22" s="90"/>
      <c r="IXU22" s="93"/>
      <c r="IXV22" s="88"/>
      <c r="IXW22" s="88"/>
      <c r="IXX22" s="91"/>
      <c r="IXY22" s="93"/>
      <c r="IXZ22" s="93"/>
      <c r="IYA22" s="88"/>
      <c r="IYB22" s="88"/>
      <c r="IYC22" s="90"/>
      <c r="IYD22" s="148"/>
      <c r="IYE22" s="88"/>
      <c r="IYF22" s="88"/>
      <c r="IYG22" s="90"/>
      <c r="IYH22" s="93"/>
      <c r="IYI22" s="88"/>
      <c r="IYJ22" s="88"/>
      <c r="IYK22" s="91"/>
      <c r="IYL22" s="93"/>
      <c r="IYM22" s="93"/>
      <c r="IYN22" s="88"/>
      <c r="IYO22" s="88"/>
      <c r="IYP22" s="90"/>
      <c r="IYQ22" s="148"/>
      <c r="IYR22" s="88"/>
      <c r="IYS22" s="88"/>
      <c r="IYT22" s="90"/>
      <c r="IYU22" s="93"/>
      <c r="IYV22" s="88"/>
      <c r="IYW22" s="88"/>
      <c r="IYX22" s="91"/>
      <c r="IYY22" s="93"/>
      <c r="IYZ22" s="93"/>
      <c r="IZA22" s="88"/>
      <c r="IZB22" s="88"/>
      <c r="IZC22" s="90"/>
      <c r="IZD22" s="148"/>
      <c r="IZE22" s="88"/>
      <c r="IZF22" s="88"/>
      <c r="IZG22" s="90"/>
      <c r="IZH22" s="93"/>
      <c r="IZI22" s="88"/>
      <c r="IZJ22" s="88"/>
      <c r="IZK22" s="91"/>
      <c r="IZL22" s="93"/>
      <c r="IZM22" s="93"/>
      <c r="IZN22" s="88"/>
      <c r="IZO22" s="88"/>
      <c r="IZP22" s="90"/>
      <c r="IZQ22" s="148"/>
      <c r="IZR22" s="88"/>
      <c r="IZS22" s="88"/>
      <c r="IZT22" s="90"/>
      <c r="IZU22" s="93"/>
      <c r="IZV22" s="88"/>
      <c r="IZW22" s="88"/>
      <c r="IZX22" s="91"/>
      <c r="IZY22" s="93"/>
      <c r="IZZ22" s="93"/>
      <c r="JAA22" s="88"/>
      <c r="JAB22" s="88"/>
      <c r="JAC22" s="90"/>
      <c r="JAD22" s="148"/>
      <c r="JAE22" s="88"/>
      <c r="JAF22" s="88"/>
      <c r="JAG22" s="90"/>
      <c r="JAH22" s="93"/>
      <c r="JAI22" s="88"/>
      <c r="JAJ22" s="88"/>
      <c r="JAK22" s="91"/>
      <c r="JAL22" s="93"/>
      <c r="JAM22" s="93"/>
      <c r="JAN22" s="88"/>
      <c r="JAO22" s="88"/>
      <c r="JAP22" s="90"/>
      <c r="JAQ22" s="148"/>
      <c r="JAR22" s="88"/>
      <c r="JAS22" s="88"/>
      <c r="JAT22" s="90"/>
      <c r="JAU22" s="93"/>
      <c r="JAV22" s="88"/>
      <c r="JAW22" s="88"/>
      <c r="JAX22" s="91"/>
      <c r="JAY22" s="93"/>
      <c r="JAZ22" s="93"/>
      <c r="JBA22" s="88"/>
      <c r="JBB22" s="88"/>
      <c r="JBC22" s="90"/>
      <c r="JBD22" s="148"/>
      <c r="JBE22" s="88"/>
      <c r="JBF22" s="88"/>
      <c r="JBG22" s="90"/>
      <c r="JBH22" s="93"/>
      <c r="JBI22" s="88"/>
      <c r="JBJ22" s="88"/>
      <c r="JBK22" s="91"/>
      <c r="JBL22" s="93"/>
      <c r="JBM22" s="93"/>
      <c r="JBN22" s="88"/>
      <c r="JBO22" s="88"/>
      <c r="JBP22" s="90"/>
      <c r="JBQ22" s="148"/>
      <c r="JBR22" s="88"/>
      <c r="JBS22" s="88"/>
      <c r="JBT22" s="90"/>
      <c r="JBU22" s="93"/>
      <c r="JBV22" s="88"/>
      <c r="JBW22" s="88"/>
      <c r="JBX22" s="91"/>
      <c r="JBY22" s="93"/>
      <c r="JBZ22" s="93"/>
      <c r="JCA22" s="88"/>
      <c r="JCB22" s="88"/>
      <c r="JCC22" s="90"/>
      <c r="JCD22" s="148"/>
      <c r="JCE22" s="88"/>
      <c r="JCF22" s="88"/>
      <c r="JCG22" s="90"/>
      <c r="JCH22" s="93"/>
      <c r="JCI22" s="88"/>
      <c r="JCJ22" s="88"/>
      <c r="JCK22" s="91"/>
      <c r="JCL22" s="93"/>
      <c r="JCM22" s="93"/>
      <c r="JCN22" s="88"/>
      <c r="JCO22" s="88"/>
      <c r="JCP22" s="90"/>
      <c r="JCQ22" s="148"/>
      <c r="JCR22" s="88"/>
      <c r="JCS22" s="88"/>
      <c r="JCT22" s="90"/>
      <c r="JCU22" s="93"/>
      <c r="JCV22" s="88"/>
      <c r="JCW22" s="88"/>
      <c r="JCX22" s="91"/>
      <c r="JCY22" s="93"/>
      <c r="JCZ22" s="93"/>
      <c r="JDA22" s="88"/>
      <c r="JDB22" s="88"/>
      <c r="JDC22" s="90"/>
      <c r="JDD22" s="148"/>
      <c r="JDE22" s="88"/>
      <c r="JDF22" s="88"/>
      <c r="JDG22" s="90"/>
      <c r="JDH22" s="93"/>
      <c r="JDI22" s="88"/>
      <c r="JDJ22" s="88"/>
      <c r="JDK22" s="91"/>
      <c r="JDL22" s="93"/>
      <c r="JDM22" s="93"/>
      <c r="JDN22" s="88"/>
      <c r="JDO22" s="88"/>
      <c r="JDP22" s="90"/>
      <c r="JDQ22" s="148"/>
      <c r="JDR22" s="88"/>
      <c r="JDS22" s="88"/>
      <c r="JDT22" s="90"/>
      <c r="JDU22" s="93"/>
      <c r="JDV22" s="88"/>
      <c r="JDW22" s="88"/>
      <c r="JDX22" s="91"/>
      <c r="JDY22" s="93"/>
      <c r="JDZ22" s="93"/>
      <c r="JEA22" s="88"/>
      <c r="JEB22" s="88"/>
      <c r="JEC22" s="90"/>
      <c r="JED22" s="148"/>
      <c r="JEE22" s="88"/>
      <c r="JEF22" s="88"/>
      <c r="JEG22" s="90"/>
      <c r="JEH22" s="93"/>
      <c r="JEI22" s="88"/>
      <c r="JEJ22" s="88"/>
      <c r="JEK22" s="91"/>
      <c r="JEL22" s="93"/>
      <c r="JEM22" s="93"/>
      <c r="JEN22" s="88"/>
      <c r="JEO22" s="88"/>
      <c r="JEP22" s="90"/>
      <c r="JEQ22" s="148"/>
      <c r="JER22" s="88"/>
      <c r="JES22" s="88"/>
      <c r="JET22" s="90"/>
      <c r="JEU22" s="93"/>
      <c r="JEV22" s="88"/>
      <c r="JEW22" s="88"/>
      <c r="JEX22" s="91"/>
      <c r="JEY22" s="93"/>
      <c r="JEZ22" s="93"/>
      <c r="JFA22" s="88"/>
      <c r="JFB22" s="88"/>
      <c r="JFC22" s="90"/>
      <c r="JFD22" s="148"/>
      <c r="JFE22" s="88"/>
      <c r="JFF22" s="88"/>
      <c r="JFG22" s="90"/>
      <c r="JFH22" s="93"/>
      <c r="JFI22" s="88"/>
      <c r="JFJ22" s="88"/>
      <c r="JFK22" s="91"/>
      <c r="JFL22" s="93"/>
      <c r="JFM22" s="93"/>
      <c r="JFN22" s="88"/>
      <c r="JFO22" s="88"/>
      <c r="JFP22" s="90"/>
      <c r="JFQ22" s="148"/>
      <c r="JFR22" s="88"/>
      <c r="JFS22" s="88"/>
      <c r="JFT22" s="90"/>
      <c r="JFU22" s="93"/>
      <c r="JFV22" s="88"/>
      <c r="JFW22" s="88"/>
      <c r="JFX22" s="91"/>
      <c r="JFY22" s="93"/>
      <c r="JFZ22" s="93"/>
      <c r="JGA22" s="88"/>
      <c r="JGB22" s="88"/>
      <c r="JGC22" s="90"/>
      <c r="JGD22" s="148"/>
      <c r="JGE22" s="88"/>
      <c r="JGF22" s="88"/>
      <c r="JGG22" s="90"/>
      <c r="JGH22" s="93"/>
      <c r="JGI22" s="88"/>
      <c r="JGJ22" s="88"/>
      <c r="JGK22" s="91"/>
      <c r="JGL22" s="93"/>
      <c r="JGM22" s="93"/>
      <c r="JGN22" s="88"/>
      <c r="JGO22" s="88"/>
      <c r="JGP22" s="90"/>
      <c r="JGQ22" s="148"/>
      <c r="JGR22" s="88"/>
      <c r="JGS22" s="88"/>
      <c r="JGT22" s="90"/>
      <c r="JGU22" s="93"/>
      <c r="JGV22" s="88"/>
      <c r="JGW22" s="88"/>
      <c r="JGX22" s="91"/>
      <c r="JGY22" s="93"/>
      <c r="JGZ22" s="93"/>
      <c r="JHA22" s="88"/>
      <c r="JHB22" s="88"/>
      <c r="JHC22" s="90"/>
      <c r="JHD22" s="148"/>
      <c r="JHE22" s="88"/>
      <c r="JHF22" s="88"/>
      <c r="JHG22" s="90"/>
      <c r="JHH22" s="93"/>
      <c r="JHI22" s="88"/>
      <c r="JHJ22" s="88"/>
      <c r="JHK22" s="91"/>
      <c r="JHL22" s="93"/>
      <c r="JHM22" s="93"/>
      <c r="JHN22" s="88"/>
      <c r="JHO22" s="88"/>
      <c r="JHP22" s="90"/>
      <c r="JHQ22" s="148"/>
      <c r="JHR22" s="88"/>
      <c r="JHS22" s="88"/>
      <c r="JHT22" s="90"/>
      <c r="JHU22" s="93"/>
      <c r="JHV22" s="88"/>
      <c r="JHW22" s="88"/>
      <c r="JHX22" s="91"/>
      <c r="JHY22" s="93"/>
      <c r="JHZ22" s="93"/>
      <c r="JIA22" s="88"/>
      <c r="JIB22" s="88"/>
      <c r="JIC22" s="90"/>
      <c r="JID22" s="148"/>
      <c r="JIE22" s="88"/>
      <c r="JIF22" s="88"/>
      <c r="JIG22" s="90"/>
      <c r="JIH22" s="93"/>
      <c r="JII22" s="88"/>
      <c r="JIJ22" s="88"/>
      <c r="JIK22" s="91"/>
      <c r="JIL22" s="93"/>
      <c r="JIM22" s="93"/>
      <c r="JIN22" s="88"/>
      <c r="JIO22" s="88"/>
      <c r="JIP22" s="90"/>
      <c r="JIQ22" s="148"/>
      <c r="JIR22" s="88"/>
      <c r="JIS22" s="88"/>
      <c r="JIT22" s="90"/>
      <c r="JIU22" s="93"/>
      <c r="JIV22" s="88"/>
      <c r="JIW22" s="88"/>
      <c r="JIX22" s="91"/>
      <c r="JIY22" s="93"/>
      <c r="JIZ22" s="93"/>
      <c r="JJA22" s="88"/>
      <c r="JJB22" s="88"/>
      <c r="JJC22" s="90"/>
      <c r="JJD22" s="148"/>
      <c r="JJE22" s="88"/>
      <c r="JJF22" s="88"/>
      <c r="JJG22" s="90"/>
      <c r="JJH22" s="93"/>
      <c r="JJI22" s="88"/>
      <c r="JJJ22" s="88"/>
      <c r="JJK22" s="91"/>
      <c r="JJL22" s="93"/>
      <c r="JJM22" s="93"/>
      <c r="JJN22" s="88"/>
      <c r="JJO22" s="88"/>
      <c r="JJP22" s="90"/>
      <c r="JJQ22" s="148"/>
      <c r="JJR22" s="88"/>
      <c r="JJS22" s="88"/>
      <c r="JJT22" s="90"/>
      <c r="JJU22" s="93"/>
      <c r="JJV22" s="88"/>
      <c r="JJW22" s="88"/>
      <c r="JJX22" s="91"/>
      <c r="JJY22" s="93"/>
      <c r="JJZ22" s="93"/>
      <c r="JKA22" s="88"/>
      <c r="JKB22" s="88"/>
      <c r="JKC22" s="90"/>
      <c r="JKD22" s="148"/>
      <c r="JKE22" s="88"/>
      <c r="JKF22" s="88"/>
      <c r="JKG22" s="90"/>
      <c r="JKH22" s="93"/>
      <c r="JKI22" s="88"/>
      <c r="JKJ22" s="88"/>
      <c r="JKK22" s="91"/>
      <c r="JKL22" s="93"/>
      <c r="JKM22" s="93"/>
      <c r="JKN22" s="88"/>
      <c r="JKO22" s="88"/>
      <c r="JKP22" s="90"/>
      <c r="JKQ22" s="148"/>
      <c r="JKR22" s="88"/>
      <c r="JKS22" s="88"/>
      <c r="JKT22" s="90"/>
      <c r="JKU22" s="93"/>
      <c r="JKV22" s="88"/>
      <c r="JKW22" s="88"/>
      <c r="JKX22" s="91"/>
      <c r="JKY22" s="93"/>
      <c r="JKZ22" s="93"/>
      <c r="JLA22" s="88"/>
      <c r="JLB22" s="88"/>
      <c r="JLC22" s="90"/>
      <c r="JLD22" s="148"/>
      <c r="JLE22" s="88"/>
      <c r="JLF22" s="88"/>
      <c r="JLG22" s="90"/>
      <c r="JLH22" s="93"/>
      <c r="JLI22" s="88"/>
      <c r="JLJ22" s="88"/>
      <c r="JLK22" s="91"/>
      <c r="JLL22" s="93"/>
      <c r="JLM22" s="93"/>
      <c r="JLN22" s="88"/>
      <c r="JLO22" s="88"/>
      <c r="JLP22" s="90"/>
      <c r="JLQ22" s="148"/>
      <c r="JLR22" s="88"/>
      <c r="JLS22" s="88"/>
      <c r="JLT22" s="90"/>
      <c r="JLU22" s="93"/>
      <c r="JLV22" s="88"/>
      <c r="JLW22" s="88"/>
      <c r="JLX22" s="91"/>
      <c r="JLY22" s="93"/>
      <c r="JLZ22" s="93"/>
      <c r="JMA22" s="88"/>
      <c r="JMB22" s="88"/>
      <c r="JMC22" s="90"/>
      <c r="JMD22" s="148"/>
      <c r="JME22" s="88"/>
      <c r="JMF22" s="88"/>
      <c r="JMG22" s="90"/>
      <c r="JMH22" s="93"/>
      <c r="JMI22" s="88"/>
      <c r="JMJ22" s="88"/>
      <c r="JMK22" s="91"/>
      <c r="JML22" s="93"/>
      <c r="JMM22" s="93"/>
      <c r="JMN22" s="88"/>
      <c r="JMO22" s="88"/>
      <c r="JMP22" s="90"/>
      <c r="JMQ22" s="148"/>
      <c r="JMR22" s="88"/>
      <c r="JMS22" s="88"/>
      <c r="JMT22" s="90"/>
      <c r="JMU22" s="93"/>
      <c r="JMV22" s="88"/>
      <c r="JMW22" s="88"/>
      <c r="JMX22" s="91"/>
      <c r="JMY22" s="93"/>
      <c r="JMZ22" s="93"/>
      <c r="JNA22" s="88"/>
      <c r="JNB22" s="88"/>
      <c r="JNC22" s="90"/>
      <c r="JND22" s="148"/>
      <c r="JNE22" s="88"/>
      <c r="JNF22" s="88"/>
      <c r="JNG22" s="90"/>
      <c r="JNH22" s="93"/>
      <c r="JNI22" s="88"/>
      <c r="JNJ22" s="88"/>
      <c r="JNK22" s="91"/>
      <c r="JNL22" s="93"/>
      <c r="JNM22" s="93"/>
      <c r="JNN22" s="88"/>
      <c r="JNO22" s="88"/>
      <c r="JNP22" s="90"/>
      <c r="JNQ22" s="148"/>
      <c r="JNR22" s="88"/>
      <c r="JNS22" s="88"/>
      <c r="JNT22" s="90"/>
      <c r="JNU22" s="93"/>
      <c r="JNV22" s="88"/>
      <c r="JNW22" s="88"/>
      <c r="JNX22" s="91"/>
      <c r="JNY22" s="93"/>
      <c r="JNZ22" s="93"/>
      <c r="JOA22" s="88"/>
      <c r="JOB22" s="88"/>
      <c r="JOC22" s="90"/>
      <c r="JOD22" s="148"/>
      <c r="JOE22" s="88"/>
      <c r="JOF22" s="88"/>
      <c r="JOG22" s="90"/>
      <c r="JOH22" s="93"/>
      <c r="JOI22" s="88"/>
      <c r="JOJ22" s="88"/>
      <c r="JOK22" s="91"/>
      <c r="JOL22" s="93"/>
      <c r="JOM22" s="93"/>
      <c r="JON22" s="88"/>
      <c r="JOO22" s="88"/>
      <c r="JOP22" s="90"/>
      <c r="JOQ22" s="148"/>
      <c r="JOR22" s="88"/>
      <c r="JOS22" s="88"/>
      <c r="JOT22" s="90"/>
      <c r="JOU22" s="93"/>
      <c r="JOV22" s="88"/>
      <c r="JOW22" s="88"/>
      <c r="JOX22" s="91"/>
      <c r="JOY22" s="93"/>
      <c r="JOZ22" s="93"/>
      <c r="JPA22" s="88"/>
      <c r="JPB22" s="88"/>
      <c r="JPC22" s="90"/>
      <c r="JPD22" s="148"/>
      <c r="JPE22" s="88"/>
      <c r="JPF22" s="88"/>
      <c r="JPG22" s="90"/>
      <c r="JPH22" s="93"/>
      <c r="JPI22" s="88"/>
      <c r="JPJ22" s="88"/>
      <c r="JPK22" s="91"/>
      <c r="JPL22" s="93"/>
      <c r="JPM22" s="93"/>
      <c r="JPN22" s="88"/>
      <c r="JPO22" s="88"/>
      <c r="JPP22" s="90"/>
      <c r="JPQ22" s="148"/>
      <c r="JPR22" s="88"/>
      <c r="JPS22" s="88"/>
      <c r="JPT22" s="90"/>
      <c r="JPU22" s="93"/>
      <c r="JPV22" s="88"/>
      <c r="JPW22" s="88"/>
      <c r="JPX22" s="91"/>
      <c r="JPY22" s="93"/>
      <c r="JPZ22" s="93"/>
      <c r="JQA22" s="88"/>
      <c r="JQB22" s="88"/>
      <c r="JQC22" s="90"/>
      <c r="JQD22" s="148"/>
      <c r="JQE22" s="88"/>
      <c r="JQF22" s="88"/>
      <c r="JQG22" s="90"/>
      <c r="JQH22" s="93"/>
      <c r="JQI22" s="88"/>
      <c r="JQJ22" s="88"/>
      <c r="JQK22" s="91"/>
      <c r="JQL22" s="93"/>
      <c r="JQM22" s="93"/>
      <c r="JQN22" s="88"/>
      <c r="JQO22" s="88"/>
      <c r="JQP22" s="90"/>
      <c r="JQQ22" s="148"/>
      <c r="JQR22" s="88"/>
      <c r="JQS22" s="88"/>
      <c r="JQT22" s="90"/>
      <c r="JQU22" s="93"/>
      <c r="JQV22" s="88"/>
      <c r="JQW22" s="88"/>
      <c r="JQX22" s="91"/>
      <c r="JQY22" s="93"/>
      <c r="JQZ22" s="93"/>
      <c r="JRA22" s="88"/>
      <c r="JRB22" s="88"/>
      <c r="JRC22" s="90"/>
      <c r="JRD22" s="148"/>
      <c r="JRE22" s="88"/>
      <c r="JRF22" s="88"/>
      <c r="JRG22" s="90"/>
      <c r="JRH22" s="93"/>
      <c r="JRI22" s="88"/>
      <c r="JRJ22" s="88"/>
      <c r="JRK22" s="91"/>
      <c r="JRL22" s="93"/>
      <c r="JRM22" s="93"/>
      <c r="JRN22" s="88"/>
      <c r="JRO22" s="88"/>
      <c r="JRP22" s="90"/>
      <c r="JRQ22" s="148"/>
      <c r="JRR22" s="88"/>
      <c r="JRS22" s="88"/>
      <c r="JRT22" s="90"/>
      <c r="JRU22" s="93"/>
      <c r="JRV22" s="88"/>
      <c r="JRW22" s="88"/>
      <c r="JRX22" s="91"/>
      <c r="JRY22" s="93"/>
      <c r="JRZ22" s="93"/>
      <c r="JSA22" s="88"/>
      <c r="JSB22" s="88"/>
      <c r="JSC22" s="90"/>
      <c r="JSD22" s="148"/>
      <c r="JSE22" s="88"/>
      <c r="JSF22" s="88"/>
      <c r="JSG22" s="90"/>
      <c r="JSH22" s="93"/>
      <c r="JSI22" s="88"/>
      <c r="JSJ22" s="88"/>
      <c r="JSK22" s="91"/>
      <c r="JSL22" s="93"/>
      <c r="JSM22" s="93"/>
      <c r="JSN22" s="88"/>
      <c r="JSO22" s="88"/>
      <c r="JSP22" s="90"/>
      <c r="JSQ22" s="148"/>
      <c r="JSR22" s="88"/>
      <c r="JSS22" s="88"/>
      <c r="JST22" s="90"/>
      <c r="JSU22" s="93"/>
      <c r="JSV22" s="88"/>
      <c r="JSW22" s="88"/>
      <c r="JSX22" s="91"/>
      <c r="JSY22" s="93"/>
      <c r="JSZ22" s="93"/>
      <c r="JTA22" s="88"/>
      <c r="JTB22" s="88"/>
      <c r="JTC22" s="90"/>
      <c r="JTD22" s="148"/>
      <c r="JTE22" s="88"/>
      <c r="JTF22" s="88"/>
      <c r="JTG22" s="90"/>
      <c r="JTH22" s="93"/>
      <c r="JTI22" s="88"/>
      <c r="JTJ22" s="88"/>
      <c r="JTK22" s="91"/>
      <c r="JTL22" s="93"/>
      <c r="JTM22" s="93"/>
      <c r="JTN22" s="88"/>
      <c r="JTO22" s="88"/>
      <c r="JTP22" s="90"/>
      <c r="JTQ22" s="148"/>
      <c r="JTR22" s="88"/>
      <c r="JTS22" s="88"/>
      <c r="JTT22" s="90"/>
      <c r="JTU22" s="93"/>
      <c r="JTV22" s="88"/>
      <c r="JTW22" s="88"/>
      <c r="JTX22" s="91"/>
      <c r="JTY22" s="93"/>
      <c r="JTZ22" s="93"/>
      <c r="JUA22" s="88"/>
      <c r="JUB22" s="88"/>
      <c r="JUC22" s="90"/>
      <c r="JUD22" s="148"/>
      <c r="JUE22" s="88"/>
      <c r="JUF22" s="88"/>
      <c r="JUG22" s="90"/>
      <c r="JUH22" s="93"/>
      <c r="JUI22" s="88"/>
      <c r="JUJ22" s="88"/>
      <c r="JUK22" s="91"/>
      <c r="JUL22" s="93"/>
      <c r="JUM22" s="93"/>
      <c r="JUN22" s="88"/>
      <c r="JUO22" s="88"/>
      <c r="JUP22" s="90"/>
      <c r="JUQ22" s="148"/>
      <c r="JUR22" s="88"/>
      <c r="JUS22" s="88"/>
      <c r="JUT22" s="90"/>
      <c r="JUU22" s="93"/>
      <c r="JUV22" s="88"/>
      <c r="JUW22" s="88"/>
      <c r="JUX22" s="91"/>
      <c r="JUY22" s="93"/>
      <c r="JUZ22" s="93"/>
      <c r="JVA22" s="88"/>
      <c r="JVB22" s="88"/>
      <c r="JVC22" s="90"/>
      <c r="JVD22" s="148"/>
      <c r="JVE22" s="88"/>
      <c r="JVF22" s="88"/>
      <c r="JVG22" s="90"/>
      <c r="JVH22" s="93"/>
      <c r="JVI22" s="88"/>
      <c r="JVJ22" s="88"/>
      <c r="JVK22" s="91"/>
      <c r="JVL22" s="93"/>
      <c r="JVM22" s="93"/>
      <c r="JVN22" s="88"/>
      <c r="JVO22" s="88"/>
      <c r="JVP22" s="90"/>
      <c r="JVQ22" s="148"/>
      <c r="JVR22" s="88"/>
      <c r="JVS22" s="88"/>
      <c r="JVT22" s="90"/>
      <c r="JVU22" s="93"/>
      <c r="JVV22" s="88"/>
      <c r="JVW22" s="88"/>
      <c r="JVX22" s="91"/>
      <c r="JVY22" s="93"/>
      <c r="JVZ22" s="93"/>
      <c r="JWA22" s="88"/>
      <c r="JWB22" s="88"/>
      <c r="JWC22" s="90"/>
      <c r="JWD22" s="148"/>
      <c r="JWE22" s="88"/>
      <c r="JWF22" s="88"/>
      <c r="JWG22" s="90"/>
      <c r="JWH22" s="93"/>
      <c r="JWI22" s="88"/>
      <c r="JWJ22" s="88"/>
      <c r="JWK22" s="91"/>
      <c r="JWL22" s="93"/>
      <c r="JWM22" s="93"/>
      <c r="JWN22" s="88"/>
      <c r="JWO22" s="88"/>
      <c r="JWP22" s="90"/>
      <c r="JWQ22" s="148"/>
      <c r="JWR22" s="88"/>
      <c r="JWS22" s="88"/>
      <c r="JWT22" s="90"/>
      <c r="JWU22" s="93"/>
      <c r="JWV22" s="88"/>
      <c r="JWW22" s="88"/>
      <c r="JWX22" s="91"/>
      <c r="JWY22" s="93"/>
      <c r="JWZ22" s="93"/>
      <c r="JXA22" s="88"/>
      <c r="JXB22" s="88"/>
      <c r="JXC22" s="90"/>
      <c r="JXD22" s="148"/>
      <c r="JXE22" s="88"/>
      <c r="JXF22" s="88"/>
      <c r="JXG22" s="90"/>
      <c r="JXH22" s="93"/>
      <c r="JXI22" s="88"/>
      <c r="JXJ22" s="88"/>
      <c r="JXK22" s="91"/>
      <c r="JXL22" s="93"/>
      <c r="JXM22" s="93"/>
      <c r="JXN22" s="88"/>
      <c r="JXO22" s="88"/>
      <c r="JXP22" s="90"/>
      <c r="JXQ22" s="148"/>
      <c r="JXR22" s="88"/>
      <c r="JXS22" s="88"/>
      <c r="JXT22" s="90"/>
      <c r="JXU22" s="93"/>
      <c r="JXV22" s="88"/>
      <c r="JXW22" s="88"/>
      <c r="JXX22" s="91"/>
      <c r="JXY22" s="93"/>
      <c r="JXZ22" s="93"/>
      <c r="JYA22" s="88"/>
      <c r="JYB22" s="88"/>
      <c r="JYC22" s="90"/>
      <c r="JYD22" s="148"/>
      <c r="JYE22" s="88"/>
      <c r="JYF22" s="88"/>
      <c r="JYG22" s="90"/>
      <c r="JYH22" s="93"/>
      <c r="JYI22" s="88"/>
      <c r="JYJ22" s="88"/>
      <c r="JYK22" s="91"/>
      <c r="JYL22" s="93"/>
      <c r="JYM22" s="93"/>
      <c r="JYN22" s="88"/>
      <c r="JYO22" s="88"/>
      <c r="JYP22" s="90"/>
      <c r="JYQ22" s="148"/>
      <c r="JYR22" s="88"/>
      <c r="JYS22" s="88"/>
      <c r="JYT22" s="90"/>
      <c r="JYU22" s="93"/>
      <c r="JYV22" s="88"/>
      <c r="JYW22" s="88"/>
      <c r="JYX22" s="91"/>
      <c r="JYY22" s="93"/>
      <c r="JYZ22" s="93"/>
      <c r="JZA22" s="88"/>
      <c r="JZB22" s="88"/>
      <c r="JZC22" s="90"/>
      <c r="JZD22" s="148"/>
      <c r="JZE22" s="88"/>
      <c r="JZF22" s="88"/>
      <c r="JZG22" s="90"/>
      <c r="JZH22" s="93"/>
      <c r="JZI22" s="88"/>
      <c r="JZJ22" s="88"/>
      <c r="JZK22" s="91"/>
      <c r="JZL22" s="93"/>
      <c r="JZM22" s="93"/>
      <c r="JZN22" s="88"/>
      <c r="JZO22" s="88"/>
      <c r="JZP22" s="90"/>
      <c r="JZQ22" s="148"/>
      <c r="JZR22" s="88"/>
      <c r="JZS22" s="88"/>
      <c r="JZT22" s="90"/>
      <c r="JZU22" s="93"/>
      <c r="JZV22" s="88"/>
      <c r="JZW22" s="88"/>
      <c r="JZX22" s="91"/>
      <c r="JZY22" s="93"/>
      <c r="JZZ22" s="93"/>
      <c r="KAA22" s="88"/>
      <c r="KAB22" s="88"/>
      <c r="KAC22" s="90"/>
      <c r="KAD22" s="148"/>
      <c r="KAE22" s="88"/>
      <c r="KAF22" s="88"/>
      <c r="KAG22" s="90"/>
      <c r="KAH22" s="93"/>
      <c r="KAI22" s="88"/>
      <c r="KAJ22" s="88"/>
      <c r="KAK22" s="91"/>
      <c r="KAL22" s="93"/>
      <c r="KAM22" s="93"/>
      <c r="KAN22" s="88"/>
      <c r="KAO22" s="88"/>
      <c r="KAP22" s="90"/>
      <c r="KAQ22" s="148"/>
      <c r="KAR22" s="88"/>
      <c r="KAS22" s="88"/>
      <c r="KAT22" s="90"/>
      <c r="KAU22" s="93"/>
      <c r="KAV22" s="88"/>
      <c r="KAW22" s="88"/>
      <c r="KAX22" s="91"/>
      <c r="KAY22" s="93"/>
      <c r="KAZ22" s="93"/>
      <c r="KBA22" s="88"/>
      <c r="KBB22" s="88"/>
      <c r="KBC22" s="90"/>
      <c r="KBD22" s="148"/>
      <c r="KBE22" s="88"/>
      <c r="KBF22" s="88"/>
      <c r="KBG22" s="90"/>
      <c r="KBH22" s="93"/>
      <c r="KBI22" s="88"/>
      <c r="KBJ22" s="88"/>
      <c r="KBK22" s="91"/>
      <c r="KBL22" s="93"/>
      <c r="KBM22" s="93"/>
      <c r="KBN22" s="88"/>
      <c r="KBO22" s="88"/>
      <c r="KBP22" s="90"/>
      <c r="KBQ22" s="148"/>
      <c r="KBR22" s="88"/>
      <c r="KBS22" s="88"/>
      <c r="KBT22" s="90"/>
      <c r="KBU22" s="93"/>
      <c r="KBV22" s="88"/>
      <c r="KBW22" s="88"/>
      <c r="KBX22" s="91"/>
      <c r="KBY22" s="93"/>
      <c r="KBZ22" s="93"/>
      <c r="KCA22" s="88"/>
      <c r="KCB22" s="88"/>
      <c r="KCC22" s="90"/>
      <c r="KCD22" s="148"/>
      <c r="KCE22" s="88"/>
      <c r="KCF22" s="88"/>
      <c r="KCG22" s="90"/>
      <c r="KCH22" s="93"/>
      <c r="KCI22" s="88"/>
      <c r="KCJ22" s="88"/>
      <c r="KCK22" s="91"/>
      <c r="KCL22" s="93"/>
      <c r="KCM22" s="93"/>
      <c r="KCN22" s="88"/>
      <c r="KCO22" s="88"/>
      <c r="KCP22" s="90"/>
      <c r="KCQ22" s="148"/>
      <c r="KCR22" s="88"/>
      <c r="KCS22" s="88"/>
      <c r="KCT22" s="90"/>
      <c r="KCU22" s="93"/>
      <c r="KCV22" s="88"/>
      <c r="KCW22" s="88"/>
      <c r="KCX22" s="91"/>
      <c r="KCY22" s="93"/>
      <c r="KCZ22" s="93"/>
      <c r="KDA22" s="88"/>
      <c r="KDB22" s="88"/>
      <c r="KDC22" s="90"/>
      <c r="KDD22" s="148"/>
      <c r="KDE22" s="88"/>
      <c r="KDF22" s="88"/>
      <c r="KDG22" s="90"/>
      <c r="KDH22" s="93"/>
      <c r="KDI22" s="88"/>
      <c r="KDJ22" s="88"/>
      <c r="KDK22" s="91"/>
      <c r="KDL22" s="93"/>
      <c r="KDM22" s="93"/>
      <c r="KDN22" s="88"/>
      <c r="KDO22" s="88"/>
      <c r="KDP22" s="90"/>
      <c r="KDQ22" s="148"/>
      <c r="KDR22" s="88"/>
      <c r="KDS22" s="88"/>
      <c r="KDT22" s="90"/>
      <c r="KDU22" s="93"/>
      <c r="KDV22" s="88"/>
      <c r="KDW22" s="88"/>
      <c r="KDX22" s="91"/>
      <c r="KDY22" s="93"/>
      <c r="KDZ22" s="93"/>
      <c r="KEA22" s="88"/>
      <c r="KEB22" s="88"/>
      <c r="KEC22" s="90"/>
      <c r="KED22" s="148"/>
      <c r="KEE22" s="88"/>
      <c r="KEF22" s="88"/>
      <c r="KEG22" s="90"/>
      <c r="KEH22" s="93"/>
      <c r="KEI22" s="88"/>
      <c r="KEJ22" s="88"/>
      <c r="KEK22" s="91"/>
      <c r="KEL22" s="93"/>
      <c r="KEM22" s="93"/>
      <c r="KEN22" s="88"/>
      <c r="KEO22" s="88"/>
      <c r="KEP22" s="90"/>
      <c r="KEQ22" s="148"/>
      <c r="KER22" s="88"/>
      <c r="KES22" s="88"/>
      <c r="KET22" s="90"/>
      <c r="KEU22" s="93"/>
      <c r="KEV22" s="88"/>
      <c r="KEW22" s="88"/>
      <c r="KEX22" s="91"/>
      <c r="KEY22" s="93"/>
      <c r="KEZ22" s="93"/>
      <c r="KFA22" s="88"/>
      <c r="KFB22" s="88"/>
      <c r="KFC22" s="90"/>
      <c r="KFD22" s="148"/>
      <c r="KFE22" s="88"/>
      <c r="KFF22" s="88"/>
      <c r="KFG22" s="90"/>
      <c r="KFH22" s="93"/>
      <c r="KFI22" s="88"/>
      <c r="KFJ22" s="88"/>
      <c r="KFK22" s="91"/>
      <c r="KFL22" s="93"/>
      <c r="KFM22" s="93"/>
      <c r="KFN22" s="88"/>
      <c r="KFO22" s="88"/>
      <c r="KFP22" s="90"/>
      <c r="KFQ22" s="148"/>
      <c r="KFR22" s="88"/>
      <c r="KFS22" s="88"/>
      <c r="KFT22" s="90"/>
      <c r="KFU22" s="93"/>
      <c r="KFV22" s="88"/>
      <c r="KFW22" s="88"/>
      <c r="KFX22" s="91"/>
      <c r="KFY22" s="93"/>
      <c r="KFZ22" s="93"/>
      <c r="KGA22" s="88"/>
      <c r="KGB22" s="88"/>
      <c r="KGC22" s="90"/>
      <c r="KGD22" s="148"/>
      <c r="KGE22" s="88"/>
      <c r="KGF22" s="88"/>
      <c r="KGG22" s="90"/>
      <c r="KGH22" s="93"/>
      <c r="KGI22" s="88"/>
      <c r="KGJ22" s="88"/>
      <c r="KGK22" s="91"/>
      <c r="KGL22" s="93"/>
      <c r="KGM22" s="93"/>
      <c r="KGN22" s="88"/>
      <c r="KGO22" s="88"/>
      <c r="KGP22" s="90"/>
      <c r="KGQ22" s="148"/>
      <c r="KGR22" s="88"/>
      <c r="KGS22" s="88"/>
      <c r="KGT22" s="90"/>
      <c r="KGU22" s="93"/>
      <c r="KGV22" s="88"/>
      <c r="KGW22" s="88"/>
      <c r="KGX22" s="91"/>
      <c r="KGY22" s="93"/>
      <c r="KGZ22" s="93"/>
      <c r="KHA22" s="88"/>
      <c r="KHB22" s="88"/>
      <c r="KHC22" s="90"/>
      <c r="KHD22" s="148"/>
      <c r="KHE22" s="88"/>
      <c r="KHF22" s="88"/>
      <c r="KHG22" s="90"/>
      <c r="KHH22" s="93"/>
      <c r="KHI22" s="88"/>
      <c r="KHJ22" s="88"/>
      <c r="KHK22" s="91"/>
      <c r="KHL22" s="93"/>
      <c r="KHM22" s="93"/>
      <c r="KHN22" s="88"/>
      <c r="KHO22" s="88"/>
      <c r="KHP22" s="90"/>
      <c r="KHQ22" s="148"/>
      <c r="KHR22" s="88"/>
      <c r="KHS22" s="88"/>
      <c r="KHT22" s="90"/>
      <c r="KHU22" s="93"/>
      <c r="KHV22" s="88"/>
      <c r="KHW22" s="88"/>
      <c r="KHX22" s="91"/>
      <c r="KHY22" s="93"/>
      <c r="KHZ22" s="93"/>
      <c r="KIA22" s="88"/>
      <c r="KIB22" s="88"/>
      <c r="KIC22" s="90"/>
      <c r="KID22" s="148"/>
      <c r="KIE22" s="88"/>
      <c r="KIF22" s="88"/>
      <c r="KIG22" s="90"/>
      <c r="KIH22" s="93"/>
      <c r="KII22" s="88"/>
      <c r="KIJ22" s="88"/>
      <c r="KIK22" s="91"/>
      <c r="KIL22" s="93"/>
      <c r="KIM22" s="93"/>
      <c r="KIN22" s="88"/>
      <c r="KIO22" s="88"/>
      <c r="KIP22" s="90"/>
      <c r="KIQ22" s="148"/>
      <c r="KIR22" s="88"/>
      <c r="KIS22" s="88"/>
      <c r="KIT22" s="90"/>
      <c r="KIU22" s="93"/>
      <c r="KIV22" s="88"/>
      <c r="KIW22" s="88"/>
      <c r="KIX22" s="91"/>
      <c r="KIY22" s="93"/>
      <c r="KIZ22" s="93"/>
      <c r="KJA22" s="88"/>
      <c r="KJB22" s="88"/>
      <c r="KJC22" s="90"/>
      <c r="KJD22" s="148"/>
      <c r="KJE22" s="88"/>
      <c r="KJF22" s="88"/>
      <c r="KJG22" s="90"/>
      <c r="KJH22" s="93"/>
      <c r="KJI22" s="88"/>
      <c r="KJJ22" s="88"/>
      <c r="KJK22" s="91"/>
      <c r="KJL22" s="93"/>
      <c r="KJM22" s="93"/>
      <c r="KJN22" s="88"/>
      <c r="KJO22" s="88"/>
      <c r="KJP22" s="90"/>
      <c r="KJQ22" s="148"/>
      <c r="KJR22" s="88"/>
      <c r="KJS22" s="88"/>
      <c r="KJT22" s="90"/>
      <c r="KJU22" s="93"/>
      <c r="KJV22" s="88"/>
      <c r="KJW22" s="88"/>
      <c r="KJX22" s="91"/>
      <c r="KJY22" s="93"/>
      <c r="KJZ22" s="93"/>
      <c r="KKA22" s="88"/>
      <c r="KKB22" s="88"/>
      <c r="KKC22" s="90"/>
      <c r="KKD22" s="148"/>
      <c r="KKE22" s="88"/>
      <c r="KKF22" s="88"/>
      <c r="KKG22" s="90"/>
      <c r="KKH22" s="93"/>
      <c r="KKI22" s="88"/>
      <c r="KKJ22" s="88"/>
      <c r="KKK22" s="91"/>
      <c r="KKL22" s="93"/>
      <c r="KKM22" s="93"/>
      <c r="KKN22" s="88"/>
      <c r="KKO22" s="88"/>
      <c r="KKP22" s="90"/>
      <c r="KKQ22" s="148"/>
      <c r="KKR22" s="88"/>
      <c r="KKS22" s="88"/>
      <c r="KKT22" s="90"/>
      <c r="KKU22" s="93"/>
      <c r="KKV22" s="88"/>
      <c r="KKW22" s="88"/>
      <c r="KKX22" s="91"/>
      <c r="KKY22" s="93"/>
      <c r="KKZ22" s="93"/>
      <c r="KLA22" s="88"/>
      <c r="KLB22" s="88"/>
      <c r="KLC22" s="90"/>
      <c r="KLD22" s="148"/>
      <c r="KLE22" s="88"/>
      <c r="KLF22" s="88"/>
      <c r="KLG22" s="90"/>
      <c r="KLH22" s="93"/>
      <c r="KLI22" s="88"/>
      <c r="KLJ22" s="88"/>
      <c r="KLK22" s="91"/>
      <c r="KLL22" s="93"/>
      <c r="KLM22" s="93"/>
      <c r="KLN22" s="88"/>
      <c r="KLO22" s="88"/>
      <c r="KLP22" s="90"/>
      <c r="KLQ22" s="148"/>
      <c r="KLR22" s="88"/>
      <c r="KLS22" s="88"/>
      <c r="KLT22" s="90"/>
      <c r="KLU22" s="93"/>
      <c r="KLV22" s="88"/>
      <c r="KLW22" s="88"/>
      <c r="KLX22" s="91"/>
      <c r="KLY22" s="93"/>
      <c r="KLZ22" s="93"/>
      <c r="KMA22" s="88"/>
      <c r="KMB22" s="88"/>
      <c r="KMC22" s="90"/>
      <c r="KMD22" s="148"/>
      <c r="KME22" s="88"/>
      <c r="KMF22" s="88"/>
      <c r="KMG22" s="90"/>
      <c r="KMH22" s="93"/>
      <c r="KMI22" s="88"/>
      <c r="KMJ22" s="88"/>
      <c r="KMK22" s="91"/>
      <c r="KML22" s="93"/>
      <c r="KMM22" s="93"/>
      <c r="KMN22" s="88"/>
      <c r="KMO22" s="88"/>
      <c r="KMP22" s="90"/>
      <c r="KMQ22" s="148"/>
      <c r="KMR22" s="88"/>
      <c r="KMS22" s="88"/>
      <c r="KMT22" s="90"/>
      <c r="KMU22" s="93"/>
      <c r="KMV22" s="88"/>
      <c r="KMW22" s="88"/>
      <c r="KMX22" s="91"/>
      <c r="KMY22" s="93"/>
      <c r="KMZ22" s="93"/>
      <c r="KNA22" s="88"/>
      <c r="KNB22" s="88"/>
      <c r="KNC22" s="90"/>
      <c r="KND22" s="148"/>
      <c r="KNE22" s="88"/>
      <c r="KNF22" s="88"/>
      <c r="KNG22" s="90"/>
      <c r="KNH22" s="93"/>
      <c r="KNI22" s="88"/>
      <c r="KNJ22" s="88"/>
      <c r="KNK22" s="91"/>
      <c r="KNL22" s="93"/>
      <c r="KNM22" s="93"/>
      <c r="KNN22" s="88"/>
      <c r="KNO22" s="88"/>
      <c r="KNP22" s="90"/>
      <c r="KNQ22" s="148"/>
      <c r="KNR22" s="88"/>
      <c r="KNS22" s="88"/>
      <c r="KNT22" s="90"/>
      <c r="KNU22" s="93"/>
      <c r="KNV22" s="88"/>
      <c r="KNW22" s="88"/>
      <c r="KNX22" s="91"/>
      <c r="KNY22" s="93"/>
      <c r="KNZ22" s="93"/>
      <c r="KOA22" s="88"/>
      <c r="KOB22" s="88"/>
      <c r="KOC22" s="90"/>
      <c r="KOD22" s="148"/>
      <c r="KOE22" s="88"/>
      <c r="KOF22" s="88"/>
      <c r="KOG22" s="90"/>
      <c r="KOH22" s="93"/>
      <c r="KOI22" s="88"/>
      <c r="KOJ22" s="88"/>
      <c r="KOK22" s="91"/>
      <c r="KOL22" s="93"/>
      <c r="KOM22" s="93"/>
      <c r="KON22" s="88"/>
      <c r="KOO22" s="88"/>
      <c r="KOP22" s="90"/>
      <c r="KOQ22" s="148"/>
      <c r="KOR22" s="88"/>
      <c r="KOS22" s="88"/>
      <c r="KOT22" s="90"/>
      <c r="KOU22" s="93"/>
      <c r="KOV22" s="88"/>
      <c r="KOW22" s="88"/>
      <c r="KOX22" s="91"/>
      <c r="KOY22" s="93"/>
      <c r="KOZ22" s="93"/>
      <c r="KPA22" s="88"/>
      <c r="KPB22" s="88"/>
      <c r="KPC22" s="90"/>
      <c r="KPD22" s="148"/>
      <c r="KPE22" s="88"/>
      <c r="KPF22" s="88"/>
      <c r="KPG22" s="90"/>
      <c r="KPH22" s="93"/>
      <c r="KPI22" s="88"/>
      <c r="KPJ22" s="88"/>
      <c r="KPK22" s="91"/>
      <c r="KPL22" s="93"/>
      <c r="KPM22" s="93"/>
      <c r="KPN22" s="88"/>
      <c r="KPO22" s="88"/>
      <c r="KPP22" s="90"/>
      <c r="KPQ22" s="148"/>
      <c r="KPR22" s="88"/>
      <c r="KPS22" s="88"/>
      <c r="KPT22" s="90"/>
      <c r="KPU22" s="93"/>
      <c r="KPV22" s="88"/>
      <c r="KPW22" s="88"/>
      <c r="KPX22" s="91"/>
      <c r="KPY22" s="93"/>
      <c r="KPZ22" s="93"/>
      <c r="KQA22" s="88"/>
      <c r="KQB22" s="88"/>
      <c r="KQC22" s="90"/>
      <c r="KQD22" s="148"/>
      <c r="KQE22" s="88"/>
      <c r="KQF22" s="88"/>
      <c r="KQG22" s="90"/>
      <c r="KQH22" s="93"/>
      <c r="KQI22" s="88"/>
      <c r="KQJ22" s="88"/>
      <c r="KQK22" s="91"/>
      <c r="KQL22" s="93"/>
      <c r="KQM22" s="93"/>
      <c r="KQN22" s="88"/>
      <c r="KQO22" s="88"/>
      <c r="KQP22" s="90"/>
      <c r="KQQ22" s="148"/>
      <c r="KQR22" s="88"/>
      <c r="KQS22" s="88"/>
      <c r="KQT22" s="90"/>
      <c r="KQU22" s="93"/>
      <c r="KQV22" s="88"/>
      <c r="KQW22" s="88"/>
      <c r="KQX22" s="91"/>
      <c r="KQY22" s="93"/>
      <c r="KQZ22" s="93"/>
      <c r="KRA22" s="88"/>
      <c r="KRB22" s="88"/>
      <c r="KRC22" s="90"/>
      <c r="KRD22" s="148"/>
      <c r="KRE22" s="88"/>
      <c r="KRF22" s="88"/>
      <c r="KRG22" s="90"/>
      <c r="KRH22" s="93"/>
      <c r="KRI22" s="88"/>
      <c r="KRJ22" s="88"/>
      <c r="KRK22" s="91"/>
      <c r="KRL22" s="93"/>
      <c r="KRM22" s="93"/>
      <c r="KRN22" s="88"/>
      <c r="KRO22" s="88"/>
      <c r="KRP22" s="90"/>
      <c r="KRQ22" s="148"/>
      <c r="KRR22" s="88"/>
      <c r="KRS22" s="88"/>
      <c r="KRT22" s="90"/>
      <c r="KRU22" s="93"/>
      <c r="KRV22" s="88"/>
      <c r="KRW22" s="88"/>
      <c r="KRX22" s="91"/>
      <c r="KRY22" s="93"/>
      <c r="KRZ22" s="93"/>
      <c r="KSA22" s="88"/>
      <c r="KSB22" s="88"/>
      <c r="KSC22" s="90"/>
      <c r="KSD22" s="148"/>
      <c r="KSE22" s="88"/>
      <c r="KSF22" s="88"/>
      <c r="KSG22" s="90"/>
      <c r="KSH22" s="93"/>
      <c r="KSI22" s="88"/>
      <c r="KSJ22" s="88"/>
      <c r="KSK22" s="91"/>
      <c r="KSL22" s="93"/>
      <c r="KSM22" s="93"/>
      <c r="KSN22" s="88"/>
      <c r="KSO22" s="88"/>
      <c r="KSP22" s="90"/>
      <c r="KSQ22" s="148"/>
      <c r="KSR22" s="88"/>
      <c r="KSS22" s="88"/>
      <c r="KST22" s="90"/>
      <c r="KSU22" s="93"/>
      <c r="KSV22" s="88"/>
      <c r="KSW22" s="88"/>
      <c r="KSX22" s="91"/>
      <c r="KSY22" s="93"/>
      <c r="KSZ22" s="93"/>
      <c r="KTA22" s="88"/>
      <c r="KTB22" s="88"/>
      <c r="KTC22" s="90"/>
      <c r="KTD22" s="148"/>
      <c r="KTE22" s="88"/>
      <c r="KTF22" s="88"/>
      <c r="KTG22" s="90"/>
      <c r="KTH22" s="93"/>
      <c r="KTI22" s="88"/>
      <c r="KTJ22" s="88"/>
      <c r="KTK22" s="91"/>
      <c r="KTL22" s="93"/>
      <c r="KTM22" s="93"/>
      <c r="KTN22" s="88"/>
      <c r="KTO22" s="88"/>
      <c r="KTP22" s="90"/>
      <c r="KTQ22" s="148"/>
      <c r="KTR22" s="88"/>
      <c r="KTS22" s="88"/>
      <c r="KTT22" s="90"/>
      <c r="KTU22" s="93"/>
      <c r="KTV22" s="88"/>
      <c r="KTW22" s="88"/>
      <c r="KTX22" s="91"/>
      <c r="KTY22" s="93"/>
      <c r="KTZ22" s="93"/>
      <c r="KUA22" s="88"/>
      <c r="KUB22" s="88"/>
      <c r="KUC22" s="90"/>
      <c r="KUD22" s="148"/>
      <c r="KUE22" s="88"/>
      <c r="KUF22" s="88"/>
      <c r="KUG22" s="90"/>
      <c r="KUH22" s="93"/>
      <c r="KUI22" s="88"/>
      <c r="KUJ22" s="88"/>
      <c r="KUK22" s="91"/>
      <c r="KUL22" s="93"/>
      <c r="KUM22" s="93"/>
      <c r="KUN22" s="88"/>
      <c r="KUO22" s="88"/>
      <c r="KUP22" s="90"/>
      <c r="KUQ22" s="148"/>
      <c r="KUR22" s="88"/>
      <c r="KUS22" s="88"/>
      <c r="KUT22" s="90"/>
      <c r="KUU22" s="93"/>
      <c r="KUV22" s="88"/>
      <c r="KUW22" s="88"/>
      <c r="KUX22" s="91"/>
      <c r="KUY22" s="93"/>
      <c r="KUZ22" s="93"/>
      <c r="KVA22" s="88"/>
      <c r="KVB22" s="88"/>
      <c r="KVC22" s="90"/>
      <c r="KVD22" s="148"/>
      <c r="KVE22" s="88"/>
      <c r="KVF22" s="88"/>
      <c r="KVG22" s="90"/>
      <c r="KVH22" s="93"/>
      <c r="KVI22" s="88"/>
      <c r="KVJ22" s="88"/>
      <c r="KVK22" s="91"/>
      <c r="KVL22" s="93"/>
      <c r="KVM22" s="93"/>
      <c r="KVN22" s="88"/>
      <c r="KVO22" s="88"/>
      <c r="KVP22" s="90"/>
      <c r="KVQ22" s="148"/>
      <c r="KVR22" s="88"/>
      <c r="KVS22" s="88"/>
      <c r="KVT22" s="90"/>
      <c r="KVU22" s="93"/>
      <c r="KVV22" s="88"/>
      <c r="KVW22" s="88"/>
      <c r="KVX22" s="91"/>
      <c r="KVY22" s="93"/>
      <c r="KVZ22" s="93"/>
      <c r="KWA22" s="88"/>
      <c r="KWB22" s="88"/>
      <c r="KWC22" s="90"/>
      <c r="KWD22" s="148"/>
      <c r="KWE22" s="88"/>
      <c r="KWF22" s="88"/>
      <c r="KWG22" s="90"/>
      <c r="KWH22" s="93"/>
      <c r="KWI22" s="88"/>
      <c r="KWJ22" s="88"/>
      <c r="KWK22" s="91"/>
      <c r="KWL22" s="93"/>
      <c r="KWM22" s="93"/>
      <c r="KWN22" s="88"/>
      <c r="KWO22" s="88"/>
      <c r="KWP22" s="90"/>
      <c r="KWQ22" s="148"/>
      <c r="KWR22" s="88"/>
      <c r="KWS22" s="88"/>
      <c r="KWT22" s="90"/>
      <c r="KWU22" s="93"/>
      <c r="KWV22" s="88"/>
      <c r="KWW22" s="88"/>
      <c r="KWX22" s="91"/>
      <c r="KWY22" s="93"/>
      <c r="KWZ22" s="93"/>
      <c r="KXA22" s="88"/>
      <c r="KXB22" s="88"/>
      <c r="KXC22" s="90"/>
      <c r="KXD22" s="148"/>
      <c r="KXE22" s="88"/>
      <c r="KXF22" s="88"/>
      <c r="KXG22" s="90"/>
      <c r="KXH22" s="93"/>
      <c r="KXI22" s="88"/>
      <c r="KXJ22" s="88"/>
      <c r="KXK22" s="91"/>
      <c r="KXL22" s="93"/>
      <c r="KXM22" s="93"/>
      <c r="KXN22" s="88"/>
      <c r="KXO22" s="88"/>
      <c r="KXP22" s="90"/>
      <c r="KXQ22" s="148"/>
      <c r="KXR22" s="88"/>
      <c r="KXS22" s="88"/>
      <c r="KXT22" s="90"/>
      <c r="KXU22" s="93"/>
      <c r="KXV22" s="88"/>
      <c r="KXW22" s="88"/>
      <c r="KXX22" s="91"/>
      <c r="KXY22" s="93"/>
      <c r="KXZ22" s="93"/>
      <c r="KYA22" s="88"/>
      <c r="KYB22" s="88"/>
      <c r="KYC22" s="90"/>
      <c r="KYD22" s="148"/>
      <c r="KYE22" s="88"/>
      <c r="KYF22" s="88"/>
      <c r="KYG22" s="90"/>
      <c r="KYH22" s="93"/>
      <c r="KYI22" s="88"/>
      <c r="KYJ22" s="88"/>
      <c r="KYK22" s="91"/>
      <c r="KYL22" s="93"/>
      <c r="KYM22" s="93"/>
      <c r="KYN22" s="88"/>
      <c r="KYO22" s="88"/>
      <c r="KYP22" s="90"/>
      <c r="KYQ22" s="148"/>
      <c r="KYR22" s="88"/>
      <c r="KYS22" s="88"/>
      <c r="KYT22" s="90"/>
      <c r="KYU22" s="93"/>
      <c r="KYV22" s="88"/>
      <c r="KYW22" s="88"/>
      <c r="KYX22" s="91"/>
      <c r="KYY22" s="93"/>
      <c r="KYZ22" s="93"/>
      <c r="KZA22" s="88"/>
      <c r="KZB22" s="88"/>
      <c r="KZC22" s="90"/>
      <c r="KZD22" s="148"/>
      <c r="KZE22" s="88"/>
      <c r="KZF22" s="88"/>
      <c r="KZG22" s="90"/>
      <c r="KZH22" s="93"/>
      <c r="KZI22" s="88"/>
      <c r="KZJ22" s="88"/>
      <c r="KZK22" s="91"/>
      <c r="KZL22" s="93"/>
      <c r="KZM22" s="93"/>
      <c r="KZN22" s="88"/>
      <c r="KZO22" s="88"/>
      <c r="KZP22" s="90"/>
      <c r="KZQ22" s="148"/>
      <c r="KZR22" s="88"/>
      <c r="KZS22" s="88"/>
      <c r="KZT22" s="90"/>
      <c r="KZU22" s="93"/>
      <c r="KZV22" s="88"/>
      <c r="KZW22" s="88"/>
      <c r="KZX22" s="91"/>
      <c r="KZY22" s="93"/>
      <c r="KZZ22" s="93"/>
      <c r="LAA22" s="88"/>
      <c r="LAB22" s="88"/>
      <c r="LAC22" s="90"/>
      <c r="LAD22" s="148"/>
      <c r="LAE22" s="88"/>
      <c r="LAF22" s="88"/>
      <c r="LAG22" s="90"/>
      <c r="LAH22" s="93"/>
      <c r="LAI22" s="88"/>
      <c r="LAJ22" s="88"/>
      <c r="LAK22" s="91"/>
      <c r="LAL22" s="93"/>
      <c r="LAM22" s="93"/>
      <c r="LAN22" s="88"/>
      <c r="LAO22" s="88"/>
      <c r="LAP22" s="90"/>
      <c r="LAQ22" s="148"/>
      <c r="LAR22" s="88"/>
      <c r="LAS22" s="88"/>
      <c r="LAT22" s="90"/>
      <c r="LAU22" s="93"/>
      <c r="LAV22" s="88"/>
      <c r="LAW22" s="88"/>
      <c r="LAX22" s="91"/>
      <c r="LAY22" s="93"/>
      <c r="LAZ22" s="93"/>
      <c r="LBA22" s="88"/>
      <c r="LBB22" s="88"/>
      <c r="LBC22" s="90"/>
      <c r="LBD22" s="148"/>
      <c r="LBE22" s="88"/>
      <c r="LBF22" s="88"/>
      <c r="LBG22" s="90"/>
      <c r="LBH22" s="93"/>
      <c r="LBI22" s="88"/>
      <c r="LBJ22" s="88"/>
      <c r="LBK22" s="91"/>
      <c r="LBL22" s="93"/>
      <c r="LBM22" s="93"/>
      <c r="LBN22" s="88"/>
      <c r="LBO22" s="88"/>
      <c r="LBP22" s="90"/>
      <c r="LBQ22" s="148"/>
      <c r="LBR22" s="88"/>
      <c r="LBS22" s="88"/>
      <c r="LBT22" s="90"/>
      <c r="LBU22" s="93"/>
      <c r="LBV22" s="88"/>
      <c r="LBW22" s="88"/>
      <c r="LBX22" s="91"/>
      <c r="LBY22" s="93"/>
      <c r="LBZ22" s="93"/>
      <c r="LCA22" s="88"/>
      <c r="LCB22" s="88"/>
      <c r="LCC22" s="90"/>
      <c r="LCD22" s="148"/>
      <c r="LCE22" s="88"/>
      <c r="LCF22" s="88"/>
      <c r="LCG22" s="90"/>
      <c r="LCH22" s="93"/>
      <c r="LCI22" s="88"/>
      <c r="LCJ22" s="88"/>
      <c r="LCK22" s="91"/>
      <c r="LCL22" s="93"/>
      <c r="LCM22" s="93"/>
      <c r="LCN22" s="88"/>
      <c r="LCO22" s="88"/>
      <c r="LCP22" s="90"/>
      <c r="LCQ22" s="148"/>
      <c r="LCR22" s="88"/>
      <c r="LCS22" s="88"/>
      <c r="LCT22" s="90"/>
      <c r="LCU22" s="93"/>
      <c r="LCV22" s="88"/>
      <c r="LCW22" s="88"/>
      <c r="LCX22" s="91"/>
      <c r="LCY22" s="93"/>
      <c r="LCZ22" s="93"/>
      <c r="LDA22" s="88"/>
      <c r="LDB22" s="88"/>
      <c r="LDC22" s="90"/>
      <c r="LDD22" s="148"/>
      <c r="LDE22" s="88"/>
      <c r="LDF22" s="88"/>
      <c r="LDG22" s="90"/>
      <c r="LDH22" s="93"/>
      <c r="LDI22" s="88"/>
      <c r="LDJ22" s="88"/>
      <c r="LDK22" s="91"/>
      <c r="LDL22" s="93"/>
      <c r="LDM22" s="93"/>
      <c r="LDN22" s="88"/>
      <c r="LDO22" s="88"/>
      <c r="LDP22" s="90"/>
      <c r="LDQ22" s="148"/>
      <c r="LDR22" s="88"/>
      <c r="LDS22" s="88"/>
      <c r="LDT22" s="90"/>
      <c r="LDU22" s="93"/>
      <c r="LDV22" s="88"/>
      <c r="LDW22" s="88"/>
      <c r="LDX22" s="91"/>
      <c r="LDY22" s="93"/>
      <c r="LDZ22" s="93"/>
      <c r="LEA22" s="88"/>
      <c r="LEB22" s="88"/>
      <c r="LEC22" s="90"/>
      <c r="LED22" s="148"/>
      <c r="LEE22" s="88"/>
      <c r="LEF22" s="88"/>
      <c r="LEG22" s="90"/>
      <c r="LEH22" s="93"/>
      <c r="LEI22" s="88"/>
      <c r="LEJ22" s="88"/>
      <c r="LEK22" s="91"/>
      <c r="LEL22" s="93"/>
      <c r="LEM22" s="93"/>
      <c r="LEN22" s="88"/>
      <c r="LEO22" s="88"/>
      <c r="LEP22" s="90"/>
      <c r="LEQ22" s="148"/>
      <c r="LER22" s="88"/>
      <c r="LES22" s="88"/>
      <c r="LET22" s="90"/>
      <c r="LEU22" s="93"/>
      <c r="LEV22" s="88"/>
      <c r="LEW22" s="88"/>
      <c r="LEX22" s="91"/>
      <c r="LEY22" s="93"/>
      <c r="LEZ22" s="93"/>
      <c r="LFA22" s="88"/>
      <c r="LFB22" s="88"/>
      <c r="LFC22" s="90"/>
      <c r="LFD22" s="148"/>
      <c r="LFE22" s="88"/>
      <c r="LFF22" s="88"/>
      <c r="LFG22" s="90"/>
      <c r="LFH22" s="93"/>
      <c r="LFI22" s="88"/>
      <c r="LFJ22" s="88"/>
      <c r="LFK22" s="91"/>
      <c r="LFL22" s="93"/>
      <c r="LFM22" s="93"/>
      <c r="LFN22" s="88"/>
      <c r="LFO22" s="88"/>
      <c r="LFP22" s="90"/>
      <c r="LFQ22" s="148"/>
      <c r="LFR22" s="88"/>
      <c r="LFS22" s="88"/>
      <c r="LFT22" s="90"/>
      <c r="LFU22" s="93"/>
      <c r="LFV22" s="88"/>
      <c r="LFW22" s="88"/>
      <c r="LFX22" s="91"/>
      <c r="LFY22" s="93"/>
      <c r="LFZ22" s="93"/>
      <c r="LGA22" s="88"/>
      <c r="LGB22" s="88"/>
      <c r="LGC22" s="90"/>
      <c r="LGD22" s="148"/>
      <c r="LGE22" s="88"/>
      <c r="LGF22" s="88"/>
      <c r="LGG22" s="90"/>
      <c r="LGH22" s="93"/>
      <c r="LGI22" s="88"/>
      <c r="LGJ22" s="88"/>
      <c r="LGK22" s="91"/>
      <c r="LGL22" s="93"/>
      <c r="LGM22" s="93"/>
      <c r="LGN22" s="88"/>
      <c r="LGO22" s="88"/>
      <c r="LGP22" s="90"/>
      <c r="LGQ22" s="148"/>
      <c r="LGR22" s="88"/>
      <c r="LGS22" s="88"/>
      <c r="LGT22" s="90"/>
      <c r="LGU22" s="93"/>
      <c r="LGV22" s="88"/>
      <c r="LGW22" s="88"/>
      <c r="LGX22" s="91"/>
      <c r="LGY22" s="93"/>
      <c r="LGZ22" s="93"/>
      <c r="LHA22" s="88"/>
      <c r="LHB22" s="88"/>
      <c r="LHC22" s="90"/>
      <c r="LHD22" s="148"/>
      <c r="LHE22" s="88"/>
      <c r="LHF22" s="88"/>
      <c r="LHG22" s="90"/>
      <c r="LHH22" s="93"/>
      <c r="LHI22" s="88"/>
      <c r="LHJ22" s="88"/>
      <c r="LHK22" s="91"/>
      <c r="LHL22" s="93"/>
      <c r="LHM22" s="93"/>
      <c r="LHN22" s="88"/>
      <c r="LHO22" s="88"/>
      <c r="LHP22" s="90"/>
      <c r="LHQ22" s="148"/>
      <c r="LHR22" s="88"/>
      <c r="LHS22" s="88"/>
      <c r="LHT22" s="90"/>
      <c r="LHU22" s="93"/>
      <c r="LHV22" s="88"/>
      <c r="LHW22" s="88"/>
      <c r="LHX22" s="91"/>
      <c r="LHY22" s="93"/>
      <c r="LHZ22" s="93"/>
      <c r="LIA22" s="88"/>
      <c r="LIB22" s="88"/>
      <c r="LIC22" s="90"/>
      <c r="LID22" s="148"/>
      <c r="LIE22" s="88"/>
      <c r="LIF22" s="88"/>
      <c r="LIG22" s="90"/>
      <c r="LIH22" s="93"/>
      <c r="LII22" s="88"/>
      <c r="LIJ22" s="88"/>
      <c r="LIK22" s="91"/>
      <c r="LIL22" s="93"/>
      <c r="LIM22" s="93"/>
      <c r="LIN22" s="88"/>
      <c r="LIO22" s="88"/>
      <c r="LIP22" s="90"/>
      <c r="LIQ22" s="148"/>
      <c r="LIR22" s="88"/>
      <c r="LIS22" s="88"/>
      <c r="LIT22" s="90"/>
      <c r="LIU22" s="93"/>
      <c r="LIV22" s="88"/>
      <c r="LIW22" s="88"/>
      <c r="LIX22" s="91"/>
      <c r="LIY22" s="93"/>
      <c r="LIZ22" s="93"/>
      <c r="LJA22" s="88"/>
      <c r="LJB22" s="88"/>
      <c r="LJC22" s="90"/>
      <c r="LJD22" s="148"/>
      <c r="LJE22" s="88"/>
      <c r="LJF22" s="88"/>
      <c r="LJG22" s="90"/>
      <c r="LJH22" s="93"/>
      <c r="LJI22" s="88"/>
      <c r="LJJ22" s="88"/>
      <c r="LJK22" s="91"/>
      <c r="LJL22" s="93"/>
      <c r="LJM22" s="93"/>
      <c r="LJN22" s="88"/>
      <c r="LJO22" s="88"/>
      <c r="LJP22" s="90"/>
      <c r="LJQ22" s="148"/>
      <c r="LJR22" s="88"/>
      <c r="LJS22" s="88"/>
      <c r="LJT22" s="90"/>
      <c r="LJU22" s="93"/>
      <c r="LJV22" s="88"/>
      <c r="LJW22" s="88"/>
      <c r="LJX22" s="91"/>
      <c r="LJY22" s="93"/>
      <c r="LJZ22" s="93"/>
      <c r="LKA22" s="88"/>
      <c r="LKB22" s="88"/>
      <c r="LKC22" s="90"/>
      <c r="LKD22" s="148"/>
      <c r="LKE22" s="88"/>
      <c r="LKF22" s="88"/>
      <c r="LKG22" s="90"/>
      <c r="LKH22" s="93"/>
      <c r="LKI22" s="88"/>
      <c r="LKJ22" s="88"/>
      <c r="LKK22" s="91"/>
      <c r="LKL22" s="93"/>
      <c r="LKM22" s="93"/>
      <c r="LKN22" s="88"/>
      <c r="LKO22" s="88"/>
      <c r="LKP22" s="90"/>
      <c r="LKQ22" s="148"/>
      <c r="LKR22" s="88"/>
      <c r="LKS22" s="88"/>
      <c r="LKT22" s="90"/>
      <c r="LKU22" s="93"/>
      <c r="LKV22" s="88"/>
      <c r="LKW22" s="88"/>
      <c r="LKX22" s="91"/>
      <c r="LKY22" s="93"/>
      <c r="LKZ22" s="93"/>
      <c r="LLA22" s="88"/>
      <c r="LLB22" s="88"/>
      <c r="LLC22" s="90"/>
      <c r="LLD22" s="148"/>
      <c r="LLE22" s="88"/>
      <c r="LLF22" s="88"/>
      <c r="LLG22" s="90"/>
      <c r="LLH22" s="93"/>
      <c r="LLI22" s="88"/>
      <c r="LLJ22" s="88"/>
      <c r="LLK22" s="91"/>
      <c r="LLL22" s="93"/>
      <c r="LLM22" s="93"/>
      <c r="LLN22" s="88"/>
      <c r="LLO22" s="88"/>
      <c r="LLP22" s="90"/>
      <c r="LLQ22" s="148"/>
      <c r="LLR22" s="88"/>
      <c r="LLS22" s="88"/>
      <c r="LLT22" s="90"/>
      <c r="LLU22" s="93"/>
      <c r="LLV22" s="88"/>
      <c r="LLW22" s="88"/>
      <c r="LLX22" s="91"/>
      <c r="LLY22" s="93"/>
      <c r="LLZ22" s="93"/>
      <c r="LMA22" s="88"/>
      <c r="LMB22" s="88"/>
      <c r="LMC22" s="90"/>
      <c r="LMD22" s="148"/>
      <c r="LME22" s="88"/>
      <c r="LMF22" s="88"/>
      <c r="LMG22" s="90"/>
      <c r="LMH22" s="93"/>
      <c r="LMI22" s="88"/>
      <c r="LMJ22" s="88"/>
      <c r="LMK22" s="91"/>
      <c r="LML22" s="93"/>
      <c r="LMM22" s="93"/>
      <c r="LMN22" s="88"/>
      <c r="LMO22" s="88"/>
      <c r="LMP22" s="90"/>
      <c r="LMQ22" s="148"/>
      <c r="LMR22" s="88"/>
      <c r="LMS22" s="88"/>
      <c r="LMT22" s="90"/>
      <c r="LMU22" s="93"/>
      <c r="LMV22" s="88"/>
      <c r="LMW22" s="88"/>
      <c r="LMX22" s="91"/>
      <c r="LMY22" s="93"/>
      <c r="LMZ22" s="93"/>
      <c r="LNA22" s="88"/>
      <c r="LNB22" s="88"/>
      <c r="LNC22" s="90"/>
      <c r="LND22" s="148"/>
      <c r="LNE22" s="88"/>
      <c r="LNF22" s="88"/>
      <c r="LNG22" s="90"/>
      <c r="LNH22" s="93"/>
      <c r="LNI22" s="88"/>
      <c r="LNJ22" s="88"/>
      <c r="LNK22" s="91"/>
      <c r="LNL22" s="93"/>
      <c r="LNM22" s="93"/>
      <c r="LNN22" s="88"/>
      <c r="LNO22" s="88"/>
      <c r="LNP22" s="90"/>
      <c r="LNQ22" s="148"/>
      <c r="LNR22" s="88"/>
      <c r="LNS22" s="88"/>
      <c r="LNT22" s="90"/>
      <c r="LNU22" s="93"/>
      <c r="LNV22" s="88"/>
      <c r="LNW22" s="88"/>
      <c r="LNX22" s="91"/>
      <c r="LNY22" s="93"/>
      <c r="LNZ22" s="93"/>
      <c r="LOA22" s="88"/>
      <c r="LOB22" s="88"/>
      <c r="LOC22" s="90"/>
      <c r="LOD22" s="148"/>
      <c r="LOE22" s="88"/>
      <c r="LOF22" s="88"/>
      <c r="LOG22" s="90"/>
      <c r="LOH22" s="93"/>
      <c r="LOI22" s="88"/>
      <c r="LOJ22" s="88"/>
      <c r="LOK22" s="91"/>
      <c r="LOL22" s="93"/>
      <c r="LOM22" s="93"/>
      <c r="LON22" s="88"/>
      <c r="LOO22" s="88"/>
      <c r="LOP22" s="90"/>
      <c r="LOQ22" s="148"/>
      <c r="LOR22" s="88"/>
      <c r="LOS22" s="88"/>
      <c r="LOT22" s="90"/>
      <c r="LOU22" s="93"/>
      <c r="LOV22" s="88"/>
      <c r="LOW22" s="88"/>
      <c r="LOX22" s="91"/>
      <c r="LOY22" s="93"/>
      <c r="LOZ22" s="93"/>
      <c r="LPA22" s="88"/>
      <c r="LPB22" s="88"/>
      <c r="LPC22" s="90"/>
      <c r="LPD22" s="148"/>
      <c r="LPE22" s="88"/>
      <c r="LPF22" s="88"/>
      <c r="LPG22" s="90"/>
      <c r="LPH22" s="93"/>
      <c r="LPI22" s="88"/>
      <c r="LPJ22" s="88"/>
      <c r="LPK22" s="91"/>
      <c r="LPL22" s="93"/>
      <c r="LPM22" s="93"/>
      <c r="LPN22" s="88"/>
      <c r="LPO22" s="88"/>
      <c r="LPP22" s="90"/>
      <c r="LPQ22" s="148"/>
      <c r="LPR22" s="88"/>
      <c r="LPS22" s="88"/>
      <c r="LPT22" s="90"/>
      <c r="LPU22" s="93"/>
      <c r="LPV22" s="88"/>
      <c r="LPW22" s="88"/>
      <c r="LPX22" s="91"/>
      <c r="LPY22" s="93"/>
      <c r="LPZ22" s="93"/>
      <c r="LQA22" s="88"/>
      <c r="LQB22" s="88"/>
      <c r="LQC22" s="90"/>
      <c r="LQD22" s="148"/>
      <c r="LQE22" s="88"/>
      <c r="LQF22" s="88"/>
      <c r="LQG22" s="90"/>
      <c r="LQH22" s="93"/>
      <c r="LQI22" s="88"/>
      <c r="LQJ22" s="88"/>
      <c r="LQK22" s="91"/>
      <c r="LQL22" s="93"/>
      <c r="LQM22" s="93"/>
      <c r="LQN22" s="88"/>
      <c r="LQO22" s="88"/>
      <c r="LQP22" s="90"/>
      <c r="LQQ22" s="148"/>
      <c r="LQR22" s="88"/>
      <c r="LQS22" s="88"/>
      <c r="LQT22" s="90"/>
      <c r="LQU22" s="93"/>
      <c r="LQV22" s="88"/>
      <c r="LQW22" s="88"/>
      <c r="LQX22" s="91"/>
      <c r="LQY22" s="93"/>
      <c r="LQZ22" s="93"/>
      <c r="LRA22" s="88"/>
      <c r="LRB22" s="88"/>
      <c r="LRC22" s="90"/>
      <c r="LRD22" s="148"/>
      <c r="LRE22" s="88"/>
      <c r="LRF22" s="88"/>
      <c r="LRG22" s="90"/>
      <c r="LRH22" s="93"/>
      <c r="LRI22" s="88"/>
      <c r="LRJ22" s="88"/>
      <c r="LRK22" s="91"/>
      <c r="LRL22" s="93"/>
      <c r="LRM22" s="93"/>
      <c r="LRN22" s="88"/>
      <c r="LRO22" s="88"/>
      <c r="LRP22" s="90"/>
      <c r="LRQ22" s="148"/>
      <c r="LRR22" s="88"/>
      <c r="LRS22" s="88"/>
      <c r="LRT22" s="90"/>
      <c r="LRU22" s="93"/>
      <c r="LRV22" s="88"/>
      <c r="LRW22" s="88"/>
      <c r="LRX22" s="91"/>
      <c r="LRY22" s="93"/>
      <c r="LRZ22" s="93"/>
      <c r="LSA22" s="88"/>
      <c r="LSB22" s="88"/>
      <c r="LSC22" s="90"/>
      <c r="LSD22" s="148"/>
      <c r="LSE22" s="88"/>
      <c r="LSF22" s="88"/>
      <c r="LSG22" s="90"/>
      <c r="LSH22" s="93"/>
      <c r="LSI22" s="88"/>
      <c r="LSJ22" s="88"/>
      <c r="LSK22" s="91"/>
      <c r="LSL22" s="93"/>
      <c r="LSM22" s="93"/>
      <c r="LSN22" s="88"/>
      <c r="LSO22" s="88"/>
      <c r="LSP22" s="90"/>
      <c r="LSQ22" s="148"/>
      <c r="LSR22" s="88"/>
      <c r="LSS22" s="88"/>
      <c r="LST22" s="90"/>
      <c r="LSU22" s="93"/>
      <c r="LSV22" s="88"/>
      <c r="LSW22" s="88"/>
      <c r="LSX22" s="91"/>
      <c r="LSY22" s="93"/>
      <c r="LSZ22" s="93"/>
      <c r="LTA22" s="88"/>
      <c r="LTB22" s="88"/>
      <c r="LTC22" s="90"/>
      <c r="LTD22" s="148"/>
      <c r="LTE22" s="88"/>
      <c r="LTF22" s="88"/>
      <c r="LTG22" s="90"/>
      <c r="LTH22" s="93"/>
      <c r="LTI22" s="88"/>
      <c r="LTJ22" s="88"/>
      <c r="LTK22" s="91"/>
      <c r="LTL22" s="93"/>
      <c r="LTM22" s="93"/>
      <c r="LTN22" s="88"/>
      <c r="LTO22" s="88"/>
      <c r="LTP22" s="90"/>
      <c r="LTQ22" s="148"/>
      <c r="LTR22" s="88"/>
      <c r="LTS22" s="88"/>
      <c r="LTT22" s="90"/>
      <c r="LTU22" s="93"/>
      <c r="LTV22" s="88"/>
      <c r="LTW22" s="88"/>
      <c r="LTX22" s="91"/>
      <c r="LTY22" s="93"/>
      <c r="LTZ22" s="93"/>
      <c r="LUA22" s="88"/>
      <c r="LUB22" s="88"/>
      <c r="LUC22" s="90"/>
      <c r="LUD22" s="148"/>
      <c r="LUE22" s="88"/>
      <c r="LUF22" s="88"/>
      <c r="LUG22" s="90"/>
      <c r="LUH22" s="93"/>
      <c r="LUI22" s="88"/>
      <c r="LUJ22" s="88"/>
      <c r="LUK22" s="91"/>
      <c r="LUL22" s="93"/>
      <c r="LUM22" s="93"/>
      <c r="LUN22" s="88"/>
      <c r="LUO22" s="88"/>
      <c r="LUP22" s="90"/>
      <c r="LUQ22" s="148"/>
      <c r="LUR22" s="88"/>
      <c r="LUS22" s="88"/>
      <c r="LUT22" s="90"/>
      <c r="LUU22" s="93"/>
      <c r="LUV22" s="88"/>
      <c r="LUW22" s="88"/>
      <c r="LUX22" s="91"/>
      <c r="LUY22" s="93"/>
      <c r="LUZ22" s="93"/>
      <c r="LVA22" s="88"/>
      <c r="LVB22" s="88"/>
      <c r="LVC22" s="90"/>
      <c r="LVD22" s="148"/>
      <c r="LVE22" s="88"/>
      <c r="LVF22" s="88"/>
      <c r="LVG22" s="90"/>
      <c r="LVH22" s="93"/>
      <c r="LVI22" s="88"/>
      <c r="LVJ22" s="88"/>
      <c r="LVK22" s="91"/>
      <c r="LVL22" s="93"/>
      <c r="LVM22" s="93"/>
      <c r="LVN22" s="88"/>
      <c r="LVO22" s="88"/>
      <c r="LVP22" s="90"/>
      <c r="LVQ22" s="148"/>
      <c r="LVR22" s="88"/>
      <c r="LVS22" s="88"/>
      <c r="LVT22" s="90"/>
      <c r="LVU22" s="93"/>
      <c r="LVV22" s="88"/>
      <c r="LVW22" s="88"/>
      <c r="LVX22" s="91"/>
      <c r="LVY22" s="93"/>
      <c r="LVZ22" s="93"/>
      <c r="LWA22" s="88"/>
      <c r="LWB22" s="88"/>
      <c r="LWC22" s="90"/>
      <c r="LWD22" s="148"/>
      <c r="LWE22" s="88"/>
      <c r="LWF22" s="88"/>
      <c r="LWG22" s="90"/>
      <c r="LWH22" s="93"/>
      <c r="LWI22" s="88"/>
      <c r="LWJ22" s="88"/>
      <c r="LWK22" s="91"/>
      <c r="LWL22" s="93"/>
      <c r="LWM22" s="93"/>
      <c r="LWN22" s="88"/>
      <c r="LWO22" s="88"/>
      <c r="LWP22" s="90"/>
      <c r="LWQ22" s="148"/>
      <c r="LWR22" s="88"/>
      <c r="LWS22" s="88"/>
      <c r="LWT22" s="90"/>
      <c r="LWU22" s="93"/>
      <c r="LWV22" s="88"/>
      <c r="LWW22" s="88"/>
      <c r="LWX22" s="91"/>
      <c r="LWY22" s="93"/>
      <c r="LWZ22" s="93"/>
      <c r="LXA22" s="88"/>
      <c r="LXB22" s="88"/>
      <c r="LXC22" s="90"/>
      <c r="LXD22" s="148"/>
      <c r="LXE22" s="88"/>
      <c r="LXF22" s="88"/>
      <c r="LXG22" s="90"/>
      <c r="LXH22" s="93"/>
      <c r="LXI22" s="88"/>
      <c r="LXJ22" s="88"/>
      <c r="LXK22" s="91"/>
      <c r="LXL22" s="93"/>
      <c r="LXM22" s="93"/>
      <c r="LXN22" s="88"/>
      <c r="LXO22" s="88"/>
      <c r="LXP22" s="90"/>
      <c r="LXQ22" s="148"/>
      <c r="LXR22" s="88"/>
      <c r="LXS22" s="88"/>
      <c r="LXT22" s="90"/>
      <c r="LXU22" s="93"/>
      <c r="LXV22" s="88"/>
      <c r="LXW22" s="88"/>
      <c r="LXX22" s="91"/>
      <c r="LXY22" s="93"/>
      <c r="LXZ22" s="93"/>
      <c r="LYA22" s="88"/>
      <c r="LYB22" s="88"/>
      <c r="LYC22" s="90"/>
      <c r="LYD22" s="148"/>
      <c r="LYE22" s="88"/>
      <c r="LYF22" s="88"/>
      <c r="LYG22" s="90"/>
      <c r="LYH22" s="93"/>
      <c r="LYI22" s="88"/>
      <c r="LYJ22" s="88"/>
      <c r="LYK22" s="91"/>
      <c r="LYL22" s="93"/>
      <c r="LYM22" s="93"/>
      <c r="LYN22" s="88"/>
      <c r="LYO22" s="88"/>
      <c r="LYP22" s="90"/>
      <c r="LYQ22" s="148"/>
      <c r="LYR22" s="88"/>
      <c r="LYS22" s="88"/>
      <c r="LYT22" s="90"/>
      <c r="LYU22" s="93"/>
      <c r="LYV22" s="88"/>
      <c r="LYW22" s="88"/>
      <c r="LYX22" s="91"/>
      <c r="LYY22" s="93"/>
      <c r="LYZ22" s="93"/>
      <c r="LZA22" s="88"/>
      <c r="LZB22" s="88"/>
      <c r="LZC22" s="90"/>
      <c r="LZD22" s="148"/>
      <c r="LZE22" s="88"/>
      <c r="LZF22" s="88"/>
      <c r="LZG22" s="90"/>
      <c r="LZH22" s="93"/>
      <c r="LZI22" s="88"/>
      <c r="LZJ22" s="88"/>
      <c r="LZK22" s="91"/>
      <c r="LZL22" s="93"/>
      <c r="LZM22" s="93"/>
      <c r="LZN22" s="88"/>
      <c r="LZO22" s="88"/>
      <c r="LZP22" s="90"/>
      <c r="LZQ22" s="148"/>
      <c r="LZR22" s="88"/>
      <c r="LZS22" s="88"/>
      <c r="LZT22" s="90"/>
      <c r="LZU22" s="93"/>
      <c r="LZV22" s="88"/>
      <c r="LZW22" s="88"/>
      <c r="LZX22" s="91"/>
      <c r="LZY22" s="93"/>
      <c r="LZZ22" s="93"/>
      <c r="MAA22" s="88"/>
      <c r="MAB22" s="88"/>
      <c r="MAC22" s="90"/>
      <c r="MAD22" s="148"/>
      <c r="MAE22" s="88"/>
      <c r="MAF22" s="88"/>
      <c r="MAG22" s="90"/>
      <c r="MAH22" s="93"/>
      <c r="MAI22" s="88"/>
      <c r="MAJ22" s="88"/>
      <c r="MAK22" s="91"/>
      <c r="MAL22" s="93"/>
      <c r="MAM22" s="93"/>
      <c r="MAN22" s="88"/>
      <c r="MAO22" s="88"/>
      <c r="MAP22" s="90"/>
      <c r="MAQ22" s="148"/>
      <c r="MAR22" s="88"/>
      <c r="MAS22" s="88"/>
      <c r="MAT22" s="90"/>
      <c r="MAU22" s="93"/>
      <c r="MAV22" s="88"/>
      <c r="MAW22" s="88"/>
      <c r="MAX22" s="91"/>
      <c r="MAY22" s="93"/>
      <c r="MAZ22" s="93"/>
      <c r="MBA22" s="88"/>
      <c r="MBB22" s="88"/>
      <c r="MBC22" s="90"/>
      <c r="MBD22" s="148"/>
      <c r="MBE22" s="88"/>
      <c r="MBF22" s="88"/>
      <c r="MBG22" s="90"/>
      <c r="MBH22" s="93"/>
      <c r="MBI22" s="88"/>
      <c r="MBJ22" s="88"/>
      <c r="MBK22" s="91"/>
      <c r="MBL22" s="93"/>
      <c r="MBM22" s="93"/>
      <c r="MBN22" s="88"/>
      <c r="MBO22" s="88"/>
      <c r="MBP22" s="90"/>
      <c r="MBQ22" s="148"/>
      <c r="MBR22" s="88"/>
      <c r="MBS22" s="88"/>
      <c r="MBT22" s="90"/>
      <c r="MBU22" s="93"/>
      <c r="MBV22" s="88"/>
      <c r="MBW22" s="88"/>
      <c r="MBX22" s="91"/>
      <c r="MBY22" s="93"/>
      <c r="MBZ22" s="93"/>
      <c r="MCA22" s="88"/>
      <c r="MCB22" s="88"/>
      <c r="MCC22" s="90"/>
      <c r="MCD22" s="148"/>
      <c r="MCE22" s="88"/>
      <c r="MCF22" s="88"/>
      <c r="MCG22" s="90"/>
      <c r="MCH22" s="93"/>
      <c r="MCI22" s="88"/>
      <c r="MCJ22" s="88"/>
      <c r="MCK22" s="91"/>
      <c r="MCL22" s="93"/>
      <c r="MCM22" s="93"/>
      <c r="MCN22" s="88"/>
      <c r="MCO22" s="88"/>
      <c r="MCP22" s="90"/>
      <c r="MCQ22" s="148"/>
      <c r="MCR22" s="88"/>
      <c r="MCS22" s="88"/>
      <c r="MCT22" s="90"/>
      <c r="MCU22" s="93"/>
      <c r="MCV22" s="88"/>
      <c r="MCW22" s="88"/>
      <c r="MCX22" s="91"/>
      <c r="MCY22" s="93"/>
      <c r="MCZ22" s="93"/>
      <c r="MDA22" s="88"/>
      <c r="MDB22" s="88"/>
      <c r="MDC22" s="90"/>
      <c r="MDD22" s="148"/>
      <c r="MDE22" s="88"/>
      <c r="MDF22" s="88"/>
      <c r="MDG22" s="90"/>
      <c r="MDH22" s="93"/>
      <c r="MDI22" s="88"/>
      <c r="MDJ22" s="88"/>
      <c r="MDK22" s="91"/>
      <c r="MDL22" s="93"/>
      <c r="MDM22" s="93"/>
      <c r="MDN22" s="88"/>
      <c r="MDO22" s="88"/>
      <c r="MDP22" s="90"/>
      <c r="MDQ22" s="148"/>
      <c r="MDR22" s="88"/>
      <c r="MDS22" s="88"/>
      <c r="MDT22" s="90"/>
      <c r="MDU22" s="93"/>
      <c r="MDV22" s="88"/>
      <c r="MDW22" s="88"/>
      <c r="MDX22" s="91"/>
      <c r="MDY22" s="93"/>
      <c r="MDZ22" s="93"/>
      <c r="MEA22" s="88"/>
      <c r="MEB22" s="88"/>
      <c r="MEC22" s="90"/>
      <c r="MED22" s="148"/>
      <c r="MEE22" s="88"/>
      <c r="MEF22" s="88"/>
      <c r="MEG22" s="90"/>
      <c r="MEH22" s="93"/>
      <c r="MEI22" s="88"/>
      <c r="MEJ22" s="88"/>
      <c r="MEK22" s="91"/>
      <c r="MEL22" s="93"/>
      <c r="MEM22" s="93"/>
      <c r="MEN22" s="88"/>
      <c r="MEO22" s="88"/>
      <c r="MEP22" s="90"/>
      <c r="MEQ22" s="148"/>
      <c r="MER22" s="88"/>
      <c r="MES22" s="88"/>
      <c r="MET22" s="90"/>
      <c r="MEU22" s="93"/>
      <c r="MEV22" s="88"/>
      <c r="MEW22" s="88"/>
      <c r="MEX22" s="91"/>
      <c r="MEY22" s="93"/>
      <c r="MEZ22" s="93"/>
      <c r="MFA22" s="88"/>
      <c r="MFB22" s="88"/>
      <c r="MFC22" s="90"/>
      <c r="MFD22" s="148"/>
      <c r="MFE22" s="88"/>
      <c r="MFF22" s="88"/>
      <c r="MFG22" s="90"/>
      <c r="MFH22" s="93"/>
      <c r="MFI22" s="88"/>
      <c r="MFJ22" s="88"/>
      <c r="MFK22" s="91"/>
      <c r="MFL22" s="93"/>
      <c r="MFM22" s="93"/>
      <c r="MFN22" s="88"/>
      <c r="MFO22" s="88"/>
      <c r="MFP22" s="90"/>
      <c r="MFQ22" s="148"/>
      <c r="MFR22" s="88"/>
      <c r="MFS22" s="88"/>
      <c r="MFT22" s="90"/>
      <c r="MFU22" s="93"/>
      <c r="MFV22" s="88"/>
      <c r="MFW22" s="88"/>
      <c r="MFX22" s="91"/>
      <c r="MFY22" s="93"/>
      <c r="MFZ22" s="93"/>
      <c r="MGA22" s="88"/>
      <c r="MGB22" s="88"/>
      <c r="MGC22" s="90"/>
      <c r="MGD22" s="148"/>
      <c r="MGE22" s="88"/>
      <c r="MGF22" s="88"/>
      <c r="MGG22" s="90"/>
      <c r="MGH22" s="93"/>
      <c r="MGI22" s="88"/>
      <c r="MGJ22" s="88"/>
      <c r="MGK22" s="91"/>
      <c r="MGL22" s="93"/>
      <c r="MGM22" s="93"/>
      <c r="MGN22" s="88"/>
      <c r="MGO22" s="88"/>
      <c r="MGP22" s="90"/>
      <c r="MGQ22" s="148"/>
      <c r="MGR22" s="88"/>
      <c r="MGS22" s="88"/>
      <c r="MGT22" s="90"/>
      <c r="MGU22" s="93"/>
      <c r="MGV22" s="88"/>
      <c r="MGW22" s="88"/>
      <c r="MGX22" s="91"/>
      <c r="MGY22" s="93"/>
      <c r="MGZ22" s="93"/>
      <c r="MHA22" s="88"/>
      <c r="MHB22" s="88"/>
      <c r="MHC22" s="90"/>
      <c r="MHD22" s="148"/>
      <c r="MHE22" s="88"/>
      <c r="MHF22" s="88"/>
      <c r="MHG22" s="90"/>
      <c r="MHH22" s="93"/>
      <c r="MHI22" s="88"/>
      <c r="MHJ22" s="88"/>
      <c r="MHK22" s="91"/>
      <c r="MHL22" s="93"/>
      <c r="MHM22" s="93"/>
      <c r="MHN22" s="88"/>
      <c r="MHO22" s="88"/>
      <c r="MHP22" s="90"/>
      <c r="MHQ22" s="148"/>
      <c r="MHR22" s="88"/>
      <c r="MHS22" s="88"/>
      <c r="MHT22" s="90"/>
      <c r="MHU22" s="93"/>
      <c r="MHV22" s="88"/>
      <c r="MHW22" s="88"/>
      <c r="MHX22" s="91"/>
      <c r="MHY22" s="93"/>
      <c r="MHZ22" s="93"/>
      <c r="MIA22" s="88"/>
      <c r="MIB22" s="88"/>
      <c r="MIC22" s="90"/>
      <c r="MID22" s="148"/>
      <c r="MIE22" s="88"/>
      <c r="MIF22" s="88"/>
      <c r="MIG22" s="90"/>
      <c r="MIH22" s="93"/>
      <c r="MII22" s="88"/>
      <c r="MIJ22" s="88"/>
      <c r="MIK22" s="91"/>
      <c r="MIL22" s="93"/>
      <c r="MIM22" s="93"/>
      <c r="MIN22" s="88"/>
      <c r="MIO22" s="88"/>
      <c r="MIP22" s="90"/>
      <c r="MIQ22" s="148"/>
      <c r="MIR22" s="88"/>
      <c r="MIS22" s="88"/>
      <c r="MIT22" s="90"/>
      <c r="MIU22" s="93"/>
      <c r="MIV22" s="88"/>
      <c r="MIW22" s="88"/>
      <c r="MIX22" s="91"/>
      <c r="MIY22" s="93"/>
      <c r="MIZ22" s="93"/>
      <c r="MJA22" s="88"/>
      <c r="MJB22" s="88"/>
      <c r="MJC22" s="90"/>
      <c r="MJD22" s="148"/>
      <c r="MJE22" s="88"/>
      <c r="MJF22" s="88"/>
      <c r="MJG22" s="90"/>
      <c r="MJH22" s="93"/>
      <c r="MJI22" s="88"/>
      <c r="MJJ22" s="88"/>
      <c r="MJK22" s="91"/>
      <c r="MJL22" s="93"/>
      <c r="MJM22" s="93"/>
      <c r="MJN22" s="88"/>
      <c r="MJO22" s="88"/>
      <c r="MJP22" s="90"/>
      <c r="MJQ22" s="148"/>
      <c r="MJR22" s="88"/>
      <c r="MJS22" s="88"/>
      <c r="MJT22" s="90"/>
      <c r="MJU22" s="93"/>
      <c r="MJV22" s="88"/>
      <c r="MJW22" s="88"/>
      <c r="MJX22" s="91"/>
      <c r="MJY22" s="93"/>
      <c r="MJZ22" s="93"/>
      <c r="MKA22" s="88"/>
      <c r="MKB22" s="88"/>
      <c r="MKC22" s="90"/>
      <c r="MKD22" s="148"/>
      <c r="MKE22" s="88"/>
      <c r="MKF22" s="88"/>
      <c r="MKG22" s="90"/>
      <c r="MKH22" s="93"/>
      <c r="MKI22" s="88"/>
      <c r="MKJ22" s="88"/>
      <c r="MKK22" s="91"/>
      <c r="MKL22" s="93"/>
      <c r="MKM22" s="93"/>
      <c r="MKN22" s="88"/>
      <c r="MKO22" s="88"/>
      <c r="MKP22" s="90"/>
      <c r="MKQ22" s="148"/>
      <c r="MKR22" s="88"/>
      <c r="MKS22" s="88"/>
      <c r="MKT22" s="90"/>
      <c r="MKU22" s="93"/>
      <c r="MKV22" s="88"/>
      <c r="MKW22" s="88"/>
      <c r="MKX22" s="91"/>
      <c r="MKY22" s="93"/>
      <c r="MKZ22" s="93"/>
      <c r="MLA22" s="88"/>
      <c r="MLB22" s="88"/>
      <c r="MLC22" s="90"/>
      <c r="MLD22" s="148"/>
      <c r="MLE22" s="88"/>
      <c r="MLF22" s="88"/>
      <c r="MLG22" s="90"/>
      <c r="MLH22" s="93"/>
      <c r="MLI22" s="88"/>
      <c r="MLJ22" s="88"/>
      <c r="MLK22" s="91"/>
      <c r="MLL22" s="93"/>
      <c r="MLM22" s="93"/>
      <c r="MLN22" s="88"/>
      <c r="MLO22" s="88"/>
      <c r="MLP22" s="90"/>
      <c r="MLQ22" s="148"/>
      <c r="MLR22" s="88"/>
      <c r="MLS22" s="88"/>
      <c r="MLT22" s="90"/>
      <c r="MLU22" s="93"/>
      <c r="MLV22" s="88"/>
      <c r="MLW22" s="88"/>
      <c r="MLX22" s="91"/>
      <c r="MLY22" s="93"/>
      <c r="MLZ22" s="93"/>
      <c r="MMA22" s="88"/>
      <c r="MMB22" s="88"/>
      <c r="MMC22" s="90"/>
      <c r="MMD22" s="148"/>
      <c r="MME22" s="88"/>
      <c r="MMF22" s="88"/>
      <c r="MMG22" s="90"/>
      <c r="MMH22" s="93"/>
      <c r="MMI22" s="88"/>
      <c r="MMJ22" s="88"/>
      <c r="MMK22" s="91"/>
      <c r="MML22" s="93"/>
      <c r="MMM22" s="93"/>
      <c r="MMN22" s="88"/>
      <c r="MMO22" s="88"/>
      <c r="MMP22" s="90"/>
      <c r="MMQ22" s="148"/>
      <c r="MMR22" s="88"/>
      <c r="MMS22" s="88"/>
      <c r="MMT22" s="90"/>
      <c r="MMU22" s="93"/>
      <c r="MMV22" s="88"/>
      <c r="MMW22" s="88"/>
      <c r="MMX22" s="91"/>
      <c r="MMY22" s="93"/>
      <c r="MMZ22" s="93"/>
      <c r="MNA22" s="88"/>
      <c r="MNB22" s="88"/>
      <c r="MNC22" s="90"/>
      <c r="MND22" s="148"/>
      <c r="MNE22" s="88"/>
      <c r="MNF22" s="88"/>
      <c r="MNG22" s="90"/>
      <c r="MNH22" s="93"/>
      <c r="MNI22" s="88"/>
      <c r="MNJ22" s="88"/>
      <c r="MNK22" s="91"/>
      <c r="MNL22" s="93"/>
      <c r="MNM22" s="93"/>
      <c r="MNN22" s="88"/>
      <c r="MNO22" s="88"/>
      <c r="MNP22" s="90"/>
      <c r="MNQ22" s="148"/>
      <c r="MNR22" s="88"/>
      <c r="MNS22" s="88"/>
      <c r="MNT22" s="90"/>
      <c r="MNU22" s="93"/>
      <c r="MNV22" s="88"/>
      <c r="MNW22" s="88"/>
      <c r="MNX22" s="91"/>
      <c r="MNY22" s="93"/>
      <c r="MNZ22" s="93"/>
      <c r="MOA22" s="88"/>
      <c r="MOB22" s="88"/>
      <c r="MOC22" s="90"/>
      <c r="MOD22" s="148"/>
      <c r="MOE22" s="88"/>
      <c r="MOF22" s="88"/>
      <c r="MOG22" s="90"/>
      <c r="MOH22" s="93"/>
      <c r="MOI22" s="88"/>
      <c r="MOJ22" s="88"/>
      <c r="MOK22" s="91"/>
      <c r="MOL22" s="93"/>
      <c r="MOM22" s="93"/>
      <c r="MON22" s="88"/>
      <c r="MOO22" s="88"/>
      <c r="MOP22" s="90"/>
      <c r="MOQ22" s="148"/>
      <c r="MOR22" s="88"/>
      <c r="MOS22" s="88"/>
      <c r="MOT22" s="90"/>
      <c r="MOU22" s="93"/>
      <c r="MOV22" s="88"/>
      <c r="MOW22" s="88"/>
      <c r="MOX22" s="91"/>
      <c r="MOY22" s="93"/>
      <c r="MOZ22" s="93"/>
      <c r="MPA22" s="88"/>
      <c r="MPB22" s="88"/>
      <c r="MPC22" s="90"/>
      <c r="MPD22" s="148"/>
      <c r="MPE22" s="88"/>
      <c r="MPF22" s="88"/>
      <c r="MPG22" s="90"/>
      <c r="MPH22" s="93"/>
      <c r="MPI22" s="88"/>
      <c r="MPJ22" s="88"/>
      <c r="MPK22" s="91"/>
      <c r="MPL22" s="93"/>
      <c r="MPM22" s="93"/>
      <c r="MPN22" s="88"/>
      <c r="MPO22" s="88"/>
      <c r="MPP22" s="90"/>
      <c r="MPQ22" s="148"/>
      <c r="MPR22" s="88"/>
      <c r="MPS22" s="88"/>
      <c r="MPT22" s="90"/>
      <c r="MPU22" s="93"/>
      <c r="MPV22" s="88"/>
      <c r="MPW22" s="88"/>
      <c r="MPX22" s="91"/>
      <c r="MPY22" s="93"/>
      <c r="MPZ22" s="93"/>
      <c r="MQA22" s="88"/>
      <c r="MQB22" s="88"/>
      <c r="MQC22" s="90"/>
      <c r="MQD22" s="148"/>
      <c r="MQE22" s="88"/>
      <c r="MQF22" s="88"/>
      <c r="MQG22" s="90"/>
      <c r="MQH22" s="93"/>
      <c r="MQI22" s="88"/>
      <c r="MQJ22" s="88"/>
      <c r="MQK22" s="91"/>
      <c r="MQL22" s="93"/>
      <c r="MQM22" s="93"/>
      <c r="MQN22" s="88"/>
      <c r="MQO22" s="88"/>
      <c r="MQP22" s="90"/>
      <c r="MQQ22" s="148"/>
      <c r="MQR22" s="88"/>
      <c r="MQS22" s="88"/>
      <c r="MQT22" s="90"/>
      <c r="MQU22" s="93"/>
      <c r="MQV22" s="88"/>
      <c r="MQW22" s="88"/>
      <c r="MQX22" s="91"/>
      <c r="MQY22" s="93"/>
      <c r="MQZ22" s="93"/>
      <c r="MRA22" s="88"/>
      <c r="MRB22" s="88"/>
      <c r="MRC22" s="90"/>
      <c r="MRD22" s="148"/>
      <c r="MRE22" s="88"/>
      <c r="MRF22" s="88"/>
      <c r="MRG22" s="90"/>
      <c r="MRH22" s="93"/>
      <c r="MRI22" s="88"/>
      <c r="MRJ22" s="88"/>
      <c r="MRK22" s="91"/>
      <c r="MRL22" s="93"/>
      <c r="MRM22" s="93"/>
      <c r="MRN22" s="88"/>
      <c r="MRO22" s="88"/>
      <c r="MRP22" s="90"/>
      <c r="MRQ22" s="148"/>
      <c r="MRR22" s="88"/>
      <c r="MRS22" s="88"/>
      <c r="MRT22" s="90"/>
      <c r="MRU22" s="93"/>
      <c r="MRV22" s="88"/>
      <c r="MRW22" s="88"/>
      <c r="MRX22" s="91"/>
      <c r="MRY22" s="93"/>
      <c r="MRZ22" s="93"/>
      <c r="MSA22" s="88"/>
      <c r="MSB22" s="88"/>
      <c r="MSC22" s="90"/>
      <c r="MSD22" s="148"/>
      <c r="MSE22" s="88"/>
      <c r="MSF22" s="88"/>
      <c r="MSG22" s="90"/>
      <c r="MSH22" s="93"/>
      <c r="MSI22" s="88"/>
      <c r="MSJ22" s="88"/>
      <c r="MSK22" s="91"/>
      <c r="MSL22" s="93"/>
      <c r="MSM22" s="93"/>
      <c r="MSN22" s="88"/>
      <c r="MSO22" s="88"/>
      <c r="MSP22" s="90"/>
      <c r="MSQ22" s="148"/>
      <c r="MSR22" s="88"/>
      <c r="MSS22" s="88"/>
      <c r="MST22" s="90"/>
      <c r="MSU22" s="93"/>
      <c r="MSV22" s="88"/>
      <c r="MSW22" s="88"/>
      <c r="MSX22" s="91"/>
      <c r="MSY22" s="93"/>
      <c r="MSZ22" s="93"/>
      <c r="MTA22" s="88"/>
      <c r="MTB22" s="88"/>
      <c r="MTC22" s="90"/>
      <c r="MTD22" s="148"/>
      <c r="MTE22" s="88"/>
      <c r="MTF22" s="88"/>
      <c r="MTG22" s="90"/>
      <c r="MTH22" s="93"/>
      <c r="MTI22" s="88"/>
      <c r="MTJ22" s="88"/>
      <c r="MTK22" s="91"/>
      <c r="MTL22" s="93"/>
      <c r="MTM22" s="93"/>
      <c r="MTN22" s="88"/>
      <c r="MTO22" s="88"/>
      <c r="MTP22" s="90"/>
      <c r="MTQ22" s="148"/>
      <c r="MTR22" s="88"/>
      <c r="MTS22" s="88"/>
      <c r="MTT22" s="90"/>
      <c r="MTU22" s="93"/>
      <c r="MTV22" s="88"/>
      <c r="MTW22" s="88"/>
      <c r="MTX22" s="91"/>
      <c r="MTY22" s="93"/>
      <c r="MTZ22" s="93"/>
      <c r="MUA22" s="88"/>
      <c r="MUB22" s="88"/>
      <c r="MUC22" s="90"/>
      <c r="MUD22" s="148"/>
      <c r="MUE22" s="88"/>
      <c r="MUF22" s="88"/>
      <c r="MUG22" s="90"/>
      <c r="MUH22" s="93"/>
      <c r="MUI22" s="88"/>
      <c r="MUJ22" s="88"/>
      <c r="MUK22" s="91"/>
      <c r="MUL22" s="93"/>
      <c r="MUM22" s="93"/>
      <c r="MUN22" s="88"/>
      <c r="MUO22" s="88"/>
      <c r="MUP22" s="90"/>
      <c r="MUQ22" s="148"/>
      <c r="MUR22" s="88"/>
      <c r="MUS22" s="88"/>
      <c r="MUT22" s="90"/>
      <c r="MUU22" s="93"/>
      <c r="MUV22" s="88"/>
      <c r="MUW22" s="88"/>
      <c r="MUX22" s="91"/>
      <c r="MUY22" s="93"/>
      <c r="MUZ22" s="93"/>
      <c r="MVA22" s="88"/>
      <c r="MVB22" s="88"/>
      <c r="MVC22" s="90"/>
      <c r="MVD22" s="148"/>
      <c r="MVE22" s="88"/>
      <c r="MVF22" s="88"/>
      <c r="MVG22" s="90"/>
      <c r="MVH22" s="93"/>
      <c r="MVI22" s="88"/>
      <c r="MVJ22" s="88"/>
      <c r="MVK22" s="91"/>
      <c r="MVL22" s="93"/>
      <c r="MVM22" s="93"/>
      <c r="MVN22" s="88"/>
      <c r="MVO22" s="88"/>
      <c r="MVP22" s="90"/>
      <c r="MVQ22" s="148"/>
      <c r="MVR22" s="88"/>
      <c r="MVS22" s="88"/>
      <c r="MVT22" s="90"/>
      <c r="MVU22" s="93"/>
      <c r="MVV22" s="88"/>
      <c r="MVW22" s="88"/>
      <c r="MVX22" s="91"/>
      <c r="MVY22" s="93"/>
      <c r="MVZ22" s="93"/>
      <c r="MWA22" s="88"/>
      <c r="MWB22" s="88"/>
      <c r="MWC22" s="90"/>
      <c r="MWD22" s="148"/>
      <c r="MWE22" s="88"/>
      <c r="MWF22" s="88"/>
      <c r="MWG22" s="90"/>
      <c r="MWH22" s="93"/>
      <c r="MWI22" s="88"/>
      <c r="MWJ22" s="88"/>
      <c r="MWK22" s="91"/>
      <c r="MWL22" s="93"/>
      <c r="MWM22" s="93"/>
      <c r="MWN22" s="88"/>
      <c r="MWO22" s="88"/>
      <c r="MWP22" s="90"/>
      <c r="MWQ22" s="148"/>
      <c r="MWR22" s="88"/>
      <c r="MWS22" s="88"/>
      <c r="MWT22" s="90"/>
      <c r="MWU22" s="93"/>
      <c r="MWV22" s="88"/>
      <c r="MWW22" s="88"/>
      <c r="MWX22" s="91"/>
      <c r="MWY22" s="93"/>
      <c r="MWZ22" s="93"/>
      <c r="MXA22" s="88"/>
      <c r="MXB22" s="88"/>
      <c r="MXC22" s="90"/>
      <c r="MXD22" s="148"/>
      <c r="MXE22" s="88"/>
      <c r="MXF22" s="88"/>
      <c r="MXG22" s="90"/>
      <c r="MXH22" s="93"/>
      <c r="MXI22" s="88"/>
      <c r="MXJ22" s="88"/>
      <c r="MXK22" s="91"/>
      <c r="MXL22" s="93"/>
      <c r="MXM22" s="93"/>
      <c r="MXN22" s="88"/>
      <c r="MXO22" s="88"/>
      <c r="MXP22" s="90"/>
      <c r="MXQ22" s="148"/>
      <c r="MXR22" s="88"/>
      <c r="MXS22" s="88"/>
      <c r="MXT22" s="90"/>
      <c r="MXU22" s="93"/>
      <c r="MXV22" s="88"/>
      <c r="MXW22" s="88"/>
      <c r="MXX22" s="91"/>
      <c r="MXY22" s="93"/>
      <c r="MXZ22" s="93"/>
      <c r="MYA22" s="88"/>
      <c r="MYB22" s="88"/>
      <c r="MYC22" s="90"/>
      <c r="MYD22" s="148"/>
      <c r="MYE22" s="88"/>
      <c r="MYF22" s="88"/>
      <c r="MYG22" s="90"/>
      <c r="MYH22" s="93"/>
      <c r="MYI22" s="88"/>
      <c r="MYJ22" s="88"/>
      <c r="MYK22" s="91"/>
      <c r="MYL22" s="93"/>
      <c r="MYM22" s="93"/>
      <c r="MYN22" s="88"/>
      <c r="MYO22" s="88"/>
      <c r="MYP22" s="90"/>
      <c r="MYQ22" s="148"/>
      <c r="MYR22" s="88"/>
      <c r="MYS22" s="88"/>
      <c r="MYT22" s="90"/>
      <c r="MYU22" s="93"/>
      <c r="MYV22" s="88"/>
      <c r="MYW22" s="88"/>
      <c r="MYX22" s="91"/>
      <c r="MYY22" s="93"/>
      <c r="MYZ22" s="93"/>
      <c r="MZA22" s="88"/>
      <c r="MZB22" s="88"/>
      <c r="MZC22" s="90"/>
      <c r="MZD22" s="148"/>
      <c r="MZE22" s="88"/>
      <c r="MZF22" s="88"/>
      <c r="MZG22" s="90"/>
      <c r="MZH22" s="93"/>
      <c r="MZI22" s="88"/>
      <c r="MZJ22" s="88"/>
      <c r="MZK22" s="91"/>
      <c r="MZL22" s="93"/>
      <c r="MZM22" s="93"/>
      <c r="MZN22" s="88"/>
      <c r="MZO22" s="88"/>
      <c r="MZP22" s="90"/>
      <c r="MZQ22" s="148"/>
      <c r="MZR22" s="88"/>
      <c r="MZS22" s="88"/>
      <c r="MZT22" s="90"/>
      <c r="MZU22" s="93"/>
      <c r="MZV22" s="88"/>
      <c r="MZW22" s="88"/>
      <c r="MZX22" s="91"/>
      <c r="MZY22" s="93"/>
      <c r="MZZ22" s="93"/>
      <c r="NAA22" s="88"/>
      <c r="NAB22" s="88"/>
      <c r="NAC22" s="90"/>
      <c r="NAD22" s="148"/>
      <c r="NAE22" s="88"/>
      <c r="NAF22" s="88"/>
      <c r="NAG22" s="90"/>
      <c r="NAH22" s="93"/>
      <c r="NAI22" s="88"/>
      <c r="NAJ22" s="88"/>
      <c r="NAK22" s="91"/>
      <c r="NAL22" s="93"/>
      <c r="NAM22" s="93"/>
      <c r="NAN22" s="88"/>
      <c r="NAO22" s="88"/>
      <c r="NAP22" s="90"/>
      <c r="NAQ22" s="148"/>
      <c r="NAR22" s="88"/>
      <c r="NAS22" s="88"/>
      <c r="NAT22" s="90"/>
      <c r="NAU22" s="93"/>
      <c r="NAV22" s="88"/>
      <c r="NAW22" s="88"/>
      <c r="NAX22" s="91"/>
      <c r="NAY22" s="93"/>
      <c r="NAZ22" s="93"/>
      <c r="NBA22" s="88"/>
      <c r="NBB22" s="88"/>
      <c r="NBC22" s="90"/>
      <c r="NBD22" s="148"/>
      <c r="NBE22" s="88"/>
      <c r="NBF22" s="88"/>
      <c r="NBG22" s="90"/>
      <c r="NBH22" s="93"/>
      <c r="NBI22" s="88"/>
      <c r="NBJ22" s="88"/>
      <c r="NBK22" s="91"/>
      <c r="NBL22" s="93"/>
      <c r="NBM22" s="93"/>
      <c r="NBN22" s="88"/>
      <c r="NBO22" s="88"/>
      <c r="NBP22" s="90"/>
      <c r="NBQ22" s="148"/>
      <c r="NBR22" s="88"/>
      <c r="NBS22" s="88"/>
      <c r="NBT22" s="90"/>
      <c r="NBU22" s="93"/>
      <c r="NBV22" s="88"/>
      <c r="NBW22" s="88"/>
      <c r="NBX22" s="91"/>
      <c r="NBY22" s="93"/>
      <c r="NBZ22" s="93"/>
      <c r="NCA22" s="88"/>
      <c r="NCB22" s="88"/>
      <c r="NCC22" s="90"/>
      <c r="NCD22" s="148"/>
      <c r="NCE22" s="88"/>
      <c r="NCF22" s="88"/>
      <c r="NCG22" s="90"/>
      <c r="NCH22" s="93"/>
      <c r="NCI22" s="88"/>
      <c r="NCJ22" s="88"/>
      <c r="NCK22" s="91"/>
      <c r="NCL22" s="93"/>
      <c r="NCM22" s="93"/>
      <c r="NCN22" s="88"/>
      <c r="NCO22" s="88"/>
      <c r="NCP22" s="90"/>
      <c r="NCQ22" s="148"/>
      <c r="NCR22" s="88"/>
      <c r="NCS22" s="88"/>
      <c r="NCT22" s="90"/>
      <c r="NCU22" s="93"/>
      <c r="NCV22" s="88"/>
      <c r="NCW22" s="88"/>
      <c r="NCX22" s="91"/>
      <c r="NCY22" s="93"/>
      <c r="NCZ22" s="93"/>
      <c r="NDA22" s="88"/>
      <c r="NDB22" s="88"/>
      <c r="NDC22" s="90"/>
      <c r="NDD22" s="148"/>
      <c r="NDE22" s="88"/>
      <c r="NDF22" s="88"/>
      <c r="NDG22" s="90"/>
      <c r="NDH22" s="93"/>
      <c r="NDI22" s="88"/>
      <c r="NDJ22" s="88"/>
      <c r="NDK22" s="91"/>
      <c r="NDL22" s="93"/>
      <c r="NDM22" s="93"/>
      <c r="NDN22" s="88"/>
      <c r="NDO22" s="88"/>
      <c r="NDP22" s="90"/>
      <c r="NDQ22" s="148"/>
      <c r="NDR22" s="88"/>
      <c r="NDS22" s="88"/>
      <c r="NDT22" s="90"/>
      <c r="NDU22" s="93"/>
      <c r="NDV22" s="88"/>
      <c r="NDW22" s="88"/>
      <c r="NDX22" s="91"/>
      <c r="NDY22" s="93"/>
      <c r="NDZ22" s="93"/>
      <c r="NEA22" s="88"/>
      <c r="NEB22" s="88"/>
      <c r="NEC22" s="90"/>
      <c r="NED22" s="148"/>
      <c r="NEE22" s="88"/>
      <c r="NEF22" s="88"/>
      <c r="NEG22" s="90"/>
      <c r="NEH22" s="93"/>
      <c r="NEI22" s="88"/>
      <c r="NEJ22" s="88"/>
      <c r="NEK22" s="91"/>
      <c r="NEL22" s="93"/>
      <c r="NEM22" s="93"/>
      <c r="NEN22" s="88"/>
      <c r="NEO22" s="88"/>
      <c r="NEP22" s="90"/>
      <c r="NEQ22" s="148"/>
      <c r="NER22" s="88"/>
      <c r="NES22" s="88"/>
      <c r="NET22" s="90"/>
      <c r="NEU22" s="93"/>
      <c r="NEV22" s="88"/>
      <c r="NEW22" s="88"/>
      <c r="NEX22" s="91"/>
      <c r="NEY22" s="93"/>
      <c r="NEZ22" s="93"/>
      <c r="NFA22" s="88"/>
      <c r="NFB22" s="88"/>
      <c r="NFC22" s="90"/>
      <c r="NFD22" s="148"/>
      <c r="NFE22" s="88"/>
      <c r="NFF22" s="88"/>
      <c r="NFG22" s="90"/>
      <c r="NFH22" s="93"/>
      <c r="NFI22" s="88"/>
      <c r="NFJ22" s="88"/>
      <c r="NFK22" s="91"/>
      <c r="NFL22" s="93"/>
      <c r="NFM22" s="93"/>
      <c r="NFN22" s="88"/>
      <c r="NFO22" s="88"/>
      <c r="NFP22" s="90"/>
      <c r="NFQ22" s="148"/>
      <c r="NFR22" s="88"/>
      <c r="NFS22" s="88"/>
      <c r="NFT22" s="90"/>
      <c r="NFU22" s="93"/>
      <c r="NFV22" s="88"/>
      <c r="NFW22" s="88"/>
      <c r="NFX22" s="91"/>
      <c r="NFY22" s="93"/>
      <c r="NFZ22" s="93"/>
      <c r="NGA22" s="88"/>
      <c r="NGB22" s="88"/>
      <c r="NGC22" s="90"/>
      <c r="NGD22" s="148"/>
      <c r="NGE22" s="88"/>
      <c r="NGF22" s="88"/>
      <c r="NGG22" s="90"/>
      <c r="NGH22" s="93"/>
      <c r="NGI22" s="88"/>
      <c r="NGJ22" s="88"/>
      <c r="NGK22" s="91"/>
      <c r="NGL22" s="93"/>
      <c r="NGM22" s="93"/>
      <c r="NGN22" s="88"/>
      <c r="NGO22" s="88"/>
      <c r="NGP22" s="90"/>
      <c r="NGQ22" s="148"/>
      <c r="NGR22" s="88"/>
      <c r="NGS22" s="88"/>
      <c r="NGT22" s="90"/>
      <c r="NGU22" s="93"/>
      <c r="NGV22" s="88"/>
      <c r="NGW22" s="88"/>
      <c r="NGX22" s="91"/>
      <c r="NGY22" s="93"/>
      <c r="NGZ22" s="93"/>
      <c r="NHA22" s="88"/>
      <c r="NHB22" s="88"/>
      <c r="NHC22" s="90"/>
      <c r="NHD22" s="148"/>
      <c r="NHE22" s="88"/>
      <c r="NHF22" s="88"/>
      <c r="NHG22" s="90"/>
      <c r="NHH22" s="93"/>
      <c r="NHI22" s="88"/>
      <c r="NHJ22" s="88"/>
      <c r="NHK22" s="91"/>
      <c r="NHL22" s="93"/>
      <c r="NHM22" s="93"/>
      <c r="NHN22" s="88"/>
      <c r="NHO22" s="88"/>
      <c r="NHP22" s="90"/>
      <c r="NHQ22" s="148"/>
      <c r="NHR22" s="88"/>
      <c r="NHS22" s="88"/>
      <c r="NHT22" s="90"/>
      <c r="NHU22" s="93"/>
      <c r="NHV22" s="88"/>
      <c r="NHW22" s="88"/>
      <c r="NHX22" s="91"/>
      <c r="NHY22" s="93"/>
      <c r="NHZ22" s="93"/>
      <c r="NIA22" s="88"/>
      <c r="NIB22" s="88"/>
      <c r="NIC22" s="90"/>
      <c r="NID22" s="148"/>
      <c r="NIE22" s="88"/>
      <c r="NIF22" s="88"/>
      <c r="NIG22" s="90"/>
      <c r="NIH22" s="93"/>
      <c r="NII22" s="88"/>
      <c r="NIJ22" s="88"/>
      <c r="NIK22" s="91"/>
      <c r="NIL22" s="93"/>
      <c r="NIM22" s="93"/>
      <c r="NIN22" s="88"/>
      <c r="NIO22" s="88"/>
      <c r="NIP22" s="90"/>
      <c r="NIQ22" s="148"/>
      <c r="NIR22" s="88"/>
      <c r="NIS22" s="88"/>
      <c r="NIT22" s="90"/>
      <c r="NIU22" s="93"/>
      <c r="NIV22" s="88"/>
      <c r="NIW22" s="88"/>
      <c r="NIX22" s="91"/>
      <c r="NIY22" s="93"/>
      <c r="NIZ22" s="93"/>
      <c r="NJA22" s="88"/>
      <c r="NJB22" s="88"/>
      <c r="NJC22" s="90"/>
      <c r="NJD22" s="148"/>
      <c r="NJE22" s="88"/>
      <c r="NJF22" s="88"/>
      <c r="NJG22" s="90"/>
      <c r="NJH22" s="93"/>
      <c r="NJI22" s="88"/>
      <c r="NJJ22" s="88"/>
      <c r="NJK22" s="91"/>
      <c r="NJL22" s="93"/>
      <c r="NJM22" s="93"/>
      <c r="NJN22" s="88"/>
      <c r="NJO22" s="88"/>
      <c r="NJP22" s="90"/>
      <c r="NJQ22" s="148"/>
      <c r="NJR22" s="88"/>
      <c r="NJS22" s="88"/>
      <c r="NJT22" s="90"/>
      <c r="NJU22" s="93"/>
      <c r="NJV22" s="88"/>
      <c r="NJW22" s="88"/>
      <c r="NJX22" s="91"/>
      <c r="NJY22" s="93"/>
      <c r="NJZ22" s="93"/>
      <c r="NKA22" s="88"/>
      <c r="NKB22" s="88"/>
      <c r="NKC22" s="90"/>
      <c r="NKD22" s="148"/>
      <c r="NKE22" s="88"/>
      <c r="NKF22" s="88"/>
      <c r="NKG22" s="90"/>
      <c r="NKH22" s="93"/>
      <c r="NKI22" s="88"/>
      <c r="NKJ22" s="88"/>
      <c r="NKK22" s="91"/>
      <c r="NKL22" s="93"/>
      <c r="NKM22" s="93"/>
      <c r="NKN22" s="88"/>
      <c r="NKO22" s="88"/>
      <c r="NKP22" s="90"/>
      <c r="NKQ22" s="148"/>
      <c r="NKR22" s="88"/>
      <c r="NKS22" s="88"/>
      <c r="NKT22" s="90"/>
      <c r="NKU22" s="93"/>
      <c r="NKV22" s="88"/>
      <c r="NKW22" s="88"/>
      <c r="NKX22" s="91"/>
      <c r="NKY22" s="93"/>
      <c r="NKZ22" s="93"/>
      <c r="NLA22" s="88"/>
      <c r="NLB22" s="88"/>
      <c r="NLC22" s="90"/>
      <c r="NLD22" s="148"/>
      <c r="NLE22" s="88"/>
      <c r="NLF22" s="88"/>
      <c r="NLG22" s="90"/>
      <c r="NLH22" s="93"/>
      <c r="NLI22" s="88"/>
      <c r="NLJ22" s="88"/>
      <c r="NLK22" s="91"/>
      <c r="NLL22" s="93"/>
      <c r="NLM22" s="93"/>
      <c r="NLN22" s="88"/>
      <c r="NLO22" s="88"/>
      <c r="NLP22" s="90"/>
      <c r="NLQ22" s="148"/>
      <c r="NLR22" s="88"/>
      <c r="NLS22" s="88"/>
      <c r="NLT22" s="90"/>
      <c r="NLU22" s="93"/>
      <c r="NLV22" s="88"/>
      <c r="NLW22" s="88"/>
      <c r="NLX22" s="91"/>
      <c r="NLY22" s="93"/>
      <c r="NLZ22" s="93"/>
      <c r="NMA22" s="88"/>
      <c r="NMB22" s="88"/>
      <c r="NMC22" s="90"/>
      <c r="NMD22" s="148"/>
      <c r="NME22" s="88"/>
      <c r="NMF22" s="88"/>
      <c r="NMG22" s="90"/>
      <c r="NMH22" s="93"/>
      <c r="NMI22" s="88"/>
      <c r="NMJ22" s="88"/>
      <c r="NMK22" s="91"/>
      <c r="NML22" s="93"/>
      <c r="NMM22" s="93"/>
      <c r="NMN22" s="88"/>
      <c r="NMO22" s="88"/>
      <c r="NMP22" s="90"/>
      <c r="NMQ22" s="148"/>
      <c r="NMR22" s="88"/>
      <c r="NMS22" s="88"/>
      <c r="NMT22" s="90"/>
      <c r="NMU22" s="93"/>
      <c r="NMV22" s="88"/>
      <c r="NMW22" s="88"/>
      <c r="NMX22" s="91"/>
      <c r="NMY22" s="93"/>
      <c r="NMZ22" s="93"/>
      <c r="NNA22" s="88"/>
      <c r="NNB22" s="88"/>
      <c r="NNC22" s="90"/>
      <c r="NND22" s="148"/>
      <c r="NNE22" s="88"/>
      <c r="NNF22" s="88"/>
      <c r="NNG22" s="90"/>
      <c r="NNH22" s="93"/>
      <c r="NNI22" s="88"/>
      <c r="NNJ22" s="88"/>
      <c r="NNK22" s="91"/>
      <c r="NNL22" s="93"/>
      <c r="NNM22" s="93"/>
      <c r="NNN22" s="88"/>
      <c r="NNO22" s="88"/>
      <c r="NNP22" s="90"/>
      <c r="NNQ22" s="148"/>
      <c r="NNR22" s="88"/>
      <c r="NNS22" s="88"/>
      <c r="NNT22" s="90"/>
      <c r="NNU22" s="93"/>
      <c r="NNV22" s="88"/>
      <c r="NNW22" s="88"/>
      <c r="NNX22" s="91"/>
      <c r="NNY22" s="93"/>
      <c r="NNZ22" s="93"/>
      <c r="NOA22" s="88"/>
      <c r="NOB22" s="88"/>
      <c r="NOC22" s="90"/>
      <c r="NOD22" s="148"/>
      <c r="NOE22" s="88"/>
      <c r="NOF22" s="88"/>
      <c r="NOG22" s="90"/>
      <c r="NOH22" s="93"/>
      <c r="NOI22" s="88"/>
      <c r="NOJ22" s="88"/>
      <c r="NOK22" s="91"/>
      <c r="NOL22" s="93"/>
      <c r="NOM22" s="93"/>
      <c r="NON22" s="88"/>
      <c r="NOO22" s="88"/>
      <c r="NOP22" s="90"/>
      <c r="NOQ22" s="148"/>
      <c r="NOR22" s="88"/>
      <c r="NOS22" s="88"/>
      <c r="NOT22" s="90"/>
      <c r="NOU22" s="93"/>
      <c r="NOV22" s="88"/>
      <c r="NOW22" s="88"/>
      <c r="NOX22" s="91"/>
      <c r="NOY22" s="93"/>
      <c r="NOZ22" s="93"/>
      <c r="NPA22" s="88"/>
      <c r="NPB22" s="88"/>
      <c r="NPC22" s="90"/>
      <c r="NPD22" s="148"/>
      <c r="NPE22" s="88"/>
      <c r="NPF22" s="88"/>
      <c r="NPG22" s="90"/>
      <c r="NPH22" s="93"/>
      <c r="NPI22" s="88"/>
      <c r="NPJ22" s="88"/>
      <c r="NPK22" s="91"/>
      <c r="NPL22" s="93"/>
      <c r="NPM22" s="93"/>
      <c r="NPN22" s="88"/>
      <c r="NPO22" s="88"/>
      <c r="NPP22" s="90"/>
      <c r="NPQ22" s="148"/>
      <c r="NPR22" s="88"/>
      <c r="NPS22" s="88"/>
      <c r="NPT22" s="90"/>
      <c r="NPU22" s="93"/>
      <c r="NPV22" s="88"/>
      <c r="NPW22" s="88"/>
      <c r="NPX22" s="91"/>
      <c r="NPY22" s="93"/>
      <c r="NPZ22" s="93"/>
      <c r="NQA22" s="88"/>
      <c r="NQB22" s="88"/>
      <c r="NQC22" s="90"/>
      <c r="NQD22" s="148"/>
      <c r="NQE22" s="88"/>
      <c r="NQF22" s="88"/>
      <c r="NQG22" s="90"/>
      <c r="NQH22" s="93"/>
      <c r="NQI22" s="88"/>
      <c r="NQJ22" s="88"/>
      <c r="NQK22" s="91"/>
      <c r="NQL22" s="93"/>
      <c r="NQM22" s="93"/>
      <c r="NQN22" s="88"/>
      <c r="NQO22" s="88"/>
      <c r="NQP22" s="90"/>
      <c r="NQQ22" s="148"/>
      <c r="NQR22" s="88"/>
      <c r="NQS22" s="88"/>
      <c r="NQT22" s="90"/>
      <c r="NQU22" s="93"/>
      <c r="NQV22" s="88"/>
      <c r="NQW22" s="88"/>
      <c r="NQX22" s="91"/>
      <c r="NQY22" s="93"/>
      <c r="NQZ22" s="93"/>
      <c r="NRA22" s="88"/>
      <c r="NRB22" s="88"/>
      <c r="NRC22" s="90"/>
      <c r="NRD22" s="148"/>
      <c r="NRE22" s="88"/>
      <c r="NRF22" s="88"/>
      <c r="NRG22" s="90"/>
      <c r="NRH22" s="93"/>
      <c r="NRI22" s="88"/>
      <c r="NRJ22" s="88"/>
      <c r="NRK22" s="91"/>
      <c r="NRL22" s="93"/>
      <c r="NRM22" s="93"/>
      <c r="NRN22" s="88"/>
      <c r="NRO22" s="88"/>
      <c r="NRP22" s="90"/>
      <c r="NRQ22" s="148"/>
      <c r="NRR22" s="88"/>
      <c r="NRS22" s="88"/>
      <c r="NRT22" s="90"/>
      <c r="NRU22" s="93"/>
      <c r="NRV22" s="88"/>
      <c r="NRW22" s="88"/>
      <c r="NRX22" s="91"/>
      <c r="NRY22" s="93"/>
      <c r="NRZ22" s="93"/>
      <c r="NSA22" s="88"/>
      <c r="NSB22" s="88"/>
      <c r="NSC22" s="90"/>
      <c r="NSD22" s="148"/>
      <c r="NSE22" s="88"/>
      <c r="NSF22" s="88"/>
      <c r="NSG22" s="90"/>
      <c r="NSH22" s="93"/>
      <c r="NSI22" s="88"/>
      <c r="NSJ22" s="88"/>
      <c r="NSK22" s="91"/>
      <c r="NSL22" s="93"/>
      <c r="NSM22" s="93"/>
      <c r="NSN22" s="88"/>
      <c r="NSO22" s="88"/>
      <c r="NSP22" s="90"/>
      <c r="NSQ22" s="148"/>
      <c r="NSR22" s="88"/>
      <c r="NSS22" s="88"/>
      <c r="NST22" s="90"/>
      <c r="NSU22" s="93"/>
      <c r="NSV22" s="88"/>
      <c r="NSW22" s="88"/>
      <c r="NSX22" s="91"/>
      <c r="NSY22" s="93"/>
      <c r="NSZ22" s="93"/>
      <c r="NTA22" s="88"/>
      <c r="NTB22" s="88"/>
      <c r="NTC22" s="90"/>
      <c r="NTD22" s="148"/>
      <c r="NTE22" s="88"/>
      <c r="NTF22" s="88"/>
      <c r="NTG22" s="90"/>
      <c r="NTH22" s="93"/>
      <c r="NTI22" s="88"/>
      <c r="NTJ22" s="88"/>
      <c r="NTK22" s="91"/>
      <c r="NTL22" s="93"/>
      <c r="NTM22" s="93"/>
      <c r="NTN22" s="88"/>
      <c r="NTO22" s="88"/>
      <c r="NTP22" s="90"/>
      <c r="NTQ22" s="148"/>
      <c r="NTR22" s="88"/>
      <c r="NTS22" s="88"/>
      <c r="NTT22" s="90"/>
      <c r="NTU22" s="93"/>
      <c r="NTV22" s="88"/>
      <c r="NTW22" s="88"/>
      <c r="NTX22" s="91"/>
      <c r="NTY22" s="93"/>
      <c r="NTZ22" s="93"/>
      <c r="NUA22" s="88"/>
      <c r="NUB22" s="88"/>
      <c r="NUC22" s="90"/>
      <c r="NUD22" s="148"/>
      <c r="NUE22" s="88"/>
      <c r="NUF22" s="88"/>
      <c r="NUG22" s="90"/>
      <c r="NUH22" s="93"/>
      <c r="NUI22" s="88"/>
      <c r="NUJ22" s="88"/>
      <c r="NUK22" s="91"/>
      <c r="NUL22" s="93"/>
      <c r="NUM22" s="93"/>
      <c r="NUN22" s="88"/>
      <c r="NUO22" s="88"/>
      <c r="NUP22" s="90"/>
      <c r="NUQ22" s="148"/>
      <c r="NUR22" s="88"/>
      <c r="NUS22" s="88"/>
      <c r="NUT22" s="90"/>
      <c r="NUU22" s="93"/>
      <c r="NUV22" s="88"/>
      <c r="NUW22" s="88"/>
      <c r="NUX22" s="91"/>
      <c r="NUY22" s="93"/>
      <c r="NUZ22" s="93"/>
      <c r="NVA22" s="88"/>
      <c r="NVB22" s="88"/>
      <c r="NVC22" s="90"/>
      <c r="NVD22" s="148"/>
      <c r="NVE22" s="88"/>
      <c r="NVF22" s="88"/>
      <c r="NVG22" s="90"/>
      <c r="NVH22" s="93"/>
      <c r="NVI22" s="88"/>
      <c r="NVJ22" s="88"/>
      <c r="NVK22" s="91"/>
      <c r="NVL22" s="93"/>
      <c r="NVM22" s="93"/>
      <c r="NVN22" s="88"/>
      <c r="NVO22" s="88"/>
      <c r="NVP22" s="90"/>
      <c r="NVQ22" s="148"/>
      <c r="NVR22" s="88"/>
      <c r="NVS22" s="88"/>
      <c r="NVT22" s="90"/>
      <c r="NVU22" s="93"/>
      <c r="NVV22" s="88"/>
      <c r="NVW22" s="88"/>
      <c r="NVX22" s="91"/>
      <c r="NVY22" s="93"/>
      <c r="NVZ22" s="93"/>
      <c r="NWA22" s="88"/>
      <c r="NWB22" s="88"/>
      <c r="NWC22" s="90"/>
      <c r="NWD22" s="148"/>
      <c r="NWE22" s="88"/>
      <c r="NWF22" s="88"/>
      <c r="NWG22" s="90"/>
      <c r="NWH22" s="93"/>
      <c r="NWI22" s="88"/>
      <c r="NWJ22" s="88"/>
      <c r="NWK22" s="91"/>
      <c r="NWL22" s="93"/>
      <c r="NWM22" s="93"/>
      <c r="NWN22" s="88"/>
      <c r="NWO22" s="88"/>
      <c r="NWP22" s="90"/>
      <c r="NWQ22" s="148"/>
      <c r="NWR22" s="88"/>
      <c r="NWS22" s="88"/>
      <c r="NWT22" s="90"/>
      <c r="NWU22" s="93"/>
      <c r="NWV22" s="88"/>
      <c r="NWW22" s="88"/>
      <c r="NWX22" s="91"/>
      <c r="NWY22" s="93"/>
      <c r="NWZ22" s="93"/>
      <c r="NXA22" s="88"/>
      <c r="NXB22" s="88"/>
      <c r="NXC22" s="90"/>
      <c r="NXD22" s="148"/>
      <c r="NXE22" s="88"/>
      <c r="NXF22" s="88"/>
      <c r="NXG22" s="90"/>
      <c r="NXH22" s="93"/>
      <c r="NXI22" s="88"/>
      <c r="NXJ22" s="88"/>
      <c r="NXK22" s="91"/>
      <c r="NXL22" s="93"/>
      <c r="NXM22" s="93"/>
      <c r="NXN22" s="88"/>
      <c r="NXO22" s="88"/>
      <c r="NXP22" s="90"/>
      <c r="NXQ22" s="148"/>
      <c r="NXR22" s="88"/>
      <c r="NXS22" s="88"/>
      <c r="NXT22" s="90"/>
      <c r="NXU22" s="93"/>
      <c r="NXV22" s="88"/>
      <c r="NXW22" s="88"/>
      <c r="NXX22" s="91"/>
      <c r="NXY22" s="93"/>
      <c r="NXZ22" s="93"/>
      <c r="NYA22" s="88"/>
      <c r="NYB22" s="88"/>
      <c r="NYC22" s="90"/>
      <c r="NYD22" s="148"/>
      <c r="NYE22" s="88"/>
      <c r="NYF22" s="88"/>
      <c r="NYG22" s="90"/>
      <c r="NYH22" s="93"/>
      <c r="NYI22" s="88"/>
      <c r="NYJ22" s="88"/>
      <c r="NYK22" s="91"/>
      <c r="NYL22" s="93"/>
      <c r="NYM22" s="93"/>
      <c r="NYN22" s="88"/>
      <c r="NYO22" s="88"/>
      <c r="NYP22" s="90"/>
      <c r="NYQ22" s="148"/>
      <c r="NYR22" s="88"/>
      <c r="NYS22" s="88"/>
      <c r="NYT22" s="90"/>
      <c r="NYU22" s="93"/>
      <c r="NYV22" s="88"/>
      <c r="NYW22" s="88"/>
      <c r="NYX22" s="91"/>
      <c r="NYY22" s="93"/>
      <c r="NYZ22" s="93"/>
      <c r="NZA22" s="88"/>
      <c r="NZB22" s="88"/>
      <c r="NZC22" s="90"/>
      <c r="NZD22" s="148"/>
      <c r="NZE22" s="88"/>
      <c r="NZF22" s="88"/>
      <c r="NZG22" s="90"/>
      <c r="NZH22" s="93"/>
      <c r="NZI22" s="88"/>
      <c r="NZJ22" s="88"/>
      <c r="NZK22" s="91"/>
      <c r="NZL22" s="93"/>
      <c r="NZM22" s="93"/>
      <c r="NZN22" s="88"/>
      <c r="NZO22" s="88"/>
      <c r="NZP22" s="90"/>
      <c r="NZQ22" s="148"/>
      <c r="NZR22" s="88"/>
      <c r="NZS22" s="88"/>
      <c r="NZT22" s="90"/>
      <c r="NZU22" s="93"/>
      <c r="NZV22" s="88"/>
      <c r="NZW22" s="88"/>
      <c r="NZX22" s="91"/>
      <c r="NZY22" s="93"/>
      <c r="NZZ22" s="93"/>
      <c r="OAA22" s="88"/>
      <c r="OAB22" s="88"/>
      <c r="OAC22" s="90"/>
      <c r="OAD22" s="148"/>
      <c r="OAE22" s="88"/>
      <c r="OAF22" s="88"/>
      <c r="OAG22" s="90"/>
      <c r="OAH22" s="93"/>
      <c r="OAI22" s="88"/>
      <c r="OAJ22" s="88"/>
      <c r="OAK22" s="91"/>
      <c r="OAL22" s="93"/>
      <c r="OAM22" s="93"/>
      <c r="OAN22" s="88"/>
      <c r="OAO22" s="88"/>
      <c r="OAP22" s="90"/>
      <c r="OAQ22" s="148"/>
      <c r="OAR22" s="88"/>
      <c r="OAS22" s="88"/>
      <c r="OAT22" s="90"/>
      <c r="OAU22" s="93"/>
      <c r="OAV22" s="88"/>
      <c r="OAW22" s="88"/>
      <c r="OAX22" s="91"/>
      <c r="OAY22" s="93"/>
      <c r="OAZ22" s="93"/>
      <c r="OBA22" s="88"/>
      <c r="OBB22" s="88"/>
      <c r="OBC22" s="90"/>
      <c r="OBD22" s="148"/>
      <c r="OBE22" s="88"/>
      <c r="OBF22" s="88"/>
      <c r="OBG22" s="90"/>
      <c r="OBH22" s="93"/>
      <c r="OBI22" s="88"/>
      <c r="OBJ22" s="88"/>
      <c r="OBK22" s="91"/>
      <c r="OBL22" s="93"/>
      <c r="OBM22" s="93"/>
      <c r="OBN22" s="88"/>
      <c r="OBO22" s="88"/>
      <c r="OBP22" s="90"/>
      <c r="OBQ22" s="148"/>
      <c r="OBR22" s="88"/>
      <c r="OBS22" s="88"/>
      <c r="OBT22" s="90"/>
      <c r="OBU22" s="93"/>
      <c r="OBV22" s="88"/>
      <c r="OBW22" s="88"/>
      <c r="OBX22" s="91"/>
      <c r="OBY22" s="93"/>
      <c r="OBZ22" s="93"/>
      <c r="OCA22" s="88"/>
      <c r="OCB22" s="88"/>
      <c r="OCC22" s="90"/>
      <c r="OCD22" s="148"/>
      <c r="OCE22" s="88"/>
      <c r="OCF22" s="88"/>
      <c r="OCG22" s="90"/>
      <c r="OCH22" s="93"/>
      <c r="OCI22" s="88"/>
      <c r="OCJ22" s="88"/>
      <c r="OCK22" s="91"/>
      <c r="OCL22" s="93"/>
      <c r="OCM22" s="93"/>
      <c r="OCN22" s="88"/>
      <c r="OCO22" s="88"/>
      <c r="OCP22" s="90"/>
      <c r="OCQ22" s="148"/>
      <c r="OCR22" s="88"/>
      <c r="OCS22" s="88"/>
      <c r="OCT22" s="90"/>
      <c r="OCU22" s="93"/>
      <c r="OCV22" s="88"/>
      <c r="OCW22" s="88"/>
      <c r="OCX22" s="91"/>
      <c r="OCY22" s="93"/>
      <c r="OCZ22" s="93"/>
      <c r="ODA22" s="88"/>
      <c r="ODB22" s="88"/>
      <c r="ODC22" s="90"/>
      <c r="ODD22" s="148"/>
      <c r="ODE22" s="88"/>
      <c r="ODF22" s="88"/>
      <c r="ODG22" s="90"/>
      <c r="ODH22" s="93"/>
      <c r="ODI22" s="88"/>
      <c r="ODJ22" s="88"/>
      <c r="ODK22" s="91"/>
      <c r="ODL22" s="93"/>
      <c r="ODM22" s="93"/>
      <c r="ODN22" s="88"/>
      <c r="ODO22" s="88"/>
      <c r="ODP22" s="90"/>
      <c r="ODQ22" s="148"/>
      <c r="ODR22" s="88"/>
      <c r="ODS22" s="88"/>
      <c r="ODT22" s="90"/>
      <c r="ODU22" s="93"/>
      <c r="ODV22" s="88"/>
      <c r="ODW22" s="88"/>
      <c r="ODX22" s="91"/>
      <c r="ODY22" s="93"/>
      <c r="ODZ22" s="93"/>
      <c r="OEA22" s="88"/>
      <c r="OEB22" s="88"/>
      <c r="OEC22" s="90"/>
      <c r="OED22" s="148"/>
      <c r="OEE22" s="88"/>
      <c r="OEF22" s="88"/>
      <c r="OEG22" s="90"/>
      <c r="OEH22" s="93"/>
      <c r="OEI22" s="88"/>
      <c r="OEJ22" s="88"/>
      <c r="OEK22" s="91"/>
      <c r="OEL22" s="93"/>
      <c r="OEM22" s="93"/>
      <c r="OEN22" s="88"/>
      <c r="OEO22" s="88"/>
      <c r="OEP22" s="90"/>
      <c r="OEQ22" s="148"/>
      <c r="OER22" s="88"/>
      <c r="OES22" s="88"/>
      <c r="OET22" s="90"/>
      <c r="OEU22" s="93"/>
      <c r="OEV22" s="88"/>
      <c r="OEW22" s="88"/>
      <c r="OEX22" s="91"/>
      <c r="OEY22" s="93"/>
      <c r="OEZ22" s="93"/>
      <c r="OFA22" s="88"/>
      <c r="OFB22" s="88"/>
      <c r="OFC22" s="90"/>
      <c r="OFD22" s="148"/>
      <c r="OFE22" s="88"/>
      <c r="OFF22" s="88"/>
      <c r="OFG22" s="90"/>
      <c r="OFH22" s="93"/>
      <c r="OFI22" s="88"/>
      <c r="OFJ22" s="88"/>
      <c r="OFK22" s="91"/>
      <c r="OFL22" s="93"/>
      <c r="OFM22" s="93"/>
      <c r="OFN22" s="88"/>
      <c r="OFO22" s="88"/>
      <c r="OFP22" s="90"/>
      <c r="OFQ22" s="148"/>
      <c r="OFR22" s="88"/>
      <c r="OFS22" s="88"/>
      <c r="OFT22" s="90"/>
      <c r="OFU22" s="93"/>
      <c r="OFV22" s="88"/>
      <c r="OFW22" s="88"/>
      <c r="OFX22" s="91"/>
      <c r="OFY22" s="93"/>
      <c r="OFZ22" s="93"/>
      <c r="OGA22" s="88"/>
      <c r="OGB22" s="88"/>
      <c r="OGC22" s="90"/>
      <c r="OGD22" s="148"/>
      <c r="OGE22" s="88"/>
      <c r="OGF22" s="88"/>
      <c r="OGG22" s="90"/>
      <c r="OGH22" s="93"/>
      <c r="OGI22" s="88"/>
      <c r="OGJ22" s="88"/>
      <c r="OGK22" s="91"/>
      <c r="OGL22" s="93"/>
      <c r="OGM22" s="93"/>
      <c r="OGN22" s="88"/>
      <c r="OGO22" s="88"/>
      <c r="OGP22" s="90"/>
      <c r="OGQ22" s="148"/>
      <c r="OGR22" s="88"/>
      <c r="OGS22" s="88"/>
      <c r="OGT22" s="90"/>
      <c r="OGU22" s="93"/>
      <c r="OGV22" s="88"/>
      <c r="OGW22" s="88"/>
      <c r="OGX22" s="91"/>
      <c r="OGY22" s="93"/>
      <c r="OGZ22" s="93"/>
      <c r="OHA22" s="88"/>
      <c r="OHB22" s="88"/>
      <c r="OHC22" s="90"/>
      <c r="OHD22" s="148"/>
      <c r="OHE22" s="88"/>
      <c r="OHF22" s="88"/>
      <c r="OHG22" s="90"/>
      <c r="OHH22" s="93"/>
      <c r="OHI22" s="88"/>
      <c r="OHJ22" s="88"/>
      <c r="OHK22" s="91"/>
      <c r="OHL22" s="93"/>
      <c r="OHM22" s="93"/>
      <c r="OHN22" s="88"/>
      <c r="OHO22" s="88"/>
      <c r="OHP22" s="90"/>
      <c r="OHQ22" s="148"/>
      <c r="OHR22" s="88"/>
      <c r="OHS22" s="88"/>
      <c r="OHT22" s="90"/>
      <c r="OHU22" s="93"/>
      <c r="OHV22" s="88"/>
      <c r="OHW22" s="88"/>
      <c r="OHX22" s="91"/>
      <c r="OHY22" s="93"/>
      <c r="OHZ22" s="93"/>
      <c r="OIA22" s="88"/>
      <c r="OIB22" s="88"/>
      <c r="OIC22" s="90"/>
      <c r="OID22" s="148"/>
      <c r="OIE22" s="88"/>
      <c r="OIF22" s="88"/>
      <c r="OIG22" s="90"/>
      <c r="OIH22" s="93"/>
      <c r="OII22" s="88"/>
      <c r="OIJ22" s="88"/>
      <c r="OIK22" s="91"/>
      <c r="OIL22" s="93"/>
      <c r="OIM22" s="93"/>
      <c r="OIN22" s="88"/>
      <c r="OIO22" s="88"/>
      <c r="OIP22" s="90"/>
      <c r="OIQ22" s="148"/>
      <c r="OIR22" s="88"/>
      <c r="OIS22" s="88"/>
      <c r="OIT22" s="90"/>
      <c r="OIU22" s="93"/>
      <c r="OIV22" s="88"/>
      <c r="OIW22" s="88"/>
      <c r="OIX22" s="91"/>
      <c r="OIY22" s="93"/>
      <c r="OIZ22" s="93"/>
      <c r="OJA22" s="88"/>
      <c r="OJB22" s="88"/>
      <c r="OJC22" s="90"/>
      <c r="OJD22" s="148"/>
      <c r="OJE22" s="88"/>
      <c r="OJF22" s="88"/>
      <c r="OJG22" s="90"/>
      <c r="OJH22" s="93"/>
      <c r="OJI22" s="88"/>
      <c r="OJJ22" s="88"/>
      <c r="OJK22" s="91"/>
      <c r="OJL22" s="93"/>
      <c r="OJM22" s="93"/>
      <c r="OJN22" s="88"/>
      <c r="OJO22" s="88"/>
      <c r="OJP22" s="90"/>
      <c r="OJQ22" s="148"/>
      <c r="OJR22" s="88"/>
      <c r="OJS22" s="88"/>
      <c r="OJT22" s="90"/>
      <c r="OJU22" s="93"/>
      <c r="OJV22" s="88"/>
      <c r="OJW22" s="88"/>
      <c r="OJX22" s="91"/>
      <c r="OJY22" s="93"/>
      <c r="OJZ22" s="93"/>
      <c r="OKA22" s="88"/>
      <c r="OKB22" s="88"/>
      <c r="OKC22" s="90"/>
      <c r="OKD22" s="148"/>
      <c r="OKE22" s="88"/>
      <c r="OKF22" s="88"/>
      <c r="OKG22" s="90"/>
      <c r="OKH22" s="93"/>
      <c r="OKI22" s="88"/>
      <c r="OKJ22" s="88"/>
      <c r="OKK22" s="91"/>
      <c r="OKL22" s="93"/>
      <c r="OKM22" s="93"/>
      <c r="OKN22" s="88"/>
      <c r="OKO22" s="88"/>
      <c r="OKP22" s="90"/>
      <c r="OKQ22" s="148"/>
      <c r="OKR22" s="88"/>
      <c r="OKS22" s="88"/>
      <c r="OKT22" s="90"/>
      <c r="OKU22" s="93"/>
      <c r="OKV22" s="88"/>
      <c r="OKW22" s="88"/>
      <c r="OKX22" s="91"/>
      <c r="OKY22" s="93"/>
      <c r="OKZ22" s="93"/>
      <c r="OLA22" s="88"/>
      <c r="OLB22" s="88"/>
      <c r="OLC22" s="90"/>
      <c r="OLD22" s="148"/>
      <c r="OLE22" s="88"/>
      <c r="OLF22" s="88"/>
      <c r="OLG22" s="90"/>
      <c r="OLH22" s="93"/>
      <c r="OLI22" s="88"/>
      <c r="OLJ22" s="88"/>
      <c r="OLK22" s="91"/>
      <c r="OLL22" s="93"/>
      <c r="OLM22" s="93"/>
      <c r="OLN22" s="88"/>
      <c r="OLO22" s="88"/>
      <c r="OLP22" s="90"/>
      <c r="OLQ22" s="148"/>
      <c r="OLR22" s="88"/>
      <c r="OLS22" s="88"/>
      <c r="OLT22" s="90"/>
      <c r="OLU22" s="93"/>
      <c r="OLV22" s="88"/>
      <c r="OLW22" s="88"/>
      <c r="OLX22" s="91"/>
      <c r="OLY22" s="93"/>
      <c r="OLZ22" s="93"/>
      <c r="OMA22" s="88"/>
      <c r="OMB22" s="88"/>
      <c r="OMC22" s="90"/>
      <c r="OMD22" s="148"/>
      <c r="OME22" s="88"/>
      <c r="OMF22" s="88"/>
      <c r="OMG22" s="90"/>
      <c r="OMH22" s="93"/>
      <c r="OMI22" s="88"/>
      <c r="OMJ22" s="88"/>
      <c r="OMK22" s="91"/>
      <c r="OML22" s="93"/>
      <c r="OMM22" s="93"/>
      <c r="OMN22" s="88"/>
      <c r="OMO22" s="88"/>
      <c r="OMP22" s="90"/>
      <c r="OMQ22" s="148"/>
      <c r="OMR22" s="88"/>
      <c r="OMS22" s="88"/>
      <c r="OMT22" s="90"/>
      <c r="OMU22" s="93"/>
      <c r="OMV22" s="88"/>
      <c r="OMW22" s="88"/>
      <c r="OMX22" s="91"/>
      <c r="OMY22" s="93"/>
      <c r="OMZ22" s="93"/>
      <c r="ONA22" s="88"/>
      <c r="ONB22" s="88"/>
      <c r="ONC22" s="90"/>
      <c r="OND22" s="148"/>
      <c r="ONE22" s="88"/>
      <c r="ONF22" s="88"/>
      <c r="ONG22" s="90"/>
      <c r="ONH22" s="93"/>
      <c r="ONI22" s="88"/>
      <c r="ONJ22" s="88"/>
      <c r="ONK22" s="91"/>
      <c r="ONL22" s="93"/>
      <c r="ONM22" s="93"/>
      <c r="ONN22" s="88"/>
      <c r="ONO22" s="88"/>
      <c r="ONP22" s="90"/>
      <c r="ONQ22" s="148"/>
      <c r="ONR22" s="88"/>
      <c r="ONS22" s="88"/>
      <c r="ONT22" s="90"/>
      <c r="ONU22" s="93"/>
      <c r="ONV22" s="88"/>
      <c r="ONW22" s="88"/>
      <c r="ONX22" s="91"/>
      <c r="ONY22" s="93"/>
      <c r="ONZ22" s="93"/>
      <c r="OOA22" s="88"/>
      <c r="OOB22" s="88"/>
      <c r="OOC22" s="90"/>
      <c r="OOD22" s="148"/>
      <c r="OOE22" s="88"/>
      <c r="OOF22" s="88"/>
      <c r="OOG22" s="90"/>
      <c r="OOH22" s="93"/>
      <c r="OOI22" s="88"/>
      <c r="OOJ22" s="88"/>
      <c r="OOK22" s="91"/>
      <c r="OOL22" s="93"/>
      <c r="OOM22" s="93"/>
      <c r="OON22" s="88"/>
      <c r="OOO22" s="88"/>
      <c r="OOP22" s="90"/>
      <c r="OOQ22" s="148"/>
      <c r="OOR22" s="88"/>
      <c r="OOS22" s="88"/>
      <c r="OOT22" s="90"/>
      <c r="OOU22" s="93"/>
      <c r="OOV22" s="88"/>
      <c r="OOW22" s="88"/>
      <c r="OOX22" s="91"/>
      <c r="OOY22" s="93"/>
      <c r="OOZ22" s="93"/>
      <c r="OPA22" s="88"/>
      <c r="OPB22" s="88"/>
      <c r="OPC22" s="90"/>
      <c r="OPD22" s="148"/>
      <c r="OPE22" s="88"/>
      <c r="OPF22" s="88"/>
      <c r="OPG22" s="90"/>
      <c r="OPH22" s="93"/>
      <c r="OPI22" s="88"/>
      <c r="OPJ22" s="88"/>
      <c r="OPK22" s="91"/>
      <c r="OPL22" s="93"/>
      <c r="OPM22" s="93"/>
      <c r="OPN22" s="88"/>
      <c r="OPO22" s="88"/>
      <c r="OPP22" s="90"/>
      <c r="OPQ22" s="148"/>
      <c r="OPR22" s="88"/>
      <c r="OPS22" s="88"/>
      <c r="OPT22" s="90"/>
      <c r="OPU22" s="93"/>
      <c r="OPV22" s="88"/>
      <c r="OPW22" s="88"/>
      <c r="OPX22" s="91"/>
      <c r="OPY22" s="93"/>
      <c r="OPZ22" s="93"/>
      <c r="OQA22" s="88"/>
      <c r="OQB22" s="88"/>
      <c r="OQC22" s="90"/>
      <c r="OQD22" s="148"/>
      <c r="OQE22" s="88"/>
      <c r="OQF22" s="88"/>
      <c r="OQG22" s="90"/>
      <c r="OQH22" s="93"/>
      <c r="OQI22" s="88"/>
      <c r="OQJ22" s="88"/>
      <c r="OQK22" s="91"/>
      <c r="OQL22" s="93"/>
      <c r="OQM22" s="93"/>
      <c r="OQN22" s="88"/>
      <c r="OQO22" s="88"/>
      <c r="OQP22" s="90"/>
      <c r="OQQ22" s="148"/>
      <c r="OQR22" s="88"/>
      <c r="OQS22" s="88"/>
      <c r="OQT22" s="90"/>
      <c r="OQU22" s="93"/>
      <c r="OQV22" s="88"/>
      <c r="OQW22" s="88"/>
      <c r="OQX22" s="91"/>
      <c r="OQY22" s="93"/>
      <c r="OQZ22" s="93"/>
      <c r="ORA22" s="88"/>
      <c r="ORB22" s="88"/>
      <c r="ORC22" s="90"/>
      <c r="ORD22" s="148"/>
      <c r="ORE22" s="88"/>
      <c r="ORF22" s="88"/>
      <c r="ORG22" s="90"/>
      <c r="ORH22" s="93"/>
      <c r="ORI22" s="88"/>
      <c r="ORJ22" s="88"/>
      <c r="ORK22" s="91"/>
      <c r="ORL22" s="93"/>
      <c r="ORM22" s="93"/>
      <c r="ORN22" s="88"/>
      <c r="ORO22" s="88"/>
      <c r="ORP22" s="90"/>
      <c r="ORQ22" s="148"/>
      <c r="ORR22" s="88"/>
      <c r="ORS22" s="88"/>
      <c r="ORT22" s="90"/>
      <c r="ORU22" s="93"/>
      <c r="ORV22" s="88"/>
      <c r="ORW22" s="88"/>
      <c r="ORX22" s="91"/>
      <c r="ORY22" s="93"/>
      <c r="ORZ22" s="93"/>
      <c r="OSA22" s="88"/>
      <c r="OSB22" s="88"/>
      <c r="OSC22" s="90"/>
      <c r="OSD22" s="148"/>
      <c r="OSE22" s="88"/>
      <c r="OSF22" s="88"/>
      <c r="OSG22" s="90"/>
      <c r="OSH22" s="93"/>
      <c r="OSI22" s="88"/>
      <c r="OSJ22" s="88"/>
      <c r="OSK22" s="91"/>
      <c r="OSL22" s="93"/>
      <c r="OSM22" s="93"/>
      <c r="OSN22" s="88"/>
      <c r="OSO22" s="88"/>
      <c r="OSP22" s="90"/>
      <c r="OSQ22" s="148"/>
      <c r="OSR22" s="88"/>
      <c r="OSS22" s="88"/>
      <c r="OST22" s="90"/>
      <c r="OSU22" s="93"/>
      <c r="OSV22" s="88"/>
      <c r="OSW22" s="88"/>
      <c r="OSX22" s="91"/>
      <c r="OSY22" s="93"/>
      <c r="OSZ22" s="93"/>
      <c r="OTA22" s="88"/>
      <c r="OTB22" s="88"/>
      <c r="OTC22" s="90"/>
      <c r="OTD22" s="148"/>
      <c r="OTE22" s="88"/>
      <c r="OTF22" s="88"/>
      <c r="OTG22" s="90"/>
      <c r="OTH22" s="93"/>
      <c r="OTI22" s="88"/>
      <c r="OTJ22" s="88"/>
      <c r="OTK22" s="91"/>
      <c r="OTL22" s="93"/>
      <c r="OTM22" s="93"/>
      <c r="OTN22" s="88"/>
      <c r="OTO22" s="88"/>
      <c r="OTP22" s="90"/>
      <c r="OTQ22" s="148"/>
      <c r="OTR22" s="88"/>
      <c r="OTS22" s="88"/>
      <c r="OTT22" s="90"/>
      <c r="OTU22" s="93"/>
      <c r="OTV22" s="88"/>
      <c r="OTW22" s="88"/>
      <c r="OTX22" s="91"/>
      <c r="OTY22" s="93"/>
      <c r="OTZ22" s="93"/>
      <c r="OUA22" s="88"/>
      <c r="OUB22" s="88"/>
      <c r="OUC22" s="90"/>
      <c r="OUD22" s="148"/>
      <c r="OUE22" s="88"/>
      <c r="OUF22" s="88"/>
      <c r="OUG22" s="90"/>
      <c r="OUH22" s="93"/>
      <c r="OUI22" s="88"/>
      <c r="OUJ22" s="88"/>
      <c r="OUK22" s="91"/>
      <c r="OUL22" s="93"/>
      <c r="OUM22" s="93"/>
      <c r="OUN22" s="88"/>
      <c r="OUO22" s="88"/>
      <c r="OUP22" s="90"/>
      <c r="OUQ22" s="148"/>
      <c r="OUR22" s="88"/>
      <c r="OUS22" s="88"/>
      <c r="OUT22" s="90"/>
      <c r="OUU22" s="93"/>
      <c r="OUV22" s="88"/>
      <c r="OUW22" s="88"/>
      <c r="OUX22" s="91"/>
      <c r="OUY22" s="93"/>
      <c r="OUZ22" s="93"/>
      <c r="OVA22" s="88"/>
      <c r="OVB22" s="88"/>
      <c r="OVC22" s="90"/>
      <c r="OVD22" s="148"/>
      <c r="OVE22" s="88"/>
      <c r="OVF22" s="88"/>
      <c r="OVG22" s="90"/>
      <c r="OVH22" s="93"/>
      <c r="OVI22" s="88"/>
      <c r="OVJ22" s="88"/>
      <c r="OVK22" s="91"/>
      <c r="OVL22" s="93"/>
      <c r="OVM22" s="93"/>
      <c r="OVN22" s="88"/>
      <c r="OVO22" s="88"/>
      <c r="OVP22" s="90"/>
      <c r="OVQ22" s="148"/>
      <c r="OVR22" s="88"/>
      <c r="OVS22" s="88"/>
      <c r="OVT22" s="90"/>
      <c r="OVU22" s="93"/>
      <c r="OVV22" s="88"/>
      <c r="OVW22" s="88"/>
      <c r="OVX22" s="91"/>
      <c r="OVY22" s="93"/>
      <c r="OVZ22" s="93"/>
      <c r="OWA22" s="88"/>
      <c r="OWB22" s="88"/>
      <c r="OWC22" s="90"/>
      <c r="OWD22" s="148"/>
      <c r="OWE22" s="88"/>
      <c r="OWF22" s="88"/>
      <c r="OWG22" s="90"/>
      <c r="OWH22" s="93"/>
      <c r="OWI22" s="88"/>
      <c r="OWJ22" s="88"/>
      <c r="OWK22" s="91"/>
      <c r="OWL22" s="93"/>
      <c r="OWM22" s="93"/>
      <c r="OWN22" s="88"/>
      <c r="OWO22" s="88"/>
      <c r="OWP22" s="90"/>
      <c r="OWQ22" s="148"/>
      <c r="OWR22" s="88"/>
      <c r="OWS22" s="88"/>
      <c r="OWT22" s="90"/>
      <c r="OWU22" s="93"/>
      <c r="OWV22" s="88"/>
      <c r="OWW22" s="88"/>
      <c r="OWX22" s="91"/>
      <c r="OWY22" s="93"/>
      <c r="OWZ22" s="93"/>
      <c r="OXA22" s="88"/>
      <c r="OXB22" s="88"/>
      <c r="OXC22" s="90"/>
      <c r="OXD22" s="148"/>
      <c r="OXE22" s="88"/>
      <c r="OXF22" s="88"/>
      <c r="OXG22" s="90"/>
      <c r="OXH22" s="93"/>
      <c r="OXI22" s="88"/>
      <c r="OXJ22" s="88"/>
      <c r="OXK22" s="91"/>
      <c r="OXL22" s="93"/>
      <c r="OXM22" s="93"/>
      <c r="OXN22" s="88"/>
      <c r="OXO22" s="88"/>
      <c r="OXP22" s="90"/>
      <c r="OXQ22" s="148"/>
      <c r="OXR22" s="88"/>
      <c r="OXS22" s="88"/>
      <c r="OXT22" s="90"/>
      <c r="OXU22" s="93"/>
      <c r="OXV22" s="88"/>
      <c r="OXW22" s="88"/>
      <c r="OXX22" s="91"/>
      <c r="OXY22" s="93"/>
      <c r="OXZ22" s="93"/>
      <c r="OYA22" s="88"/>
      <c r="OYB22" s="88"/>
      <c r="OYC22" s="90"/>
      <c r="OYD22" s="148"/>
      <c r="OYE22" s="88"/>
      <c r="OYF22" s="88"/>
      <c r="OYG22" s="90"/>
      <c r="OYH22" s="93"/>
      <c r="OYI22" s="88"/>
      <c r="OYJ22" s="88"/>
      <c r="OYK22" s="91"/>
      <c r="OYL22" s="93"/>
      <c r="OYM22" s="93"/>
      <c r="OYN22" s="88"/>
      <c r="OYO22" s="88"/>
      <c r="OYP22" s="90"/>
      <c r="OYQ22" s="148"/>
      <c r="OYR22" s="88"/>
      <c r="OYS22" s="88"/>
      <c r="OYT22" s="90"/>
      <c r="OYU22" s="93"/>
      <c r="OYV22" s="88"/>
      <c r="OYW22" s="88"/>
      <c r="OYX22" s="91"/>
      <c r="OYY22" s="93"/>
      <c r="OYZ22" s="93"/>
      <c r="OZA22" s="88"/>
      <c r="OZB22" s="88"/>
      <c r="OZC22" s="90"/>
      <c r="OZD22" s="148"/>
      <c r="OZE22" s="88"/>
      <c r="OZF22" s="88"/>
      <c r="OZG22" s="90"/>
      <c r="OZH22" s="93"/>
      <c r="OZI22" s="88"/>
      <c r="OZJ22" s="88"/>
      <c r="OZK22" s="91"/>
      <c r="OZL22" s="93"/>
      <c r="OZM22" s="93"/>
      <c r="OZN22" s="88"/>
      <c r="OZO22" s="88"/>
      <c r="OZP22" s="90"/>
      <c r="OZQ22" s="148"/>
      <c r="OZR22" s="88"/>
      <c r="OZS22" s="88"/>
      <c r="OZT22" s="90"/>
      <c r="OZU22" s="93"/>
      <c r="OZV22" s="88"/>
      <c r="OZW22" s="88"/>
      <c r="OZX22" s="91"/>
      <c r="OZY22" s="93"/>
      <c r="OZZ22" s="93"/>
      <c r="PAA22" s="88"/>
      <c r="PAB22" s="88"/>
      <c r="PAC22" s="90"/>
      <c r="PAD22" s="148"/>
      <c r="PAE22" s="88"/>
      <c r="PAF22" s="88"/>
      <c r="PAG22" s="90"/>
      <c r="PAH22" s="93"/>
      <c r="PAI22" s="88"/>
      <c r="PAJ22" s="88"/>
      <c r="PAK22" s="91"/>
      <c r="PAL22" s="93"/>
      <c r="PAM22" s="93"/>
      <c r="PAN22" s="88"/>
      <c r="PAO22" s="88"/>
      <c r="PAP22" s="90"/>
      <c r="PAQ22" s="148"/>
      <c r="PAR22" s="88"/>
      <c r="PAS22" s="88"/>
      <c r="PAT22" s="90"/>
      <c r="PAU22" s="93"/>
      <c r="PAV22" s="88"/>
      <c r="PAW22" s="88"/>
      <c r="PAX22" s="91"/>
      <c r="PAY22" s="93"/>
      <c r="PAZ22" s="93"/>
      <c r="PBA22" s="88"/>
      <c r="PBB22" s="88"/>
      <c r="PBC22" s="90"/>
      <c r="PBD22" s="148"/>
      <c r="PBE22" s="88"/>
      <c r="PBF22" s="88"/>
      <c r="PBG22" s="90"/>
      <c r="PBH22" s="93"/>
      <c r="PBI22" s="88"/>
      <c r="PBJ22" s="88"/>
      <c r="PBK22" s="91"/>
      <c r="PBL22" s="93"/>
      <c r="PBM22" s="93"/>
      <c r="PBN22" s="88"/>
      <c r="PBO22" s="88"/>
      <c r="PBP22" s="90"/>
      <c r="PBQ22" s="148"/>
      <c r="PBR22" s="88"/>
      <c r="PBS22" s="88"/>
      <c r="PBT22" s="90"/>
      <c r="PBU22" s="93"/>
      <c r="PBV22" s="88"/>
      <c r="PBW22" s="88"/>
      <c r="PBX22" s="91"/>
      <c r="PBY22" s="93"/>
      <c r="PBZ22" s="93"/>
      <c r="PCA22" s="88"/>
      <c r="PCB22" s="88"/>
      <c r="PCC22" s="90"/>
      <c r="PCD22" s="148"/>
      <c r="PCE22" s="88"/>
      <c r="PCF22" s="88"/>
      <c r="PCG22" s="90"/>
      <c r="PCH22" s="93"/>
      <c r="PCI22" s="88"/>
      <c r="PCJ22" s="88"/>
      <c r="PCK22" s="91"/>
      <c r="PCL22" s="93"/>
      <c r="PCM22" s="93"/>
      <c r="PCN22" s="88"/>
      <c r="PCO22" s="88"/>
      <c r="PCP22" s="90"/>
      <c r="PCQ22" s="148"/>
      <c r="PCR22" s="88"/>
      <c r="PCS22" s="88"/>
      <c r="PCT22" s="90"/>
      <c r="PCU22" s="93"/>
      <c r="PCV22" s="88"/>
      <c r="PCW22" s="88"/>
      <c r="PCX22" s="91"/>
      <c r="PCY22" s="93"/>
      <c r="PCZ22" s="93"/>
      <c r="PDA22" s="88"/>
      <c r="PDB22" s="88"/>
      <c r="PDC22" s="90"/>
      <c r="PDD22" s="148"/>
      <c r="PDE22" s="88"/>
      <c r="PDF22" s="88"/>
      <c r="PDG22" s="90"/>
      <c r="PDH22" s="93"/>
      <c r="PDI22" s="88"/>
      <c r="PDJ22" s="88"/>
      <c r="PDK22" s="91"/>
      <c r="PDL22" s="93"/>
      <c r="PDM22" s="93"/>
      <c r="PDN22" s="88"/>
      <c r="PDO22" s="88"/>
      <c r="PDP22" s="90"/>
      <c r="PDQ22" s="148"/>
      <c r="PDR22" s="88"/>
      <c r="PDS22" s="88"/>
      <c r="PDT22" s="90"/>
      <c r="PDU22" s="93"/>
      <c r="PDV22" s="88"/>
      <c r="PDW22" s="88"/>
      <c r="PDX22" s="91"/>
      <c r="PDY22" s="93"/>
      <c r="PDZ22" s="93"/>
      <c r="PEA22" s="88"/>
      <c r="PEB22" s="88"/>
      <c r="PEC22" s="90"/>
      <c r="PED22" s="148"/>
      <c r="PEE22" s="88"/>
      <c r="PEF22" s="88"/>
      <c r="PEG22" s="90"/>
      <c r="PEH22" s="93"/>
      <c r="PEI22" s="88"/>
      <c r="PEJ22" s="88"/>
      <c r="PEK22" s="91"/>
      <c r="PEL22" s="93"/>
      <c r="PEM22" s="93"/>
      <c r="PEN22" s="88"/>
      <c r="PEO22" s="88"/>
      <c r="PEP22" s="90"/>
      <c r="PEQ22" s="148"/>
      <c r="PER22" s="88"/>
      <c r="PES22" s="88"/>
      <c r="PET22" s="90"/>
      <c r="PEU22" s="93"/>
      <c r="PEV22" s="88"/>
      <c r="PEW22" s="88"/>
      <c r="PEX22" s="91"/>
      <c r="PEY22" s="93"/>
      <c r="PEZ22" s="93"/>
      <c r="PFA22" s="88"/>
      <c r="PFB22" s="88"/>
      <c r="PFC22" s="90"/>
      <c r="PFD22" s="148"/>
      <c r="PFE22" s="88"/>
      <c r="PFF22" s="88"/>
      <c r="PFG22" s="90"/>
      <c r="PFH22" s="93"/>
      <c r="PFI22" s="88"/>
      <c r="PFJ22" s="88"/>
      <c r="PFK22" s="91"/>
      <c r="PFL22" s="93"/>
      <c r="PFM22" s="93"/>
      <c r="PFN22" s="88"/>
      <c r="PFO22" s="88"/>
      <c r="PFP22" s="90"/>
      <c r="PFQ22" s="148"/>
      <c r="PFR22" s="88"/>
      <c r="PFS22" s="88"/>
      <c r="PFT22" s="90"/>
      <c r="PFU22" s="93"/>
      <c r="PFV22" s="88"/>
      <c r="PFW22" s="88"/>
      <c r="PFX22" s="91"/>
      <c r="PFY22" s="93"/>
      <c r="PFZ22" s="93"/>
      <c r="PGA22" s="88"/>
      <c r="PGB22" s="88"/>
      <c r="PGC22" s="90"/>
      <c r="PGD22" s="148"/>
      <c r="PGE22" s="88"/>
      <c r="PGF22" s="88"/>
      <c r="PGG22" s="90"/>
      <c r="PGH22" s="93"/>
      <c r="PGI22" s="88"/>
      <c r="PGJ22" s="88"/>
      <c r="PGK22" s="91"/>
      <c r="PGL22" s="93"/>
      <c r="PGM22" s="93"/>
      <c r="PGN22" s="88"/>
      <c r="PGO22" s="88"/>
      <c r="PGP22" s="90"/>
      <c r="PGQ22" s="148"/>
      <c r="PGR22" s="88"/>
      <c r="PGS22" s="88"/>
      <c r="PGT22" s="90"/>
      <c r="PGU22" s="93"/>
      <c r="PGV22" s="88"/>
      <c r="PGW22" s="88"/>
      <c r="PGX22" s="91"/>
      <c r="PGY22" s="93"/>
      <c r="PGZ22" s="93"/>
      <c r="PHA22" s="88"/>
      <c r="PHB22" s="88"/>
      <c r="PHC22" s="90"/>
      <c r="PHD22" s="148"/>
      <c r="PHE22" s="88"/>
      <c r="PHF22" s="88"/>
      <c r="PHG22" s="90"/>
      <c r="PHH22" s="93"/>
      <c r="PHI22" s="88"/>
      <c r="PHJ22" s="88"/>
      <c r="PHK22" s="91"/>
      <c r="PHL22" s="93"/>
      <c r="PHM22" s="93"/>
      <c r="PHN22" s="88"/>
      <c r="PHO22" s="88"/>
      <c r="PHP22" s="90"/>
      <c r="PHQ22" s="148"/>
      <c r="PHR22" s="88"/>
      <c r="PHS22" s="88"/>
      <c r="PHT22" s="90"/>
      <c r="PHU22" s="93"/>
      <c r="PHV22" s="88"/>
      <c r="PHW22" s="88"/>
      <c r="PHX22" s="91"/>
      <c r="PHY22" s="93"/>
      <c r="PHZ22" s="93"/>
      <c r="PIA22" s="88"/>
      <c r="PIB22" s="88"/>
      <c r="PIC22" s="90"/>
      <c r="PID22" s="148"/>
      <c r="PIE22" s="88"/>
      <c r="PIF22" s="88"/>
      <c r="PIG22" s="90"/>
      <c r="PIH22" s="93"/>
      <c r="PII22" s="88"/>
      <c r="PIJ22" s="88"/>
      <c r="PIK22" s="91"/>
      <c r="PIL22" s="93"/>
      <c r="PIM22" s="93"/>
      <c r="PIN22" s="88"/>
      <c r="PIO22" s="88"/>
      <c r="PIP22" s="90"/>
      <c r="PIQ22" s="148"/>
      <c r="PIR22" s="88"/>
      <c r="PIS22" s="88"/>
      <c r="PIT22" s="90"/>
      <c r="PIU22" s="93"/>
      <c r="PIV22" s="88"/>
      <c r="PIW22" s="88"/>
      <c r="PIX22" s="91"/>
      <c r="PIY22" s="93"/>
      <c r="PIZ22" s="93"/>
      <c r="PJA22" s="88"/>
      <c r="PJB22" s="88"/>
      <c r="PJC22" s="90"/>
      <c r="PJD22" s="148"/>
      <c r="PJE22" s="88"/>
      <c r="PJF22" s="88"/>
      <c r="PJG22" s="90"/>
      <c r="PJH22" s="93"/>
      <c r="PJI22" s="88"/>
      <c r="PJJ22" s="88"/>
      <c r="PJK22" s="91"/>
      <c r="PJL22" s="93"/>
      <c r="PJM22" s="93"/>
      <c r="PJN22" s="88"/>
      <c r="PJO22" s="88"/>
      <c r="PJP22" s="90"/>
      <c r="PJQ22" s="148"/>
      <c r="PJR22" s="88"/>
      <c r="PJS22" s="88"/>
      <c r="PJT22" s="90"/>
      <c r="PJU22" s="93"/>
      <c r="PJV22" s="88"/>
      <c r="PJW22" s="88"/>
      <c r="PJX22" s="91"/>
      <c r="PJY22" s="93"/>
      <c r="PJZ22" s="93"/>
      <c r="PKA22" s="88"/>
      <c r="PKB22" s="88"/>
      <c r="PKC22" s="90"/>
      <c r="PKD22" s="148"/>
      <c r="PKE22" s="88"/>
      <c r="PKF22" s="88"/>
      <c r="PKG22" s="90"/>
      <c r="PKH22" s="93"/>
      <c r="PKI22" s="88"/>
      <c r="PKJ22" s="88"/>
      <c r="PKK22" s="91"/>
      <c r="PKL22" s="93"/>
      <c r="PKM22" s="93"/>
      <c r="PKN22" s="88"/>
      <c r="PKO22" s="88"/>
      <c r="PKP22" s="90"/>
      <c r="PKQ22" s="148"/>
      <c r="PKR22" s="88"/>
      <c r="PKS22" s="88"/>
      <c r="PKT22" s="90"/>
      <c r="PKU22" s="93"/>
      <c r="PKV22" s="88"/>
      <c r="PKW22" s="88"/>
      <c r="PKX22" s="91"/>
      <c r="PKY22" s="93"/>
      <c r="PKZ22" s="93"/>
      <c r="PLA22" s="88"/>
      <c r="PLB22" s="88"/>
      <c r="PLC22" s="90"/>
      <c r="PLD22" s="148"/>
      <c r="PLE22" s="88"/>
      <c r="PLF22" s="88"/>
      <c r="PLG22" s="90"/>
      <c r="PLH22" s="93"/>
      <c r="PLI22" s="88"/>
      <c r="PLJ22" s="88"/>
      <c r="PLK22" s="91"/>
      <c r="PLL22" s="93"/>
      <c r="PLM22" s="93"/>
      <c r="PLN22" s="88"/>
      <c r="PLO22" s="88"/>
      <c r="PLP22" s="90"/>
      <c r="PLQ22" s="148"/>
      <c r="PLR22" s="88"/>
      <c r="PLS22" s="88"/>
      <c r="PLT22" s="90"/>
      <c r="PLU22" s="93"/>
      <c r="PLV22" s="88"/>
      <c r="PLW22" s="88"/>
      <c r="PLX22" s="91"/>
      <c r="PLY22" s="93"/>
      <c r="PLZ22" s="93"/>
      <c r="PMA22" s="88"/>
      <c r="PMB22" s="88"/>
      <c r="PMC22" s="90"/>
      <c r="PMD22" s="148"/>
      <c r="PME22" s="88"/>
      <c r="PMF22" s="88"/>
      <c r="PMG22" s="90"/>
      <c r="PMH22" s="93"/>
      <c r="PMI22" s="88"/>
      <c r="PMJ22" s="88"/>
      <c r="PMK22" s="91"/>
      <c r="PML22" s="93"/>
      <c r="PMM22" s="93"/>
      <c r="PMN22" s="88"/>
      <c r="PMO22" s="88"/>
      <c r="PMP22" s="90"/>
      <c r="PMQ22" s="148"/>
      <c r="PMR22" s="88"/>
      <c r="PMS22" s="88"/>
      <c r="PMT22" s="90"/>
      <c r="PMU22" s="93"/>
      <c r="PMV22" s="88"/>
      <c r="PMW22" s="88"/>
      <c r="PMX22" s="91"/>
      <c r="PMY22" s="93"/>
      <c r="PMZ22" s="93"/>
      <c r="PNA22" s="88"/>
      <c r="PNB22" s="88"/>
      <c r="PNC22" s="90"/>
      <c r="PND22" s="148"/>
      <c r="PNE22" s="88"/>
      <c r="PNF22" s="88"/>
      <c r="PNG22" s="90"/>
      <c r="PNH22" s="93"/>
      <c r="PNI22" s="88"/>
      <c r="PNJ22" s="88"/>
      <c r="PNK22" s="91"/>
      <c r="PNL22" s="93"/>
      <c r="PNM22" s="93"/>
      <c r="PNN22" s="88"/>
      <c r="PNO22" s="88"/>
      <c r="PNP22" s="90"/>
      <c r="PNQ22" s="148"/>
      <c r="PNR22" s="88"/>
      <c r="PNS22" s="88"/>
      <c r="PNT22" s="90"/>
      <c r="PNU22" s="93"/>
      <c r="PNV22" s="88"/>
      <c r="PNW22" s="88"/>
      <c r="PNX22" s="91"/>
      <c r="PNY22" s="93"/>
      <c r="PNZ22" s="93"/>
      <c r="POA22" s="88"/>
      <c r="POB22" s="88"/>
      <c r="POC22" s="90"/>
      <c r="POD22" s="148"/>
      <c r="POE22" s="88"/>
      <c r="POF22" s="88"/>
      <c r="POG22" s="90"/>
      <c r="POH22" s="93"/>
      <c r="POI22" s="88"/>
      <c r="POJ22" s="88"/>
      <c r="POK22" s="91"/>
      <c r="POL22" s="93"/>
      <c r="POM22" s="93"/>
      <c r="PON22" s="88"/>
      <c r="POO22" s="88"/>
      <c r="POP22" s="90"/>
      <c r="POQ22" s="148"/>
      <c r="POR22" s="88"/>
      <c r="POS22" s="88"/>
      <c r="POT22" s="90"/>
      <c r="POU22" s="93"/>
      <c r="POV22" s="88"/>
      <c r="POW22" s="88"/>
      <c r="POX22" s="91"/>
      <c r="POY22" s="93"/>
      <c r="POZ22" s="93"/>
      <c r="PPA22" s="88"/>
      <c r="PPB22" s="88"/>
      <c r="PPC22" s="90"/>
      <c r="PPD22" s="148"/>
      <c r="PPE22" s="88"/>
      <c r="PPF22" s="88"/>
      <c r="PPG22" s="90"/>
      <c r="PPH22" s="93"/>
      <c r="PPI22" s="88"/>
      <c r="PPJ22" s="88"/>
      <c r="PPK22" s="91"/>
      <c r="PPL22" s="93"/>
      <c r="PPM22" s="93"/>
      <c r="PPN22" s="88"/>
      <c r="PPO22" s="88"/>
      <c r="PPP22" s="90"/>
      <c r="PPQ22" s="148"/>
      <c r="PPR22" s="88"/>
      <c r="PPS22" s="88"/>
      <c r="PPT22" s="90"/>
      <c r="PPU22" s="93"/>
      <c r="PPV22" s="88"/>
      <c r="PPW22" s="88"/>
      <c r="PPX22" s="91"/>
      <c r="PPY22" s="93"/>
      <c r="PPZ22" s="93"/>
      <c r="PQA22" s="88"/>
      <c r="PQB22" s="88"/>
      <c r="PQC22" s="90"/>
      <c r="PQD22" s="148"/>
      <c r="PQE22" s="88"/>
      <c r="PQF22" s="88"/>
      <c r="PQG22" s="90"/>
      <c r="PQH22" s="93"/>
      <c r="PQI22" s="88"/>
      <c r="PQJ22" s="88"/>
      <c r="PQK22" s="91"/>
      <c r="PQL22" s="93"/>
      <c r="PQM22" s="93"/>
      <c r="PQN22" s="88"/>
      <c r="PQO22" s="88"/>
      <c r="PQP22" s="90"/>
      <c r="PQQ22" s="148"/>
      <c r="PQR22" s="88"/>
      <c r="PQS22" s="88"/>
      <c r="PQT22" s="90"/>
      <c r="PQU22" s="93"/>
      <c r="PQV22" s="88"/>
      <c r="PQW22" s="88"/>
      <c r="PQX22" s="91"/>
      <c r="PQY22" s="93"/>
      <c r="PQZ22" s="93"/>
      <c r="PRA22" s="88"/>
      <c r="PRB22" s="88"/>
      <c r="PRC22" s="90"/>
      <c r="PRD22" s="148"/>
      <c r="PRE22" s="88"/>
      <c r="PRF22" s="88"/>
      <c r="PRG22" s="90"/>
      <c r="PRH22" s="93"/>
      <c r="PRI22" s="88"/>
      <c r="PRJ22" s="88"/>
      <c r="PRK22" s="91"/>
      <c r="PRL22" s="93"/>
      <c r="PRM22" s="93"/>
      <c r="PRN22" s="88"/>
      <c r="PRO22" s="88"/>
      <c r="PRP22" s="90"/>
      <c r="PRQ22" s="148"/>
      <c r="PRR22" s="88"/>
      <c r="PRS22" s="88"/>
      <c r="PRT22" s="90"/>
      <c r="PRU22" s="93"/>
      <c r="PRV22" s="88"/>
      <c r="PRW22" s="88"/>
      <c r="PRX22" s="91"/>
      <c r="PRY22" s="93"/>
      <c r="PRZ22" s="93"/>
      <c r="PSA22" s="88"/>
      <c r="PSB22" s="88"/>
      <c r="PSC22" s="90"/>
      <c r="PSD22" s="148"/>
      <c r="PSE22" s="88"/>
      <c r="PSF22" s="88"/>
      <c r="PSG22" s="90"/>
      <c r="PSH22" s="93"/>
      <c r="PSI22" s="88"/>
      <c r="PSJ22" s="88"/>
      <c r="PSK22" s="91"/>
      <c r="PSL22" s="93"/>
      <c r="PSM22" s="93"/>
      <c r="PSN22" s="88"/>
      <c r="PSO22" s="88"/>
      <c r="PSP22" s="90"/>
      <c r="PSQ22" s="148"/>
      <c r="PSR22" s="88"/>
      <c r="PSS22" s="88"/>
      <c r="PST22" s="90"/>
      <c r="PSU22" s="93"/>
      <c r="PSV22" s="88"/>
      <c r="PSW22" s="88"/>
      <c r="PSX22" s="91"/>
      <c r="PSY22" s="93"/>
      <c r="PSZ22" s="93"/>
      <c r="PTA22" s="88"/>
      <c r="PTB22" s="88"/>
      <c r="PTC22" s="90"/>
      <c r="PTD22" s="148"/>
      <c r="PTE22" s="88"/>
      <c r="PTF22" s="88"/>
      <c r="PTG22" s="90"/>
      <c r="PTH22" s="93"/>
      <c r="PTI22" s="88"/>
      <c r="PTJ22" s="88"/>
      <c r="PTK22" s="91"/>
      <c r="PTL22" s="93"/>
      <c r="PTM22" s="93"/>
      <c r="PTN22" s="88"/>
      <c r="PTO22" s="88"/>
      <c r="PTP22" s="90"/>
      <c r="PTQ22" s="148"/>
      <c r="PTR22" s="88"/>
      <c r="PTS22" s="88"/>
      <c r="PTT22" s="90"/>
      <c r="PTU22" s="93"/>
      <c r="PTV22" s="88"/>
      <c r="PTW22" s="88"/>
      <c r="PTX22" s="91"/>
      <c r="PTY22" s="93"/>
      <c r="PTZ22" s="93"/>
      <c r="PUA22" s="88"/>
      <c r="PUB22" s="88"/>
      <c r="PUC22" s="90"/>
      <c r="PUD22" s="148"/>
      <c r="PUE22" s="88"/>
      <c r="PUF22" s="88"/>
      <c r="PUG22" s="90"/>
      <c r="PUH22" s="93"/>
      <c r="PUI22" s="88"/>
      <c r="PUJ22" s="88"/>
      <c r="PUK22" s="91"/>
      <c r="PUL22" s="93"/>
      <c r="PUM22" s="93"/>
      <c r="PUN22" s="88"/>
      <c r="PUO22" s="88"/>
      <c r="PUP22" s="90"/>
      <c r="PUQ22" s="148"/>
      <c r="PUR22" s="88"/>
      <c r="PUS22" s="88"/>
      <c r="PUT22" s="90"/>
      <c r="PUU22" s="93"/>
      <c r="PUV22" s="88"/>
      <c r="PUW22" s="88"/>
      <c r="PUX22" s="91"/>
      <c r="PUY22" s="93"/>
      <c r="PUZ22" s="93"/>
      <c r="PVA22" s="88"/>
      <c r="PVB22" s="88"/>
      <c r="PVC22" s="90"/>
      <c r="PVD22" s="148"/>
      <c r="PVE22" s="88"/>
      <c r="PVF22" s="88"/>
      <c r="PVG22" s="90"/>
      <c r="PVH22" s="93"/>
      <c r="PVI22" s="88"/>
      <c r="PVJ22" s="88"/>
      <c r="PVK22" s="91"/>
      <c r="PVL22" s="93"/>
      <c r="PVM22" s="93"/>
      <c r="PVN22" s="88"/>
      <c r="PVO22" s="88"/>
      <c r="PVP22" s="90"/>
      <c r="PVQ22" s="148"/>
      <c r="PVR22" s="88"/>
      <c r="PVS22" s="88"/>
      <c r="PVT22" s="90"/>
      <c r="PVU22" s="93"/>
      <c r="PVV22" s="88"/>
      <c r="PVW22" s="88"/>
      <c r="PVX22" s="91"/>
      <c r="PVY22" s="93"/>
      <c r="PVZ22" s="93"/>
      <c r="PWA22" s="88"/>
      <c r="PWB22" s="88"/>
      <c r="PWC22" s="90"/>
      <c r="PWD22" s="148"/>
      <c r="PWE22" s="88"/>
      <c r="PWF22" s="88"/>
      <c r="PWG22" s="90"/>
      <c r="PWH22" s="93"/>
      <c r="PWI22" s="88"/>
      <c r="PWJ22" s="88"/>
      <c r="PWK22" s="91"/>
      <c r="PWL22" s="93"/>
      <c r="PWM22" s="93"/>
      <c r="PWN22" s="88"/>
      <c r="PWO22" s="88"/>
      <c r="PWP22" s="90"/>
      <c r="PWQ22" s="148"/>
      <c r="PWR22" s="88"/>
      <c r="PWS22" s="88"/>
      <c r="PWT22" s="90"/>
      <c r="PWU22" s="93"/>
      <c r="PWV22" s="88"/>
      <c r="PWW22" s="88"/>
      <c r="PWX22" s="91"/>
      <c r="PWY22" s="93"/>
      <c r="PWZ22" s="93"/>
      <c r="PXA22" s="88"/>
      <c r="PXB22" s="88"/>
      <c r="PXC22" s="90"/>
      <c r="PXD22" s="148"/>
      <c r="PXE22" s="88"/>
      <c r="PXF22" s="88"/>
      <c r="PXG22" s="90"/>
      <c r="PXH22" s="93"/>
      <c r="PXI22" s="88"/>
      <c r="PXJ22" s="88"/>
      <c r="PXK22" s="91"/>
      <c r="PXL22" s="93"/>
      <c r="PXM22" s="93"/>
      <c r="PXN22" s="88"/>
      <c r="PXO22" s="88"/>
      <c r="PXP22" s="90"/>
      <c r="PXQ22" s="148"/>
      <c r="PXR22" s="88"/>
      <c r="PXS22" s="88"/>
      <c r="PXT22" s="90"/>
      <c r="PXU22" s="93"/>
      <c r="PXV22" s="88"/>
      <c r="PXW22" s="88"/>
      <c r="PXX22" s="91"/>
      <c r="PXY22" s="93"/>
      <c r="PXZ22" s="93"/>
      <c r="PYA22" s="88"/>
      <c r="PYB22" s="88"/>
      <c r="PYC22" s="90"/>
      <c r="PYD22" s="148"/>
      <c r="PYE22" s="88"/>
      <c r="PYF22" s="88"/>
      <c r="PYG22" s="90"/>
      <c r="PYH22" s="93"/>
      <c r="PYI22" s="88"/>
      <c r="PYJ22" s="88"/>
      <c r="PYK22" s="91"/>
      <c r="PYL22" s="93"/>
      <c r="PYM22" s="93"/>
      <c r="PYN22" s="88"/>
      <c r="PYO22" s="88"/>
      <c r="PYP22" s="90"/>
      <c r="PYQ22" s="148"/>
      <c r="PYR22" s="88"/>
      <c r="PYS22" s="88"/>
      <c r="PYT22" s="90"/>
      <c r="PYU22" s="93"/>
      <c r="PYV22" s="88"/>
      <c r="PYW22" s="88"/>
      <c r="PYX22" s="91"/>
      <c r="PYY22" s="93"/>
      <c r="PYZ22" s="93"/>
      <c r="PZA22" s="88"/>
      <c r="PZB22" s="88"/>
      <c r="PZC22" s="90"/>
      <c r="PZD22" s="148"/>
      <c r="PZE22" s="88"/>
      <c r="PZF22" s="88"/>
      <c r="PZG22" s="90"/>
      <c r="PZH22" s="93"/>
      <c r="PZI22" s="88"/>
      <c r="PZJ22" s="88"/>
      <c r="PZK22" s="91"/>
      <c r="PZL22" s="93"/>
      <c r="PZM22" s="93"/>
      <c r="PZN22" s="88"/>
      <c r="PZO22" s="88"/>
      <c r="PZP22" s="90"/>
      <c r="PZQ22" s="148"/>
      <c r="PZR22" s="88"/>
      <c r="PZS22" s="88"/>
      <c r="PZT22" s="90"/>
      <c r="PZU22" s="93"/>
      <c r="PZV22" s="88"/>
      <c r="PZW22" s="88"/>
      <c r="PZX22" s="91"/>
      <c r="PZY22" s="93"/>
      <c r="PZZ22" s="93"/>
      <c r="QAA22" s="88"/>
      <c r="QAB22" s="88"/>
      <c r="QAC22" s="90"/>
      <c r="QAD22" s="148"/>
      <c r="QAE22" s="88"/>
      <c r="QAF22" s="88"/>
      <c r="QAG22" s="90"/>
      <c r="QAH22" s="93"/>
      <c r="QAI22" s="88"/>
      <c r="QAJ22" s="88"/>
      <c r="QAK22" s="91"/>
      <c r="QAL22" s="93"/>
      <c r="QAM22" s="93"/>
      <c r="QAN22" s="88"/>
      <c r="QAO22" s="88"/>
      <c r="QAP22" s="90"/>
      <c r="QAQ22" s="148"/>
      <c r="QAR22" s="88"/>
      <c r="QAS22" s="88"/>
      <c r="QAT22" s="90"/>
      <c r="QAU22" s="93"/>
      <c r="QAV22" s="88"/>
      <c r="QAW22" s="88"/>
      <c r="QAX22" s="91"/>
      <c r="QAY22" s="93"/>
      <c r="QAZ22" s="93"/>
      <c r="QBA22" s="88"/>
      <c r="QBB22" s="88"/>
      <c r="QBC22" s="90"/>
      <c r="QBD22" s="148"/>
      <c r="QBE22" s="88"/>
      <c r="QBF22" s="88"/>
      <c r="QBG22" s="90"/>
      <c r="QBH22" s="93"/>
      <c r="QBI22" s="88"/>
      <c r="QBJ22" s="88"/>
      <c r="QBK22" s="91"/>
      <c r="QBL22" s="93"/>
      <c r="QBM22" s="93"/>
      <c r="QBN22" s="88"/>
      <c r="QBO22" s="88"/>
      <c r="QBP22" s="90"/>
      <c r="QBQ22" s="148"/>
      <c r="QBR22" s="88"/>
      <c r="QBS22" s="88"/>
      <c r="QBT22" s="90"/>
      <c r="QBU22" s="93"/>
      <c r="QBV22" s="88"/>
      <c r="QBW22" s="88"/>
      <c r="QBX22" s="91"/>
      <c r="QBY22" s="93"/>
      <c r="QBZ22" s="93"/>
      <c r="QCA22" s="88"/>
      <c r="QCB22" s="88"/>
      <c r="QCC22" s="90"/>
      <c r="QCD22" s="148"/>
      <c r="QCE22" s="88"/>
      <c r="QCF22" s="88"/>
      <c r="QCG22" s="90"/>
      <c r="QCH22" s="93"/>
      <c r="QCI22" s="88"/>
      <c r="QCJ22" s="88"/>
      <c r="QCK22" s="91"/>
      <c r="QCL22" s="93"/>
      <c r="QCM22" s="93"/>
      <c r="QCN22" s="88"/>
      <c r="QCO22" s="88"/>
      <c r="QCP22" s="90"/>
      <c r="QCQ22" s="148"/>
      <c r="QCR22" s="88"/>
      <c r="QCS22" s="88"/>
      <c r="QCT22" s="90"/>
      <c r="QCU22" s="93"/>
      <c r="QCV22" s="88"/>
      <c r="QCW22" s="88"/>
      <c r="QCX22" s="91"/>
      <c r="QCY22" s="93"/>
      <c r="QCZ22" s="93"/>
      <c r="QDA22" s="88"/>
      <c r="QDB22" s="88"/>
      <c r="QDC22" s="90"/>
      <c r="QDD22" s="148"/>
      <c r="QDE22" s="88"/>
      <c r="QDF22" s="88"/>
      <c r="QDG22" s="90"/>
      <c r="QDH22" s="93"/>
      <c r="QDI22" s="88"/>
      <c r="QDJ22" s="88"/>
      <c r="QDK22" s="91"/>
      <c r="QDL22" s="93"/>
      <c r="QDM22" s="93"/>
      <c r="QDN22" s="88"/>
      <c r="QDO22" s="88"/>
      <c r="QDP22" s="90"/>
      <c r="QDQ22" s="148"/>
      <c r="QDR22" s="88"/>
      <c r="QDS22" s="88"/>
      <c r="QDT22" s="90"/>
      <c r="QDU22" s="93"/>
      <c r="QDV22" s="88"/>
      <c r="QDW22" s="88"/>
      <c r="QDX22" s="91"/>
      <c r="QDY22" s="93"/>
      <c r="QDZ22" s="93"/>
      <c r="QEA22" s="88"/>
      <c r="QEB22" s="88"/>
      <c r="QEC22" s="90"/>
      <c r="QED22" s="148"/>
      <c r="QEE22" s="88"/>
      <c r="QEF22" s="88"/>
      <c r="QEG22" s="90"/>
      <c r="QEH22" s="93"/>
      <c r="QEI22" s="88"/>
      <c r="QEJ22" s="88"/>
      <c r="QEK22" s="91"/>
      <c r="QEL22" s="93"/>
      <c r="QEM22" s="93"/>
      <c r="QEN22" s="88"/>
      <c r="QEO22" s="88"/>
      <c r="QEP22" s="90"/>
      <c r="QEQ22" s="148"/>
      <c r="QER22" s="88"/>
      <c r="QES22" s="88"/>
      <c r="QET22" s="90"/>
      <c r="QEU22" s="93"/>
      <c r="QEV22" s="88"/>
      <c r="QEW22" s="88"/>
      <c r="QEX22" s="91"/>
      <c r="QEY22" s="93"/>
      <c r="QEZ22" s="93"/>
      <c r="QFA22" s="88"/>
      <c r="QFB22" s="88"/>
      <c r="QFC22" s="90"/>
      <c r="QFD22" s="148"/>
      <c r="QFE22" s="88"/>
      <c r="QFF22" s="88"/>
      <c r="QFG22" s="90"/>
      <c r="QFH22" s="93"/>
      <c r="QFI22" s="88"/>
      <c r="QFJ22" s="88"/>
      <c r="QFK22" s="91"/>
      <c r="QFL22" s="93"/>
      <c r="QFM22" s="93"/>
      <c r="QFN22" s="88"/>
      <c r="QFO22" s="88"/>
      <c r="QFP22" s="90"/>
      <c r="QFQ22" s="148"/>
      <c r="QFR22" s="88"/>
      <c r="QFS22" s="88"/>
      <c r="QFT22" s="90"/>
      <c r="QFU22" s="93"/>
      <c r="QFV22" s="88"/>
      <c r="QFW22" s="88"/>
      <c r="QFX22" s="91"/>
      <c r="QFY22" s="93"/>
      <c r="QFZ22" s="93"/>
      <c r="QGA22" s="88"/>
      <c r="QGB22" s="88"/>
      <c r="QGC22" s="90"/>
      <c r="QGD22" s="148"/>
      <c r="QGE22" s="88"/>
      <c r="QGF22" s="88"/>
      <c r="QGG22" s="90"/>
      <c r="QGH22" s="93"/>
      <c r="QGI22" s="88"/>
      <c r="QGJ22" s="88"/>
      <c r="QGK22" s="91"/>
      <c r="QGL22" s="93"/>
      <c r="QGM22" s="93"/>
      <c r="QGN22" s="88"/>
      <c r="QGO22" s="88"/>
      <c r="QGP22" s="90"/>
      <c r="QGQ22" s="148"/>
      <c r="QGR22" s="88"/>
      <c r="QGS22" s="88"/>
      <c r="QGT22" s="90"/>
      <c r="QGU22" s="93"/>
      <c r="QGV22" s="88"/>
      <c r="QGW22" s="88"/>
      <c r="QGX22" s="91"/>
      <c r="QGY22" s="93"/>
      <c r="QGZ22" s="93"/>
      <c r="QHA22" s="88"/>
      <c r="QHB22" s="88"/>
      <c r="QHC22" s="90"/>
      <c r="QHD22" s="148"/>
      <c r="QHE22" s="88"/>
      <c r="QHF22" s="88"/>
      <c r="QHG22" s="90"/>
      <c r="QHH22" s="93"/>
      <c r="QHI22" s="88"/>
      <c r="QHJ22" s="88"/>
      <c r="QHK22" s="91"/>
      <c r="QHL22" s="93"/>
      <c r="QHM22" s="93"/>
      <c r="QHN22" s="88"/>
      <c r="QHO22" s="88"/>
      <c r="QHP22" s="90"/>
      <c r="QHQ22" s="148"/>
      <c r="QHR22" s="88"/>
      <c r="QHS22" s="88"/>
      <c r="QHT22" s="90"/>
      <c r="QHU22" s="93"/>
      <c r="QHV22" s="88"/>
      <c r="QHW22" s="88"/>
      <c r="QHX22" s="91"/>
      <c r="QHY22" s="93"/>
      <c r="QHZ22" s="93"/>
      <c r="QIA22" s="88"/>
      <c r="QIB22" s="88"/>
      <c r="QIC22" s="90"/>
      <c r="QID22" s="148"/>
      <c r="QIE22" s="88"/>
      <c r="QIF22" s="88"/>
      <c r="QIG22" s="90"/>
      <c r="QIH22" s="93"/>
      <c r="QII22" s="88"/>
      <c r="QIJ22" s="88"/>
      <c r="QIK22" s="91"/>
      <c r="QIL22" s="93"/>
      <c r="QIM22" s="93"/>
      <c r="QIN22" s="88"/>
      <c r="QIO22" s="88"/>
      <c r="QIP22" s="90"/>
      <c r="QIQ22" s="148"/>
      <c r="QIR22" s="88"/>
      <c r="QIS22" s="88"/>
      <c r="QIT22" s="90"/>
      <c r="QIU22" s="93"/>
      <c r="QIV22" s="88"/>
      <c r="QIW22" s="88"/>
      <c r="QIX22" s="91"/>
      <c r="QIY22" s="93"/>
      <c r="QIZ22" s="93"/>
      <c r="QJA22" s="88"/>
      <c r="QJB22" s="88"/>
      <c r="QJC22" s="90"/>
      <c r="QJD22" s="148"/>
      <c r="QJE22" s="88"/>
      <c r="QJF22" s="88"/>
      <c r="QJG22" s="90"/>
      <c r="QJH22" s="93"/>
      <c r="QJI22" s="88"/>
      <c r="QJJ22" s="88"/>
      <c r="QJK22" s="91"/>
      <c r="QJL22" s="93"/>
      <c r="QJM22" s="93"/>
      <c r="QJN22" s="88"/>
      <c r="QJO22" s="88"/>
      <c r="QJP22" s="90"/>
      <c r="QJQ22" s="148"/>
      <c r="QJR22" s="88"/>
      <c r="QJS22" s="88"/>
      <c r="QJT22" s="90"/>
      <c r="QJU22" s="93"/>
      <c r="QJV22" s="88"/>
      <c r="QJW22" s="88"/>
      <c r="QJX22" s="91"/>
      <c r="QJY22" s="93"/>
      <c r="QJZ22" s="93"/>
      <c r="QKA22" s="88"/>
      <c r="QKB22" s="88"/>
      <c r="QKC22" s="90"/>
      <c r="QKD22" s="148"/>
      <c r="QKE22" s="88"/>
      <c r="QKF22" s="88"/>
      <c r="QKG22" s="90"/>
      <c r="QKH22" s="93"/>
      <c r="QKI22" s="88"/>
      <c r="QKJ22" s="88"/>
      <c r="QKK22" s="91"/>
      <c r="QKL22" s="93"/>
      <c r="QKM22" s="93"/>
      <c r="QKN22" s="88"/>
      <c r="QKO22" s="88"/>
      <c r="QKP22" s="90"/>
      <c r="QKQ22" s="148"/>
      <c r="QKR22" s="88"/>
      <c r="QKS22" s="88"/>
      <c r="QKT22" s="90"/>
      <c r="QKU22" s="93"/>
      <c r="QKV22" s="88"/>
      <c r="QKW22" s="88"/>
      <c r="QKX22" s="91"/>
      <c r="QKY22" s="93"/>
      <c r="QKZ22" s="93"/>
      <c r="QLA22" s="88"/>
      <c r="QLB22" s="88"/>
      <c r="QLC22" s="90"/>
      <c r="QLD22" s="148"/>
      <c r="QLE22" s="88"/>
      <c r="QLF22" s="88"/>
      <c r="QLG22" s="90"/>
      <c r="QLH22" s="93"/>
      <c r="QLI22" s="88"/>
      <c r="QLJ22" s="88"/>
      <c r="QLK22" s="91"/>
      <c r="QLL22" s="93"/>
      <c r="QLM22" s="93"/>
      <c r="QLN22" s="88"/>
      <c r="QLO22" s="88"/>
      <c r="QLP22" s="90"/>
      <c r="QLQ22" s="148"/>
      <c r="QLR22" s="88"/>
      <c r="QLS22" s="88"/>
      <c r="QLT22" s="90"/>
      <c r="QLU22" s="93"/>
      <c r="QLV22" s="88"/>
      <c r="QLW22" s="88"/>
      <c r="QLX22" s="91"/>
      <c r="QLY22" s="93"/>
      <c r="QLZ22" s="93"/>
      <c r="QMA22" s="88"/>
      <c r="QMB22" s="88"/>
      <c r="QMC22" s="90"/>
      <c r="QMD22" s="148"/>
      <c r="QME22" s="88"/>
      <c r="QMF22" s="88"/>
      <c r="QMG22" s="90"/>
      <c r="QMH22" s="93"/>
      <c r="QMI22" s="88"/>
      <c r="QMJ22" s="88"/>
      <c r="QMK22" s="91"/>
      <c r="QML22" s="93"/>
      <c r="QMM22" s="93"/>
      <c r="QMN22" s="88"/>
      <c r="QMO22" s="88"/>
      <c r="QMP22" s="90"/>
      <c r="QMQ22" s="148"/>
      <c r="QMR22" s="88"/>
      <c r="QMS22" s="88"/>
      <c r="QMT22" s="90"/>
      <c r="QMU22" s="93"/>
      <c r="QMV22" s="88"/>
      <c r="QMW22" s="88"/>
      <c r="QMX22" s="91"/>
      <c r="QMY22" s="93"/>
      <c r="QMZ22" s="93"/>
      <c r="QNA22" s="88"/>
      <c r="QNB22" s="88"/>
      <c r="QNC22" s="90"/>
      <c r="QND22" s="148"/>
      <c r="QNE22" s="88"/>
      <c r="QNF22" s="88"/>
      <c r="QNG22" s="90"/>
      <c r="QNH22" s="93"/>
      <c r="QNI22" s="88"/>
      <c r="QNJ22" s="88"/>
      <c r="QNK22" s="91"/>
      <c r="QNL22" s="93"/>
      <c r="QNM22" s="93"/>
      <c r="QNN22" s="88"/>
      <c r="QNO22" s="88"/>
      <c r="QNP22" s="90"/>
      <c r="QNQ22" s="148"/>
      <c r="QNR22" s="88"/>
      <c r="QNS22" s="88"/>
      <c r="QNT22" s="90"/>
      <c r="QNU22" s="93"/>
      <c r="QNV22" s="88"/>
      <c r="QNW22" s="88"/>
      <c r="QNX22" s="91"/>
      <c r="QNY22" s="93"/>
      <c r="QNZ22" s="93"/>
      <c r="QOA22" s="88"/>
      <c r="QOB22" s="88"/>
      <c r="QOC22" s="90"/>
      <c r="QOD22" s="148"/>
      <c r="QOE22" s="88"/>
      <c r="QOF22" s="88"/>
      <c r="QOG22" s="90"/>
      <c r="QOH22" s="93"/>
      <c r="QOI22" s="88"/>
      <c r="QOJ22" s="88"/>
      <c r="QOK22" s="91"/>
      <c r="QOL22" s="93"/>
      <c r="QOM22" s="93"/>
      <c r="QON22" s="88"/>
      <c r="QOO22" s="88"/>
      <c r="QOP22" s="90"/>
      <c r="QOQ22" s="148"/>
      <c r="QOR22" s="88"/>
      <c r="QOS22" s="88"/>
      <c r="QOT22" s="90"/>
      <c r="QOU22" s="93"/>
      <c r="QOV22" s="88"/>
      <c r="QOW22" s="88"/>
      <c r="QOX22" s="91"/>
      <c r="QOY22" s="93"/>
      <c r="QOZ22" s="93"/>
      <c r="QPA22" s="88"/>
      <c r="QPB22" s="88"/>
      <c r="QPC22" s="90"/>
      <c r="QPD22" s="148"/>
      <c r="QPE22" s="88"/>
      <c r="QPF22" s="88"/>
      <c r="QPG22" s="90"/>
      <c r="QPH22" s="93"/>
      <c r="QPI22" s="88"/>
      <c r="QPJ22" s="88"/>
      <c r="QPK22" s="91"/>
      <c r="QPL22" s="93"/>
      <c r="QPM22" s="93"/>
      <c r="QPN22" s="88"/>
      <c r="QPO22" s="88"/>
      <c r="QPP22" s="90"/>
      <c r="QPQ22" s="148"/>
      <c r="QPR22" s="88"/>
      <c r="QPS22" s="88"/>
      <c r="QPT22" s="90"/>
      <c r="QPU22" s="93"/>
      <c r="QPV22" s="88"/>
      <c r="QPW22" s="88"/>
      <c r="QPX22" s="91"/>
      <c r="QPY22" s="93"/>
      <c r="QPZ22" s="93"/>
      <c r="QQA22" s="88"/>
      <c r="QQB22" s="88"/>
      <c r="QQC22" s="90"/>
      <c r="QQD22" s="148"/>
      <c r="QQE22" s="88"/>
      <c r="QQF22" s="88"/>
      <c r="QQG22" s="90"/>
      <c r="QQH22" s="93"/>
      <c r="QQI22" s="88"/>
      <c r="QQJ22" s="88"/>
      <c r="QQK22" s="91"/>
      <c r="QQL22" s="93"/>
      <c r="QQM22" s="93"/>
      <c r="QQN22" s="88"/>
      <c r="QQO22" s="88"/>
      <c r="QQP22" s="90"/>
      <c r="QQQ22" s="148"/>
      <c r="QQR22" s="88"/>
      <c r="QQS22" s="88"/>
      <c r="QQT22" s="90"/>
      <c r="QQU22" s="93"/>
      <c r="QQV22" s="88"/>
      <c r="QQW22" s="88"/>
      <c r="QQX22" s="91"/>
      <c r="QQY22" s="93"/>
      <c r="QQZ22" s="93"/>
      <c r="QRA22" s="88"/>
      <c r="QRB22" s="88"/>
      <c r="QRC22" s="90"/>
      <c r="QRD22" s="148"/>
      <c r="QRE22" s="88"/>
      <c r="QRF22" s="88"/>
      <c r="QRG22" s="90"/>
      <c r="QRH22" s="93"/>
      <c r="QRI22" s="88"/>
      <c r="QRJ22" s="88"/>
      <c r="QRK22" s="91"/>
      <c r="QRL22" s="93"/>
      <c r="QRM22" s="93"/>
      <c r="QRN22" s="88"/>
      <c r="QRO22" s="88"/>
      <c r="QRP22" s="90"/>
      <c r="QRQ22" s="148"/>
      <c r="QRR22" s="88"/>
      <c r="QRS22" s="88"/>
      <c r="QRT22" s="90"/>
      <c r="QRU22" s="93"/>
      <c r="QRV22" s="88"/>
      <c r="QRW22" s="88"/>
      <c r="QRX22" s="91"/>
      <c r="QRY22" s="93"/>
      <c r="QRZ22" s="93"/>
      <c r="QSA22" s="88"/>
      <c r="QSB22" s="88"/>
      <c r="QSC22" s="90"/>
      <c r="QSD22" s="148"/>
      <c r="QSE22" s="88"/>
      <c r="QSF22" s="88"/>
      <c r="QSG22" s="90"/>
      <c r="QSH22" s="93"/>
      <c r="QSI22" s="88"/>
      <c r="QSJ22" s="88"/>
      <c r="QSK22" s="91"/>
      <c r="QSL22" s="93"/>
      <c r="QSM22" s="93"/>
      <c r="QSN22" s="88"/>
      <c r="QSO22" s="88"/>
      <c r="QSP22" s="90"/>
      <c r="QSQ22" s="148"/>
      <c r="QSR22" s="88"/>
      <c r="QSS22" s="88"/>
      <c r="QST22" s="90"/>
      <c r="QSU22" s="93"/>
      <c r="QSV22" s="88"/>
      <c r="QSW22" s="88"/>
      <c r="QSX22" s="91"/>
      <c r="QSY22" s="93"/>
      <c r="QSZ22" s="93"/>
      <c r="QTA22" s="88"/>
      <c r="QTB22" s="88"/>
      <c r="QTC22" s="90"/>
      <c r="QTD22" s="148"/>
      <c r="QTE22" s="88"/>
      <c r="QTF22" s="88"/>
      <c r="QTG22" s="90"/>
      <c r="QTH22" s="93"/>
      <c r="QTI22" s="88"/>
      <c r="QTJ22" s="88"/>
      <c r="QTK22" s="91"/>
      <c r="QTL22" s="93"/>
      <c r="QTM22" s="93"/>
      <c r="QTN22" s="88"/>
      <c r="QTO22" s="88"/>
      <c r="QTP22" s="90"/>
      <c r="QTQ22" s="148"/>
      <c r="QTR22" s="88"/>
      <c r="QTS22" s="88"/>
      <c r="QTT22" s="90"/>
      <c r="QTU22" s="93"/>
      <c r="QTV22" s="88"/>
      <c r="QTW22" s="88"/>
      <c r="QTX22" s="91"/>
      <c r="QTY22" s="93"/>
      <c r="QTZ22" s="93"/>
      <c r="QUA22" s="88"/>
      <c r="QUB22" s="88"/>
      <c r="QUC22" s="90"/>
      <c r="QUD22" s="148"/>
      <c r="QUE22" s="88"/>
      <c r="QUF22" s="88"/>
      <c r="QUG22" s="90"/>
      <c r="QUH22" s="93"/>
      <c r="QUI22" s="88"/>
      <c r="QUJ22" s="88"/>
      <c r="QUK22" s="91"/>
      <c r="QUL22" s="93"/>
      <c r="QUM22" s="93"/>
      <c r="QUN22" s="88"/>
      <c r="QUO22" s="88"/>
      <c r="QUP22" s="90"/>
      <c r="QUQ22" s="148"/>
      <c r="QUR22" s="88"/>
      <c r="QUS22" s="88"/>
      <c r="QUT22" s="90"/>
      <c r="QUU22" s="93"/>
      <c r="QUV22" s="88"/>
      <c r="QUW22" s="88"/>
      <c r="QUX22" s="91"/>
      <c r="QUY22" s="93"/>
      <c r="QUZ22" s="93"/>
      <c r="QVA22" s="88"/>
      <c r="QVB22" s="88"/>
      <c r="QVC22" s="90"/>
      <c r="QVD22" s="148"/>
      <c r="QVE22" s="88"/>
      <c r="QVF22" s="88"/>
      <c r="QVG22" s="90"/>
      <c r="QVH22" s="93"/>
      <c r="QVI22" s="88"/>
      <c r="QVJ22" s="88"/>
      <c r="QVK22" s="91"/>
      <c r="QVL22" s="93"/>
      <c r="QVM22" s="93"/>
      <c r="QVN22" s="88"/>
      <c r="QVO22" s="88"/>
      <c r="QVP22" s="90"/>
      <c r="QVQ22" s="148"/>
      <c r="QVR22" s="88"/>
      <c r="QVS22" s="88"/>
      <c r="QVT22" s="90"/>
      <c r="QVU22" s="93"/>
      <c r="QVV22" s="88"/>
      <c r="QVW22" s="88"/>
      <c r="QVX22" s="91"/>
      <c r="QVY22" s="93"/>
      <c r="QVZ22" s="93"/>
      <c r="QWA22" s="88"/>
      <c r="QWB22" s="88"/>
      <c r="QWC22" s="90"/>
      <c r="QWD22" s="148"/>
      <c r="QWE22" s="88"/>
      <c r="QWF22" s="88"/>
      <c r="QWG22" s="90"/>
      <c r="QWH22" s="93"/>
      <c r="QWI22" s="88"/>
      <c r="QWJ22" s="88"/>
      <c r="QWK22" s="91"/>
      <c r="QWL22" s="93"/>
      <c r="QWM22" s="93"/>
      <c r="QWN22" s="88"/>
      <c r="QWO22" s="88"/>
      <c r="QWP22" s="90"/>
      <c r="QWQ22" s="148"/>
      <c r="QWR22" s="88"/>
      <c r="QWS22" s="88"/>
      <c r="QWT22" s="90"/>
      <c r="QWU22" s="93"/>
      <c r="QWV22" s="88"/>
      <c r="QWW22" s="88"/>
      <c r="QWX22" s="91"/>
      <c r="QWY22" s="93"/>
      <c r="QWZ22" s="93"/>
      <c r="QXA22" s="88"/>
      <c r="QXB22" s="88"/>
      <c r="QXC22" s="90"/>
      <c r="QXD22" s="148"/>
      <c r="QXE22" s="88"/>
      <c r="QXF22" s="88"/>
      <c r="QXG22" s="90"/>
      <c r="QXH22" s="93"/>
      <c r="QXI22" s="88"/>
      <c r="QXJ22" s="88"/>
      <c r="QXK22" s="91"/>
      <c r="QXL22" s="93"/>
      <c r="QXM22" s="93"/>
      <c r="QXN22" s="88"/>
      <c r="QXO22" s="88"/>
      <c r="QXP22" s="90"/>
      <c r="QXQ22" s="148"/>
      <c r="QXR22" s="88"/>
      <c r="QXS22" s="88"/>
      <c r="QXT22" s="90"/>
      <c r="QXU22" s="93"/>
      <c r="QXV22" s="88"/>
      <c r="QXW22" s="88"/>
      <c r="QXX22" s="91"/>
      <c r="QXY22" s="93"/>
      <c r="QXZ22" s="93"/>
      <c r="QYA22" s="88"/>
      <c r="QYB22" s="88"/>
      <c r="QYC22" s="90"/>
      <c r="QYD22" s="148"/>
      <c r="QYE22" s="88"/>
      <c r="QYF22" s="88"/>
      <c r="QYG22" s="90"/>
      <c r="QYH22" s="93"/>
      <c r="QYI22" s="88"/>
      <c r="QYJ22" s="88"/>
      <c r="QYK22" s="91"/>
      <c r="QYL22" s="93"/>
      <c r="QYM22" s="93"/>
      <c r="QYN22" s="88"/>
      <c r="QYO22" s="88"/>
      <c r="QYP22" s="90"/>
      <c r="QYQ22" s="148"/>
      <c r="QYR22" s="88"/>
      <c r="QYS22" s="88"/>
      <c r="QYT22" s="90"/>
      <c r="QYU22" s="93"/>
      <c r="QYV22" s="88"/>
      <c r="QYW22" s="88"/>
      <c r="QYX22" s="91"/>
      <c r="QYY22" s="93"/>
      <c r="QYZ22" s="93"/>
      <c r="QZA22" s="88"/>
      <c r="QZB22" s="88"/>
      <c r="QZC22" s="90"/>
      <c r="QZD22" s="148"/>
      <c r="QZE22" s="88"/>
      <c r="QZF22" s="88"/>
      <c r="QZG22" s="90"/>
      <c r="QZH22" s="93"/>
      <c r="QZI22" s="88"/>
      <c r="QZJ22" s="88"/>
      <c r="QZK22" s="91"/>
      <c r="QZL22" s="93"/>
      <c r="QZM22" s="93"/>
      <c r="QZN22" s="88"/>
      <c r="QZO22" s="88"/>
      <c r="QZP22" s="90"/>
      <c r="QZQ22" s="148"/>
      <c r="QZR22" s="88"/>
      <c r="QZS22" s="88"/>
      <c r="QZT22" s="90"/>
      <c r="QZU22" s="93"/>
      <c r="QZV22" s="88"/>
      <c r="QZW22" s="88"/>
      <c r="QZX22" s="91"/>
      <c r="QZY22" s="93"/>
      <c r="QZZ22" s="93"/>
      <c r="RAA22" s="88"/>
      <c r="RAB22" s="88"/>
      <c r="RAC22" s="90"/>
      <c r="RAD22" s="148"/>
      <c r="RAE22" s="88"/>
      <c r="RAF22" s="88"/>
      <c r="RAG22" s="90"/>
      <c r="RAH22" s="93"/>
      <c r="RAI22" s="88"/>
      <c r="RAJ22" s="88"/>
      <c r="RAK22" s="91"/>
      <c r="RAL22" s="93"/>
      <c r="RAM22" s="93"/>
      <c r="RAN22" s="88"/>
      <c r="RAO22" s="88"/>
      <c r="RAP22" s="90"/>
      <c r="RAQ22" s="148"/>
      <c r="RAR22" s="88"/>
      <c r="RAS22" s="88"/>
      <c r="RAT22" s="90"/>
      <c r="RAU22" s="93"/>
      <c r="RAV22" s="88"/>
      <c r="RAW22" s="88"/>
      <c r="RAX22" s="91"/>
      <c r="RAY22" s="93"/>
      <c r="RAZ22" s="93"/>
      <c r="RBA22" s="88"/>
      <c r="RBB22" s="88"/>
      <c r="RBC22" s="90"/>
      <c r="RBD22" s="148"/>
      <c r="RBE22" s="88"/>
      <c r="RBF22" s="88"/>
      <c r="RBG22" s="90"/>
      <c r="RBH22" s="93"/>
      <c r="RBI22" s="88"/>
      <c r="RBJ22" s="88"/>
      <c r="RBK22" s="91"/>
      <c r="RBL22" s="93"/>
      <c r="RBM22" s="93"/>
      <c r="RBN22" s="88"/>
      <c r="RBO22" s="88"/>
      <c r="RBP22" s="90"/>
      <c r="RBQ22" s="148"/>
      <c r="RBR22" s="88"/>
      <c r="RBS22" s="88"/>
      <c r="RBT22" s="90"/>
      <c r="RBU22" s="93"/>
      <c r="RBV22" s="88"/>
      <c r="RBW22" s="88"/>
      <c r="RBX22" s="91"/>
      <c r="RBY22" s="93"/>
      <c r="RBZ22" s="93"/>
      <c r="RCA22" s="88"/>
      <c r="RCB22" s="88"/>
      <c r="RCC22" s="90"/>
      <c r="RCD22" s="148"/>
      <c r="RCE22" s="88"/>
      <c r="RCF22" s="88"/>
      <c r="RCG22" s="90"/>
      <c r="RCH22" s="93"/>
      <c r="RCI22" s="88"/>
      <c r="RCJ22" s="88"/>
      <c r="RCK22" s="91"/>
      <c r="RCL22" s="93"/>
      <c r="RCM22" s="93"/>
      <c r="RCN22" s="88"/>
      <c r="RCO22" s="88"/>
      <c r="RCP22" s="90"/>
      <c r="RCQ22" s="148"/>
      <c r="RCR22" s="88"/>
      <c r="RCS22" s="88"/>
      <c r="RCT22" s="90"/>
      <c r="RCU22" s="93"/>
      <c r="RCV22" s="88"/>
      <c r="RCW22" s="88"/>
      <c r="RCX22" s="91"/>
      <c r="RCY22" s="93"/>
      <c r="RCZ22" s="93"/>
      <c r="RDA22" s="88"/>
      <c r="RDB22" s="88"/>
      <c r="RDC22" s="90"/>
      <c r="RDD22" s="148"/>
      <c r="RDE22" s="88"/>
      <c r="RDF22" s="88"/>
      <c r="RDG22" s="90"/>
      <c r="RDH22" s="93"/>
      <c r="RDI22" s="88"/>
      <c r="RDJ22" s="88"/>
      <c r="RDK22" s="91"/>
      <c r="RDL22" s="93"/>
      <c r="RDM22" s="93"/>
      <c r="RDN22" s="88"/>
      <c r="RDO22" s="88"/>
      <c r="RDP22" s="90"/>
      <c r="RDQ22" s="148"/>
      <c r="RDR22" s="88"/>
      <c r="RDS22" s="88"/>
      <c r="RDT22" s="90"/>
      <c r="RDU22" s="93"/>
      <c r="RDV22" s="88"/>
      <c r="RDW22" s="88"/>
      <c r="RDX22" s="91"/>
      <c r="RDY22" s="93"/>
      <c r="RDZ22" s="93"/>
      <c r="REA22" s="88"/>
      <c r="REB22" s="88"/>
      <c r="REC22" s="90"/>
      <c r="RED22" s="148"/>
      <c r="REE22" s="88"/>
      <c r="REF22" s="88"/>
      <c r="REG22" s="90"/>
      <c r="REH22" s="93"/>
      <c r="REI22" s="88"/>
      <c r="REJ22" s="88"/>
      <c r="REK22" s="91"/>
      <c r="REL22" s="93"/>
      <c r="REM22" s="93"/>
      <c r="REN22" s="88"/>
      <c r="REO22" s="88"/>
      <c r="REP22" s="90"/>
      <c r="REQ22" s="148"/>
      <c r="RER22" s="88"/>
      <c r="RES22" s="88"/>
      <c r="RET22" s="90"/>
      <c r="REU22" s="93"/>
      <c r="REV22" s="88"/>
      <c r="REW22" s="88"/>
      <c r="REX22" s="91"/>
      <c r="REY22" s="93"/>
      <c r="REZ22" s="93"/>
      <c r="RFA22" s="88"/>
      <c r="RFB22" s="88"/>
      <c r="RFC22" s="90"/>
      <c r="RFD22" s="148"/>
      <c r="RFE22" s="88"/>
      <c r="RFF22" s="88"/>
      <c r="RFG22" s="90"/>
      <c r="RFH22" s="93"/>
      <c r="RFI22" s="88"/>
      <c r="RFJ22" s="88"/>
      <c r="RFK22" s="91"/>
      <c r="RFL22" s="93"/>
      <c r="RFM22" s="93"/>
      <c r="RFN22" s="88"/>
      <c r="RFO22" s="88"/>
      <c r="RFP22" s="90"/>
      <c r="RFQ22" s="148"/>
      <c r="RFR22" s="88"/>
      <c r="RFS22" s="88"/>
      <c r="RFT22" s="90"/>
      <c r="RFU22" s="93"/>
      <c r="RFV22" s="88"/>
      <c r="RFW22" s="88"/>
      <c r="RFX22" s="91"/>
      <c r="RFY22" s="93"/>
      <c r="RFZ22" s="93"/>
      <c r="RGA22" s="88"/>
      <c r="RGB22" s="88"/>
      <c r="RGC22" s="90"/>
      <c r="RGD22" s="148"/>
      <c r="RGE22" s="88"/>
      <c r="RGF22" s="88"/>
      <c r="RGG22" s="90"/>
      <c r="RGH22" s="93"/>
      <c r="RGI22" s="88"/>
      <c r="RGJ22" s="88"/>
      <c r="RGK22" s="91"/>
      <c r="RGL22" s="93"/>
      <c r="RGM22" s="93"/>
      <c r="RGN22" s="88"/>
      <c r="RGO22" s="88"/>
      <c r="RGP22" s="90"/>
      <c r="RGQ22" s="148"/>
      <c r="RGR22" s="88"/>
      <c r="RGS22" s="88"/>
      <c r="RGT22" s="90"/>
      <c r="RGU22" s="93"/>
      <c r="RGV22" s="88"/>
      <c r="RGW22" s="88"/>
      <c r="RGX22" s="91"/>
      <c r="RGY22" s="93"/>
      <c r="RGZ22" s="93"/>
      <c r="RHA22" s="88"/>
      <c r="RHB22" s="88"/>
      <c r="RHC22" s="90"/>
      <c r="RHD22" s="148"/>
      <c r="RHE22" s="88"/>
      <c r="RHF22" s="88"/>
      <c r="RHG22" s="90"/>
      <c r="RHH22" s="93"/>
      <c r="RHI22" s="88"/>
      <c r="RHJ22" s="88"/>
      <c r="RHK22" s="91"/>
      <c r="RHL22" s="93"/>
      <c r="RHM22" s="93"/>
      <c r="RHN22" s="88"/>
      <c r="RHO22" s="88"/>
      <c r="RHP22" s="90"/>
      <c r="RHQ22" s="148"/>
      <c r="RHR22" s="88"/>
      <c r="RHS22" s="88"/>
      <c r="RHT22" s="90"/>
      <c r="RHU22" s="93"/>
      <c r="RHV22" s="88"/>
      <c r="RHW22" s="88"/>
      <c r="RHX22" s="91"/>
      <c r="RHY22" s="93"/>
      <c r="RHZ22" s="93"/>
      <c r="RIA22" s="88"/>
      <c r="RIB22" s="88"/>
      <c r="RIC22" s="90"/>
      <c r="RID22" s="148"/>
      <c r="RIE22" s="88"/>
      <c r="RIF22" s="88"/>
      <c r="RIG22" s="90"/>
      <c r="RIH22" s="93"/>
      <c r="RII22" s="88"/>
      <c r="RIJ22" s="88"/>
      <c r="RIK22" s="91"/>
      <c r="RIL22" s="93"/>
      <c r="RIM22" s="93"/>
      <c r="RIN22" s="88"/>
      <c r="RIO22" s="88"/>
      <c r="RIP22" s="90"/>
      <c r="RIQ22" s="148"/>
      <c r="RIR22" s="88"/>
      <c r="RIS22" s="88"/>
      <c r="RIT22" s="90"/>
      <c r="RIU22" s="93"/>
      <c r="RIV22" s="88"/>
      <c r="RIW22" s="88"/>
      <c r="RIX22" s="91"/>
      <c r="RIY22" s="93"/>
      <c r="RIZ22" s="93"/>
      <c r="RJA22" s="88"/>
      <c r="RJB22" s="88"/>
      <c r="RJC22" s="90"/>
      <c r="RJD22" s="148"/>
      <c r="RJE22" s="88"/>
      <c r="RJF22" s="88"/>
      <c r="RJG22" s="90"/>
      <c r="RJH22" s="93"/>
      <c r="RJI22" s="88"/>
      <c r="RJJ22" s="88"/>
      <c r="RJK22" s="91"/>
      <c r="RJL22" s="93"/>
      <c r="RJM22" s="93"/>
      <c r="RJN22" s="88"/>
      <c r="RJO22" s="88"/>
      <c r="RJP22" s="90"/>
      <c r="RJQ22" s="148"/>
      <c r="RJR22" s="88"/>
      <c r="RJS22" s="88"/>
      <c r="RJT22" s="90"/>
      <c r="RJU22" s="93"/>
      <c r="RJV22" s="88"/>
      <c r="RJW22" s="88"/>
      <c r="RJX22" s="91"/>
      <c r="RJY22" s="93"/>
      <c r="RJZ22" s="93"/>
      <c r="RKA22" s="88"/>
      <c r="RKB22" s="88"/>
      <c r="RKC22" s="90"/>
      <c r="RKD22" s="148"/>
      <c r="RKE22" s="88"/>
      <c r="RKF22" s="88"/>
      <c r="RKG22" s="90"/>
      <c r="RKH22" s="93"/>
      <c r="RKI22" s="88"/>
      <c r="RKJ22" s="88"/>
      <c r="RKK22" s="91"/>
      <c r="RKL22" s="93"/>
      <c r="RKM22" s="93"/>
      <c r="RKN22" s="88"/>
      <c r="RKO22" s="88"/>
      <c r="RKP22" s="90"/>
      <c r="RKQ22" s="148"/>
      <c r="RKR22" s="88"/>
      <c r="RKS22" s="88"/>
      <c r="RKT22" s="90"/>
      <c r="RKU22" s="93"/>
      <c r="RKV22" s="88"/>
      <c r="RKW22" s="88"/>
      <c r="RKX22" s="91"/>
      <c r="RKY22" s="93"/>
      <c r="RKZ22" s="93"/>
      <c r="RLA22" s="88"/>
      <c r="RLB22" s="88"/>
      <c r="RLC22" s="90"/>
      <c r="RLD22" s="148"/>
      <c r="RLE22" s="88"/>
      <c r="RLF22" s="88"/>
      <c r="RLG22" s="90"/>
      <c r="RLH22" s="93"/>
      <c r="RLI22" s="88"/>
      <c r="RLJ22" s="88"/>
      <c r="RLK22" s="91"/>
      <c r="RLL22" s="93"/>
      <c r="RLM22" s="93"/>
      <c r="RLN22" s="88"/>
      <c r="RLO22" s="88"/>
      <c r="RLP22" s="90"/>
      <c r="RLQ22" s="148"/>
      <c r="RLR22" s="88"/>
      <c r="RLS22" s="88"/>
      <c r="RLT22" s="90"/>
      <c r="RLU22" s="93"/>
      <c r="RLV22" s="88"/>
      <c r="RLW22" s="88"/>
      <c r="RLX22" s="91"/>
      <c r="RLY22" s="93"/>
      <c r="RLZ22" s="93"/>
      <c r="RMA22" s="88"/>
      <c r="RMB22" s="88"/>
      <c r="RMC22" s="90"/>
      <c r="RMD22" s="148"/>
      <c r="RME22" s="88"/>
      <c r="RMF22" s="88"/>
      <c r="RMG22" s="90"/>
      <c r="RMH22" s="93"/>
      <c r="RMI22" s="88"/>
      <c r="RMJ22" s="88"/>
      <c r="RMK22" s="91"/>
      <c r="RML22" s="93"/>
      <c r="RMM22" s="93"/>
      <c r="RMN22" s="88"/>
      <c r="RMO22" s="88"/>
      <c r="RMP22" s="90"/>
      <c r="RMQ22" s="148"/>
      <c r="RMR22" s="88"/>
      <c r="RMS22" s="88"/>
      <c r="RMT22" s="90"/>
      <c r="RMU22" s="93"/>
      <c r="RMV22" s="88"/>
      <c r="RMW22" s="88"/>
      <c r="RMX22" s="91"/>
      <c r="RMY22" s="93"/>
      <c r="RMZ22" s="93"/>
      <c r="RNA22" s="88"/>
      <c r="RNB22" s="88"/>
      <c r="RNC22" s="90"/>
      <c r="RND22" s="148"/>
      <c r="RNE22" s="88"/>
      <c r="RNF22" s="88"/>
      <c r="RNG22" s="90"/>
      <c r="RNH22" s="93"/>
      <c r="RNI22" s="88"/>
      <c r="RNJ22" s="88"/>
      <c r="RNK22" s="91"/>
      <c r="RNL22" s="93"/>
      <c r="RNM22" s="93"/>
      <c r="RNN22" s="88"/>
      <c r="RNO22" s="88"/>
      <c r="RNP22" s="90"/>
      <c r="RNQ22" s="148"/>
      <c r="RNR22" s="88"/>
      <c r="RNS22" s="88"/>
      <c r="RNT22" s="90"/>
      <c r="RNU22" s="93"/>
      <c r="RNV22" s="88"/>
      <c r="RNW22" s="88"/>
      <c r="RNX22" s="91"/>
      <c r="RNY22" s="93"/>
      <c r="RNZ22" s="93"/>
      <c r="ROA22" s="88"/>
      <c r="ROB22" s="88"/>
      <c r="ROC22" s="90"/>
      <c r="ROD22" s="148"/>
      <c r="ROE22" s="88"/>
      <c r="ROF22" s="88"/>
      <c r="ROG22" s="90"/>
      <c r="ROH22" s="93"/>
      <c r="ROI22" s="88"/>
      <c r="ROJ22" s="88"/>
      <c r="ROK22" s="91"/>
      <c r="ROL22" s="93"/>
      <c r="ROM22" s="93"/>
      <c r="RON22" s="88"/>
      <c r="ROO22" s="88"/>
      <c r="ROP22" s="90"/>
      <c r="ROQ22" s="148"/>
      <c r="ROR22" s="88"/>
      <c r="ROS22" s="88"/>
      <c r="ROT22" s="90"/>
      <c r="ROU22" s="93"/>
      <c r="ROV22" s="88"/>
      <c r="ROW22" s="88"/>
      <c r="ROX22" s="91"/>
      <c r="ROY22" s="93"/>
      <c r="ROZ22" s="93"/>
      <c r="RPA22" s="88"/>
      <c r="RPB22" s="88"/>
      <c r="RPC22" s="90"/>
      <c r="RPD22" s="148"/>
      <c r="RPE22" s="88"/>
      <c r="RPF22" s="88"/>
      <c r="RPG22" s="90"/>
      <c r="RPH22" s="93"/>
      <c r="RPI22" s="88"/>
      <c r="RPJ22" s="88"/>
      <c r="RPK22" s="91"/>
      <c r="RPL22" s="93"/>
      <c r="RPM22" s="93"/>
      <c r="RPN22" s="88"/>
      <c r="RPO22" s="88"/>
      <c r="RPP22" s="90"/>
      <c r="RPQ22" s="148"/>
      <c r="RPR22" s="88"/>
      <c r="RPS22" s="88"/>
      <c r="RPT22" s="90"/>
      <c r="RPU22" s="93"/>
      <c r="RPV22" s="88"/>
      <c r="RPW22" s="88"/>
      <c r="RPX22" s="91"/>
      <c r="RPY22" s="93"/>
      <c r="RPZ22" s="93"/>
      <c r="RQA22" s="88"/>
      <c r="RQB22" s="88"/>
      <c r="RQC22" s="90"/>
      <c r="RQD22" s="148"/>
      <c r="RQE22" s="88"/>
      <c r="RQF22" s="88"/>
      <c r="RQG22" s="90"/>
      <c r="RQH22" s="93"/>
      <c r="RQI22" s="88"/>
      <c r="RQJ22" s="88"/>
      <c r="RQK22" s="91"/>
      <c r="RQL22" s="93"/>
      <c r="RQM22" s="93"/>
      <c r="RQN22" s="88"/>
      <c r="RQO22" s="88"/>
      <c r="RQP22" s="90"/>
      <c r="RQQ22" s="148"/>
      <c r="RQR22" s="88"/>
      <c r="RQS22" s="88"/>
      <c r="RQT22" s="90"/>
      <c r="RQU22" s="93"/>
      <c r="RQV22" s="88"/>
      <c r="RQW22" s="88"/>
      <c r="RQX22" s="91"/>
      <c r="RQY22" s="93"/>
      <c r="RQZ22" s="93"/>
      <c r="RRA22" s="88"/>
      <c r="RRB22" s="88"/>
      <c r="RRC22" s="90"/>
      <c r="RRD22" s="148"/>
      <c r="RRE22" s="88"/>
      <c r="RRF22" s="88"/>
      <c r="RRG22" s="90"/>
      <c r="RRH22" s="93"/>
      <c r="RRI22" s="88"/>
      <c r="RRJ22" s="88"/>
      <c r="RRK22" s="91"/>
      <c r="RRL22" s="93"/>
      <c r="RRM22" s="93"/>
      <c r="RRN22" s="88"/>
      <c r="RRO22" s="88"/>
      <c r="RRP22" s="90"/>
      <c r="RRQ22" s="148"/>
      <c r="RRR22" s="88"/>
      <c r="RRS22" s="88"/>
      <c r="RRT22" s="90"/>
      <c r="RRU22" s="93"/>
      <c r="RRV22" s="88"/>
      <c r="RRW22" s="88"/>
      <c r="RRX22" s="91"/>
      <c r="RRY22" s="93"/>
      <c r="RRZ22" s="93"/>
      <c r="RSA22" s="88"/>
      <c r="RSB22" s="88"/>
      <c r="RSC22" s="90"/>
      <c r="RSD22" s="148"/>
      <c r="RSE22" s="88"/>
      <c r="RSF22" s="88"/>
      <c r="RSG22" s="90"/>
      <c r="RSH22" s="93"/>
      <c r="RSI22" s="88"/>
      <c r="RSJ22" s="88"/>
      <c r="RSK22" s="91"/>
      <c r="RSL22" s="93"/>
      <c r="RSM22" s="93"/>
      <c r="RSN22" s="88"/>
      <c r="RSO22" s="88"/>
      <c r="RSP22" s="90"/>
      <c r="RSQ22" s="148"/>
      <c r="RSR22" s="88"/>
      <c r="RSS22" s="88"/>
      <c r="RST22" s="90"/>
      <c r="RSU22" s="93"/>
      <c r="RSV22" s="88"/>
      <c r="RSW22" s="88"/>
      <c r="RSX22" s="91"/>
      <c r="RSY22" s="93"/>
      <c r="RSZ22" s="93"/>
      <c r="RTA22" s="88"/>
      <c r="RTB22" s="88"/>
      <c r="RTC22" s="90"/>
      <c r="RTD22" s="148"/>
      <c r="RTE22" s="88"/>
      <c r="RTF22" s="88"/>
      <c r="RTG22" s="90"/>
      <c r="RTH22" s="93"/>
      <c r="RTI22" s="88"/>
      <c r="RTJ22" s="88"/>
      <c r="RTK22" s="91"/>
      <c r="RTL22" s="93"/>
      <c r="RTM22" s="93"/>
      <c r="RTN22" s="88"/>
      <c r="RTO22" s="88"/>
      <c r="RTP22" s="90"/>
      <c r="RTQ22" s="148"/>
      <c r="RTR22" s="88"/>
      <c r="RTS22" s="88"/>
      <c r="RTT22" s="90"/>
      <c r="RTU22" s="93"/>
      <c r="RTV22" s="88"/>
      <c r="RTW22" s="88"/>
      <c r="RTX22" s="91"/>
      <c r="RTY22" s="93"/>
      <c r="RTZ22" s="93"/>
      <c r="RUA22" s="88"/>
      <c r="RUB22" s="88"/>
      <c r="RUC22" s="90"/>
      <c r="RUD22" s="148"/>
      <c r="RUE22" s="88"/>
      <c r="RUF22" s="88"/>
      <c r="RUG22" s="90"/>
      <c r="RUH22" s="93"/>
      <c r="RUI22" s="88"/>
      <c r="RUJ22" s="88"/>
      <c r="RUK22" s="91"/>
      <c r="RUL22" s="93"/>
      <c r="RUM22" s="93"/>
      <c r="RUN22" s="88"/>
      <c r="RUO22" s="88"/>
      <c r="RUP22" s="90"/>
      <c r="RUQ22" s="148"/>
      <c r="RUR22" s="88"/>
      <c r="RUS22" s="88"/>
      <c r="RUT22" s="90"/>
      <c r="RUU22" s="93"/>
      <c r="RUV22" s="88"/>
      <c r="RUW22" s="88"/>
      <c r="RUX22" s="91"/>
      <c r="RUY22" s="93"/>
      <c r="RUZ22" s="93"/>
      <c r="RVA22" s="88"/>
      <c r="RVB22" s="88"/>
      <c r="RVC22" s="90"/>
      <c r="RVD22" s="148"/>
      <c r="RVE22" s="88"/>
      <c r="RVF22" s="88"/>
      <c r="RVG22" s="90"/>
      <c r="RVH22" s="93"/>
      <c r="RVI22" s="88"/>
      <c r="RVJ22" s="88"/>
      <c r="RVK22" s="91"/>
      <c r="RVL22" s="93"/>
      <c r="RVM22" s="93"/>
      <c r="RVN22" s="88"/>
      <c r="RVO22" s="88"/>
      <c r="RVP22" s="90"/>
      <c r="RVQ22" s="148"/>
      <c r="RVR22" s="88"/>
      <c r="RVS22" s="88"/>
      <c r="RVT22" s="90"/>
      <c r="RVU22" s="93"/>
      <c r="RVV22" s="88"/>
      <c r="RVW22" s="88"/>
      <c r="RVX22" s="91"/>
      <c r="RVY22" s="93"/>
      <c r="RVZ22" s="93"/>
      <c r="RWA22" s="88"/>
      <c r="RWB22" s="88"/>
      <c r="RWC22" s="90"/>
      <c r="RWD22" s="148"/>
      <c r="RWE22" s="88"/>
      <c r="RWF22" s="88"/>
      <c r="RWG22" s="90"/>
      <c r="RWH22" s="93"/>
      <c r="RWI22" s="88"/>
      <c r="RWJ22" s="88"/>
      <c r="RWK22" s="91"/>
      <c r="RWL22" s="93"/>
      <c r="RWM22" s="93"/>
      <c r="RWN22" s="88"/>
      <c r="RWO22" s="88"/>
      <c r="RWP22" s="90"/>
      <c r="RWQ22" s="148"/>
      <c r="RWR22" s="88"/>
      <c r="RWS22" s="88"/>
      <c r="RWT22" s="90"/>
      <c r="RWU22" s="93"/>
      <c r="RWV22" s="88"/>
      <c r="RWW22" s="88"/>
      <c r="RWX22" s="91"/>
      <c r="RWY22" s="93"/>
      <c r="RWZ22" s="93"/>
      <c r="RXA22" s="88"/>
      <c r="RXB22" s="88"/>
      <c r="RXC22" s="90"/>
      <c r="RXD22" s="148"/>
      <c r="RXE22" s="88"/>
      <c r="RXF22" s="88"/>
      <c r="RXG22" s="90"/>
      <c r="RXH22" s="93"/>
      <c r="RXI22" s="88"/>
      <c r="RXJ22" s="88"/>
      <c r="RXK22" s="91"/>
      <c r="RXL22" s="93"/>
      <c r="RXM22" s="93"/>
      <c r="RXN22" s="88"/>
      <c r="RXO22" s="88"/>
      <c r="RXP22" s="90"/>
      <c r="RXQ22" s="148"/>
      <c r="RXR22" s="88"/>
      <c r="RXS22" s="88"/>
      <c r="RXT22" s="90"/>
      <c r="RXU22" s="93"/>
      <c r="RXV22" s="88"/>
      <c r="RXW22" s="88"/>
      <c r="RXX22" s="91"/>
      <c r="RXY22" s="93"/>
      <c r="RXZ22" s="93"/>
      <c r="RYA22" s="88"/>
      <c r="RYB22" s="88"/>
      <c r="RYC22" s="90"/>
      <c r="RYD22" s="148"/>
      <c r="RYE22" s="88"/>
      <c r="RYF22" s="88"/>
      <c r="RYG22" s="90"/>
      <c r="RYH22" s="93"/>
      <c r="RYI22" s="88"/>
      <c r="RYJ22" s="88"/>
      <c r="RYK22" s="91"/>
      <c r="RYL22" s="93"/>
      <c r="RYM22" s="93"/>
      <c r="RYN22" s="88"/>
      <c r="RYO22" s="88"/>
      <c r="RYP22" s="90"/>
      <c r="RYQ22" s="148"/>
      <c r="RYR22" s="88"/>
      <c r="RYS22" s="88"/>
      <c r="RYT22" s="90"/>
      <c r="RYU22" s="93"/>
      <c r="RYV22" s="88"/>
      <c r="RYW22" s="88"/>
      <c r="RYX22" s="91"/>
      <c r="RYY22" s="93"/>
      <c r="RYZ22" s="93"/>
      <c r="RZA22" s="88"/>
      <c r="RZB22" s="88"/>
      <c r="RZC22" s="90"/>
      <c r="RZD22" s="148"/>
      <c r="RZE22" s="88"/>
      <c r="RZF22" s="88"/>
      <c r="RZG22" s="90"/>
      <c r="RZH22" s="93"/>
      <c r="RZI22" s="88"/>
      <c r="RZJ22" s="88"/>
      <c r="RZK22" s="91"/>
      <c r="RZL22" s="93"/>
      <c r="RZM22" s="93"/>
      <c r="RZN22" s="88"/>
      <c r="RZO22" s="88"/>
      <c r="RZP22" s="90"/>
      <c r="RZQ22" s="148"/>
      <c r="RZR22" s="88"/>
      <c r="RZS22" s="88"/>
      <c r="RZT22" s="90"/>
      <c r="RZU22" s="93"/>
      <c r="RZV22" s="88"/>
      <c r="RZW22" s="88"/>
      <c r="RZX22" s="91"/>
      <c r="RZY22" s="93"/>
      <c r="RZZ22" s="93"/>
      <c r="SAA22" s="88"/>
      <c r="SAB22" s="88"/>
      <c r="SAC22" s="90"/>
      <c r="SAD22" s="148"/>
      <c r="SAE22" s="88"/>
      <c r="SAF22" s="88"/>
      <c r="SAG22" s="90"/>
      <c r="SAH22" s="93"/>
      <c r="SAI22" s="88"/>
      <c r="SAJ22" s="88"/>
      <c r="SAK22" s="91"/>
      <c r="SAL22" s="93"/>
      <c r="SAM22" s="93"/>
      <c r="SAN22" s="88"/>
      <c r="SAO22" s="88"/>
      <c r="SAP22" s="90"/>
      <c r="SAQ22" s="148"/>
      <c r="SAR22" s="88"/>
      <c r="SAS22" s="88"/>
      <c r="SAT22" s="90"/>
      <c r="SAU22" s="93"/>
      <c r="SAV22" s="88"/>
      <c r="SAW22" s="88"/>
      <c r="SAX22" s="91"/>
      <c r="SAY22" s="93"/>
      <c r="SAZ22" s="93"/>
      <c r="SBA22" s="88"/>
      <c r="SBB22" s="88"/>
      <c r="SBC22" s="90"/>
      <c r="SBD22" s="148"/>
      <c r="SBE22" s="88"/>
      <c r="SBF22" s="88"/>
      <c r="SBG22" s="90"/>
      <c r="SBH22" s="93"/>
      <c r="SBI22" s="88"/>
      <c r="SBJ22" s="88"/>
      <c r="SBK22" s="91"/>
      <c r="SBL22" s="93"/>
      <c r="SBM22" s="93"/>
      <c r="SBN22" s="88"/>
      <c r="SBO22" s="88"/>
      <c r="SBP22" s="90"/>
      <c r="SBQ22" s="148"/>
      <c r="SBR22" s="88"/>
      <c r="SBS22" s="88"/>
      <c r="SBT22" s="90"/>
      <c r="SBU22" s="93"/>
      <c r="SBV22" s="88"/>
      <c r="SBW22" s="88"/>
      <c r="SBX22" s="91"/>
      <c r="SBY22" s="93"/>
      <c r="SBZ22" s="93"/>
      <c r="SCA22" s="88"/>
      <c r="SCB22" s="88"/>
      <c r="SCC22" s="90"/>
      <c r="SCD22" s="148"/>
      <c r="SCE22" s="88"/>
      <c r="SCF22" s="88"/>
      <c r="SCG22" s="90"/>
      <c r="SCH22" s="93"/>
      <c r="SCI22" s="88"/>
      <c r="SCJ22" s="88"/>
      <c r="SCK22" s="91"/>
      <c r="SCL22" s="93"/>
      <c r="SCM22" s="93"/>
      <c r="SCN22" s="88"/>
      <c r="SCO22" s="88"/>
      <c r="SCP22" s="90"/>
      <c r="SCQ22" s="148"/>
      <c r="SCR22" s="88"/>
      <c r="SCS22" s="88"/>
      <c r="SCT22" s="90"/>
      <c r="SCU22" s="93"/>
      <c r="SCV22" s="88"/>
      <c r="SCW22" s="88"/>
      <c r="SCX22" s="91"/>
      <c r="SCY22" s="93"/>
      <c r="SCZ22" s="93"/>
      <c r="SDA22" s="88"/>
      <c r="SDB22" s="88"/>
      <c r="SDC22" s="90"/>
      <c r="SDD22" s="148"/>
      <c r="SDE22" s="88"/>
      <c r="SDF22" s="88"/>
      <c r="SDG22" s="90"/>
      <c r="SDH22" s="93"/>
      <c r="SDI22" s="88"/>
      <c r="SDJ22" s="88"/>
      <c r="SDK22" s="91"/>
      <c r="SDL22" s="93"/>
      <c r="SDM22" s="93"/>
      <c r="SDN22" s="88"/>
      <c r="SDO22" s="88"/>
      <c r="SDP22" s="90"/>
      <c r="SDQ22" s="148"/>
      <c r="SDR22" s="88"/>
      <c r="SDS22" s="88"/>
      <c r="SDT22" s="90"/>
      <c r="SDU22" s="93"/>
      <c r="SDV22" s="88"/>
      <c r="SDW22" s="88"/>
      <c r="SDX22" s="91"/>
      <c r="SDY22" s="93"/>
      <c r="SDZ22" s="93"/>
      <c r="SEA22" s="88"/>
      <c r="SEB22" s="88"/>
      <c r="SEC22" s="90"/>
      <c r="SED22" s="148"/>
      <c r="SEE22" s="88"/>
      <c r="SEF22" s="88"/>
      <c r="SEG22" s="90"/>
      <c r="SEH22" s="93"/>
      <c r="SEI22" s="88"/>
      <c r="SEJ22" s="88"/>
      <c r="SEK22" s="91"/>
      <c r="SEL22" s="93"/>
      <c r="SEM22" s="93"/>
      <c r="SEN22" s="88"/>
      <c r="SEO22" s="88"/>
      <c r="SEP22" s="90"/>
      <c r="SEQ22" s="148"/>
      <c r="SER22" s="88"/>
      <c r="SES22" s="88"/>
      <c r="SET22" s="90"/>
      <c r="SEU22" s="93"/>
      <c r="SEV22" s="88"/>
      <c r="SEW22" s="88"/>
      <c r="SEX22" s="91"/>
      <c r="SEY22" s="93"/>
      <c r="SEZ22" s="93"/>
      <c r="SFA22" s="88"/>
      <c r="SFB22" s="88"/>
      <c r="SFC22" s="90"/>
      <c r="SFD22" s="148"/>
      <c r="SFE22" s="88"/>
      <c r="SFF22" s="88"/>
      <c r="SFG22" s="90"/>
      <c r="SFH22" s="93"/>
      <c r="SFI22" s="88"/>
      <c r="SFJ22" s="88"/>
      <c r="SFK22" s="91"/>
      <c r="SFL22" s="93"/>
      <c r="SFM22" s="93"/>
      <c r="SFN22" s="88"/>
      <c r="SFO22" s="88"/>
      <c r="SFP22" s="90"/>
      <c r="SFQ22" s="148"/>
      <c r="SFR22" s="88"/>
      <c r="SFS22" s="88"/>
      <c r="SFT22" s="90"/>
      <c r="SFU22" s="93"/>
      <c r="SFV22" s="88"/>
      <c r="SFW22" s="88"/>
      <c r="SFX22" s="91"/>
      <c r="SFY22" s="93"/>
      <c r="SFZ22" s="93"/>
      <c r="SGA22" s="88"/>
      <c r="SGB22" s="88"/>
      <c r="SGC22" s="90"/>
      <c r="SGD22" s="148"/>
      <c r="SGE22" s="88"/>
      <c r="SGF22" s="88"/>
      <c r="SGG22" s="90"/>
      <c r="SGH22" s="93"/>
      <c r="SGI22" s="88"/>
      <c r="SGJ22" s="88"/>
      <c r="SGK22" s="91"/>
      <c r="SGL22" s="93"/>
      <c r="SGM22" s="93"/>
      <c r="SGN22" s="88"/>
      <c r="SGO22" s="88"/>
      <c r="SGP22" s="90"/>
      <c r="SGQ22" s="148"/>
      <c r="SGR22" s="88"/>
      <c r="SGS22" s="88"/>
      <c r="SGT22" s="90"/>
      <c r="SGU22" s="93"/>
      <c r="SGV22" s="88"/>
      <c r="SGW22" s="88"/>
      <c r="SGX22" s="91"/>
      <c r="SGY22" s="93"/>
      <c r="SGZ22" s="93"/>
      <c r="SHA22" s="88"/>
      <c r="SHB22" s="88"/>
      <c r="SHC22" s="90"/>
      <c r="SHD22" s="148"/>
      <c r="SHE22" s="88"/>
      <c r="SHF22" s="88"/>
      <c r="SHG22" s="90"/>
      <c r="SHH22" s="93"/>
      <c r="SHI22" s="88"/>
      <c r="SHJ22" s="88"/>
      <c r="SHK22" s="91"/>
      <c r="SHL22" s="93"/>
      <c r="SHM22" s="93"/>
      <c r="SHN22" s="88"/>
      <c r="SHO22" s="88"/>
      <c r="SHP22" s="90"/>
      <c r="SHQ22" s="148"/>
      <c r="SHR22" s="88"/>
      <c r="SHS22" s="88"/>
      <c r="SHT22" s="90"/>
      <c r="SHU22" s="93"/>
      <c r="SHV22" s="88"/>
      <c r="SHW22" s="88"/>
      <c r="SHX22" s="91"/>
      <c r="SHY22" s="93"/>
      <c r="SHZ22" s="93"/>
      <c r="SIA22" s="88"/>
      <c r="SIB22" s="88"/>
      <c r="SIC22" s="90"/>
      <c r="SID22" s="148"/>
      <c r="SIE22" s="88"/>
      <c r="SIF22" s="88"/>
      <c r="SIG22" s="90"/>
      <c r="SIH22" s="93"/>
      <c r="SII22" s="88"/>
      <c r="SIJ22" s="88"/>
      <c r="SIK22" s="91"/>
      <c r="SIL22" s="93"/>
      <c r="SIM22" s="93"/>
      <c r="SIN22" s="88"/>
      <c r="SIO22" s="88"/>
      <c r="SIP22" s="90"/>
      <c r="SIQ22" s="148"/>
      <c r="SIR22" s="88"/>
      <c r="SIS22" s="88"/>
      <c r="SIT22" s="90"/>
      <c r="SIU22" s="93"/>
      <c r="SIV22" s="88"/>
      <c r="SIW22" s="88"/>
      <c r="SIX22" s="91"/>
      <c r="SIY22" s="93"/>
      <c r="SIZ22" s="93"/>
      <c r="SJA22" s="88"/>
      <c r="SJB22" s="88"/>
      <c r="SJC22" s="90"/>
      <c r="SJD22" s="148"/>
      <c r="SJE22" s="88"/>
      <c r="SJF22" s="88"/>
      <c r="SJG22" s="90"/>
      <c r="SJH22" s="93"/>
      <c r="SJI22" s="88"/>
      <c r="SJJ22" s="88"/>
      <c r="SJK22" s="91"/>
      <c r="SJL22" s="93"/>
      <c r="SJM22" s="93"/>
      <c r="SJN22" s="88"/>
      <c r="SJO22" s="88"/>
      <c r="SJP22" s="90"/>
      <c r="SJQ22" s="148"/>
      <c r="SJR22" s="88"/>
      <c r="SJS22" s="88"/>
      <c r="SJT22" s="90"/>
      <c r="SJU22" s="93"/>
      <c r="SJV22" s="88"/>
      <c r="SJW22" s="88"/>
      <c r="SJX22" s="91"/>
      <c r="SJY22" s="93"/>
      <c r="SJZ22" s="93"/>
      <c r="SKA22" s="88"/>
      <c r="SKB22" s="88"/>
      <c r="SKC22" s="90"/>
      <c r="SKD22" s="148"/>
      <c r="SKE22" s="88"/>
      <c r="SKF22" s="88"/>
      <c r="SKG22" s="90"/>
      <c r="SKH22" s="93"/>
      <c r="SKI22" s="88"/>
      <c r="SKJ22" s="88"/>
      <c r="SKK22" s="91"/>
      <c r="SKL22" s="93"/>
      <c r="SKM22" s="93"/>
      <c r="SKN22" s="88"/>
      <c r="SKO22" s="88"/>
      <c r="SKP22" s="90"/>
      <c r="SKQ22" s="148"/>
      <c r="SKR22" s="88"/>
      <c r="SKS22" s="88"/>
      <c r="SKT22" s="90"/>
      <c r="SKU22" s="93"/>
      <c r="SKV22" s="88"/>
      <c r="SKW22" s="88"/>
      <c r="SKX22" s="91"/>
      <c r="SKY22" s="93"/>
      <c r="SKZ22" s="93"/>
      <c r="SLA22" s="88"/>
      <c r="SLB22" s="88"/>
      <c r="SLC22" s="90"/>
      <c r="SLD22" s="148"/>
      <c r="SLE22" s="88"/>
      <c r="SLF22" s="88"/>
      <c r="SLG22" s="90"/>
      <c r="SLH22" s="93"/>
      <c r="SLI22" s="88"/>
      <c r="SLJ22" s="88"/>
      <c r="SLK22" s="91"/>
      <c r="SLL22" s="93"/>
      <c r="SLM22" s="93"/>
      <c r="SLN22" s="88"/>
      <c r="SLO22" s="88"/>
      <c r="SLP22" s="90"/>
      <c r="SLQ22" s="148"/>
      <c r="SLR22" s="88"/>
      <c r="SLS22" s="88"/>
      <c r="SLT22" s="90"/>
      <c r="SLU22" s="93"/>
      <c r="SLV22" s="88"/>
      <c r="SLW22" s="88"/>
      <c r="SLX22" s="91"/>
      <c r="SLY22" s="93"/>
      <c r="SLZ22" s="93"/>
      <c r="SMA22" s="88"/>
      <c r="SMB22" s="88"/>
      <c r="SMC22" s="90"/>
      <c r="SMD22" s="148"/>
      <c r="SME22" s="88"/>
      <c r="SMF22" s="88"/>
      <c r="SMG22" s="90"/>
      <c r="SMH22" s="93"/>
      <c r="SMI22" s="88"/>
      <c r="SMJ22" s="88"/>
      <c r="SMK22" s="91"/>
      <c r="SML22" s="93"/>
      <c r="SMM22" s="93"/>
      <c r="SMN22" s="88"/>
      <c r="SMO22" s="88"/>
      <c r="SMP22" s="90"/>
      <c r="SMQ22" s="148"/>
      <c r="SMR22" s="88"/>
      <c r="SMS22" s="88"/>
      <c r="SMT22" s="90"/>
      <c r="SMU22" s="93"/>
      <c r="SMV22" s="88"/>
      <c r="SMW22" s="88"/>
      <c r="SMX22" s="91"/>
      <c r="SMY22" s="93"/>
      <c r="SMZ22" s="93"/>
      <c r="SNA22" s="88"/>
      <c r="SNB22" s="88"/>
      <c r="SNC22" s="90"/>
      <c r="SND22" s="148"/>
      <c r="SNE22" s="88"/>
      <c r="SNF22" s="88"/>
      <c r="SNG22" s="90"/>
      <c r="SNH22" s="93"/>
      <c r="SNI22" s="88"/>
      <c r="SNJ22" s="88"/>
      <c r="SNK22" s="91"/>
      <c r="SNL22" s="93"/>
      <c r="SNM22" s="93"/>
      <c r="SNN22" s="88"/>
      <c r="SNO22" s="88"/>
      <c r="SNP22" s="90"/>
      <c r="SNQ22" s="148"/>
      <c r="SNR22" s="88"/>
      <c r="SNS22" s="88"/>
      <c r="SNT22" s="90"/>
      <c r="SNU22" s="93"/>
      <c r="SNV22" s="88"/>
      <c r="SNW22" s="88"/>
      <c r="SNX22" s="91"/>
      <c r="SNY22" s="93"/>
      <c r="SNZ22" s="93"/>
      <c r="SOA22" s="88"/>
      <c r="SOB22" s="88"/>
      <c r="SOC22" s="90"/>
      <c r="SOD22" s="148"/>
      <c r="SOE22" s="88"/>
      <c r="SOF22" s="88"/>
      <c r="SOG22" s="90"/>
      <c r="SOH22" s="93"/>
      <c r="SOI22" s="88"/>
      <c r="SOJ22" s="88"/>
      <c r="SOK22" s="91"/>
      <c r="SOL22" s="93"/>
      <c r="SOM22" s="93"/>
      <c r="SON22" s="88"/>
      <c r="SOO22" s="88"/>
      <c r="SOP22" s="90"/>
      <c r="SOQ22" s="148"/>
      <c r="SOR22" s="88"/>
      <c r="SOS22" s="88"/>
      <c r="SOT22" s="90"/>
      <c r="SOU22" s="93"/>
      <c r="SOV22" s="88"/>
      <c r="SOW22" s="88"/>
      <c r="SOX22" s="91"/>
      <c r="SOY22" s="93"/>
      <c r="SOZ22" s="93"/>
      <c r="SPA22" s="88"/>
      <c r="SPB22" s="88"/>
      <c r="SPC22" s="90"/>
      <c r="SPD22" s="148"/>
      <c r="SPE22" s="88"/>
      <c r="SPF22" s="88"/>
      <c r="SPG22" s="90"/>
      <c r="SPH22" s="93"/>
      <c r="SPI22" s="88"/>
      <c r="SPJ22" s="88"/>
      <c r="SPK22" s="91"/>
      <c r="SPL22" s="93"/>
      <c r="SPM22" s="93"/>
      <c r="SPN22" s="88"/>
      <c r="SPO22" s="88"/>
      <c r="SPP22" s="90"/>
      <c r="SPQ22" s="148"/>
      <c r="SPR22" s="88"/>
      <c r="SPS22" s="88"/>
      <c r="SPT22" s="90"/>
      <c r="SPU22" s="93"/>
      <c r="SPV22" s="88"/>
      <c r="SPW22" s="88"/>
      <c r="SPX22" s="91"/>
      <c r="SPY22" s="93"/>
      <c r="SPZ22" s="93"/>
      <c r="SQA22" s="88"/>
      <c r="SQB22" s="88"/>
      <c r="SQC22" s="90"/>
      <c r="SQD22" s="148"/>
      <c r="SQE22" s="88"/>
      <c r="SQF22" s="88"/>
      <c r="SQG22" s="90"/>
      <c r="SQH22" s="93"/>
      <c r="SQI22" s="88"/>
      <c r="SQJ22" s="88"/>
      <c r="SQK22" s="91"/>
      <c r="SQL22" s="93"/>
      <c r="SQM22" s="93"/>
      <c r="SQN22" s="88"/>
      <c r="SQO22" s="88"/>
      <c r="SQP22" s="90"/>
      <c r="SQQ22" s="148"/>
      <c r="SQR22" s="88"/>
      <c r="SQS22" s="88"/>
      <c r="SQT22" s="90"/>
      <c r="SQU22" s="93"/>
      <c r="SQV22" s="88"/>
      <c r="SQW22" s="88"/>
      <c r="SQX22" s="91"/>
      <c r="SQY22" s="93"/>
      <c r="SQZ22" s="93"/>
      <c r="SRA22" s="88"/>
      <c r="SRB22" s="88"/>
      <c r="SRC22" s="90"/>
      <c r="SRD22" s="148"/>
      <c r="SRE22" s="88"/>
      <c r="SRF22" s="88"/>
      <c r="SRG22" s="90"/>
      <c r="SRH22" s="93"/>
      <c r="SRI22" s="88"/>
      <c r="SRJ22" s="88"/>
      <c r="SRK22" s="91"/>
      <c r="SRL22" s="93"/>
      <c r="SRM22" s="93"/>
      <c r="SRN22" s="88"/>
      <c r="SRO22" s="88"/>
      <c r="SRP22" s="90"/>
      <c r="SRQ22" s="148"/>
      <c r="SRR22" s="88"/>
      <c r="SRS22" s="88"/>
      <c r="SRT22" s="90"/>
      <c r="SRU22" s="93"/>
      <c r="SRV22" s="88"/>
      <c r="SRW22" s="88"/>
      <c r="SRX22" s="91"/>
      <c r="SRY22" s="93"/>
      <c r="SRZ22" s="93"/>
      <c r="SSA22" s="88"/>
      <c r="SSB22" s="88"/>
      <c r="SSC22" s="90"/>
      <c r="SSD22" s="148"/>
      <c r="SSE22" s="88"/>
      <c r="SSF22" s="88"/>
      <c r="SSG22" s="90"/>
      <c r="SSH22" s="93"/>
      <c r="SSI22" s="88"/>
      <c r="SSJ22" s="88"/>
      <c r="SSK22" s="91"/>
      <c r="SSL22" s="93"/>
      <c r="SSM22" s="93"/>
      <c r="SSN22" s="88"/>
      <c r="SSO22" s="88"/>
      <c r="SSP22" s="90"/>
      <c r="SSQ22" s="148"/>
      <c r="SSR22" s="88"/>
      <c r="SSS22" s="88"/>
      <c r="SST22" s="90"/>
      <c r="SSU22" s="93"/>
      <c r="SSV22" s="88"/>
      <c r="SSW22" s="88"/>
      <c r="SSX22" s="91"/>
      <c r="SSY22" s="93"/>
      <c r="SSZ22" s="93"/>
      <c r="STA22" s="88"/>
      <c r="STB22" s="88"/>
      <c r="STC22" s="90"/>
      <c r="STD22" s="148"/>
      <c r="STE22" s="88"/>
      <c r="STF22" s="88"/>
      <c r="STG22" s="90"/>
      <c r="STH22" s="93"/>
      <c r="STI22" s="88"/>
      <c r="STJ22" s="88"/>
      <c r="STK22" s="91"/>
      <c r="STL22" s="93"/>
      <c r="STM22" s="93"/>
      <c r="STN22" s="88"/>
      <c r="STO22" s="88"/>
      <c r="STP22" s="90"/>
      <c r="STQ22" s="148"/>
      <c r="STR22" s="88"/>
      <c r="STS22" s="88"/>
      <c r="STT22" s="90"/>
      <c r="STU22" s="93"/>
      <c r="STV22" s="88"/>
      <c r="STW22" s="88"/>
      <c r="STX22" s="91"/>
      <c r="STY22" s="93"/>
      <c r="STZ22" s="93"/>
      <c r="SUA22" s="88"/>
      <c r="SUB22" s="88"/>
      <c r="SUC22" s="90"/>
      <c r="SUD22" s="148"/>
      <c r="SUE22" s="88"/>
      <c r="SUF22" s="88"/>
      <c r="SUG22" s="90"/>
      <c r="SUH22" s="93"/>
      <c r="SUI22" s="88"/>
      <c r="SUJ22" s="88"/>
      <c r="SUK22" s="91"/>
      <c r="SUL22" s="93"/>
      <c r="SUM22" s="93"/>
      <c r="SUN22" s="88"/>
      <c r="SUO22" s="88"/>
      <c r="SUP22" s="90"/>
      <c r="SUQ22" s="148"/>
      <c r="SUR22" s="88"/>
      <c r="SUS22" s="88"/>
      <c r="SUT22" s="90"/>
      <c r="SUU22" s="93"/>
      <c r="SUV22" s="88"/>
      <c r="SUW22" s="88"/>
      <c r="SUX22" s="91"/>
      <c r="SUY22" s="93"/>
      <c r="SUZ22" s="93"/>
      <c r="SVA22" s="88"/>
      <c r="SVB22" s="88"/>
      <c r="SVC22" s="90"/>
      <c r="SVD22" s="148"/>
      <c r="SVE22" s="88"/>
      <c r="SVF22" s="88"/>
      <c r="SVG22" s="90"/>
      <c r="SVH22" s="93"/>
      <c r="SVI22" s="88"/>
      <c r="SVJ22" s="88"/>
      <c r="SVK22" s="91"/>
      <c r="SVL22" s="93"/>
      <c r="SVM22" s="93"/>
      <c r="SVN22" s="88"/>
      <c r="SVO22" s="88"/>
      <c r="SVP22" s="90"/>
      <c r="SVQ22" s="148"/>
      <c r="SVR22" s="88"/>
      <c r="SVS22" s="88"/>
      <c r="SVT22" s="90"/>
      <c r="SVU22" s="93"/>
      <c r="SVV22" s="88"/>
      <c r="SVW22" s="88"/>
      <c r="SVX22" s="91"/>
      <c r="SVY22" s="93"/>
      <c r="SVZ22" s="93"/>
      <c r="SWA22" s="88"/>
      <c r="SWB22" s="88"/>
      <c r="SWC22" s="90"/>
      <c r="SWD22" s="148"/>
      <c r="SWE22" s="88"/>
      <c r="SWF22" s="88"/>
      <c r="SWG22" s="90"/>
      <c r="SWH22" s="93"/>
      <c r="SWI22" s="88"/>
      <c r="SWJ22" s="88"/>
      <c r="SWK22" s="91"/>
      <c r="SWL22" s="93"/>
      <c r="SWM22" s="93"/>
      <c r="SWN22" s="88"/>
      <c r="SWO22" s="88"/>
      <c r="SWP22" s="90"/>
      <c r="SWQ22" s="148"/>
      <c r="SWR22" s="88"/>
      <c r="SWS22" s="88"/>
      <c r="SWT22" s="90"/>
      <c r="SWU22" s="93"/>
      <c r="SWV22" s="88"/>
      <c r="SWW22" s="88"/>
      <c r="SWX22" s="91"/>
      <c r="SWY22" s="93"/>
      <c r="SWZ22" s="93"/>
      <c r="SXA22" s="88"/>
      <c r="SXB22" s="88"/>
      <c r="SXC22" s="90"/>
      <c r="SXD22" s="148"/>
      <c r="SXE22" s="88"/>
      <c r="SXF22" s="88"/>
      <c r="SXG22" s="90"/>
      <c r="SXH22" s="93"/>
      <c r="SXI22" s="88"/>
      <c r="SXJ22" s="88"/>
      <c r="SXK22" s="91"/>
      <c r="SXL22" s="93"/>
      <c r="SXM22" s="93"/>
      <c r="SXN22" s="88"/>
      <c r="SXO22" s="88"/>
      <c r="SXP22" s="90"/>
      <c r="SXQ22" s="148"/>
      <c r="SXR22" s="88"/>
      <c r="SXS22" s="88"/>
      <c r="SXT22" s="90"/>
      <c r="SXU22" s="93"/>
      <c r="SXV22" s="88"/>
      <c r="SXW22" s="88"/>
      <c r="SXX22" s="91"/>
      <c r="SXY22" s="93"/>
      <c r="SXZ22" s="93"/>
      <c r="SYA22" s="88"/>
      <c r="SYB22" s="88"/>
      <c r="SYC22" s="90"/>
      <c r="SYD22" s="148"/>
      <c r="SYE22" s="88"/>
      <c r="SYF22" s="88"/>
      <c r="SYG22" s="90"/>
      <c r="SYH22" s="93"/>
      <c r="SYI22" s="88"/>
      <c r="SYJ22" s="88"/>
      <c r="SYK22" s="91"/>
      <c r="SYL22" s="93"/>
      <c r="SYM22" s="93"/>
      <c r="SYN22" s="88"/>
      <c r="SYO22" s="88"/>
      <c r="SYP22" s="90"/>
      <c r="SYQ22" s="148"/>
      <c r="SYR22" s="88"/>
      <c r="SYS22" s="88"/>
      <c r="SYT22" s="90"/>
      <c r="SYU22" s="93"/>
      <c r="SYV22" s="88"/>
      <c r="SYW22" s="88"/>
      <c r="SYX22" s="91"/>
      <c r="SYY22" s="93"/>
      <c r="SYZ22" s="93"/>
      <c r="SZA22" s="88"/>
      <c r="SZB22" s="88"/>
      <c r="SZC22" s="90"/>
      <c r="SZD22" s="148"/>
      <c r="SZE22" s="88"/>
      <c r="SZF22" s="88"/>
      <c r="SZG22" s="90"/>
      <c r="SZH22" s="93"/>
      <c r="SZI22" s="88"/>
      <c r="SZJ22" s="88"/>
      <c r="SZK22" s="91"/>
      <c r="SZL22" s="93"/>
      <c r="SZM22" s="93"/>
      <c r="SZN22" s="88"/>
      <c r="SZO22" s="88"/>
      <c r="SZP22" s="90"/>
      <c r="SZQ22" s="148"/>
      <c r="SZR22" s="88"/>
      <c r="SZS22" s="88"/>
      <c r="SZT22" s="90"/>
      <c r="SZU22" s="93"/>
      <c r="SZV22" s="88"/>
      <c r="SZW22" s="88"/>
      <c r="SZX22" s="91"/>
      <c r="SZY22" s="93"/>
      <c r="SZZ22" s="93"/>
      <c r="TAA22" s="88"/>
      <c r="TAB22" s="88"/>
      <c r="TAC22" s="90"/>
      <c r="TAD22" s="148"/>
      <c r="TAE22" s="88"/>
      <c r="TAF22" s="88"/>
      <c r="TAG22" s="90"/>
      <c r="TAH22" s="93"/>
      <c r="TAI22" s="88"/>
      <c r="TAJ22" s="88"/>
      <c r="TAK22" s="91"/>
      <c r="TAL22" s="93"/>
      <c r="TAM22" s="93"/>
      <c r="TAN22" s="88"/>
      <c r="TAO22" s="88"/>
      <c r="TAP22" s="90"/>
      <c r="TAQ22" s="148"/>
      <c r="TAR22" s="88"/>
      <c r="TAS22" s="88"/>
      <c r="TAT22" s="90"/>
      <c r="TAU22" s="93"/>
      <c r="TAV22" s="88"/>
      <c r="TAW22" s="88"/>
      <c r="TAX22" s="91"/>
      <c r="TAY22" s="93"/>
      <c r="TAZ22" s="93"/>
      <c r="TBA22" s="88"/>
      <c r="TBB22" s="88"/>
      <c r="TBC22" s="90"/>
      <c r="TBD22" s="148"/>
      <c r="TBE22" s="88"/>
      <c r="TBF22" s="88"/>
      <c r="TBG22" s="90"/>
      <c r="TBH22" s="93"/>
      <c r="TBI22" s="88"/>
      <c r="TBJ22" s="88"/>
      <c r="TBK22" s="91"/>
      <c r="TBL22" s="93"/>
      <c r="TBM22" s="93"/>
      <c r="TBN22" s="88"/>
      <c r="TBO22" s="88"/>
      <c r="TBP22" s="90"/>
      <c r="TBQ22" s="148"/>
      <c r="TBR22" s="88"/>
      <c r="TBS22" s="88"/>
      <c r="TBT22" s="90"/>
      <c r="TBU22" s="93"/>
      <c r="TBV22" s="88"/>
      <c r="TBW22" s="88"/>
      <c r="TBX22" s="91"/>
      <c r="TBY22" s="93"/>
      <c r="TBZ22" s="93"/>
      <c r="TCA22" s="88"/>
      <c r="TCB22" s="88"/>
      <c r="TCC22" s="90"/>
      <c r="TCD22" s="148"/>
      <c r="TCE22" s="88"/>
      <c r="TCF22" s="88"/>
      <c r="TCG22" s="90"/>
      <c r="TCH22" s="93"/>
      <c r="TCI22" s="88"/>
      <c r="TCJ22" s="88"/>
      <c r="TCK22" s="91"/>
      <c r="TCL22" s="93"/>
      <c r="TCM22" s="93"/>
      <c r="TCN22" s="88"/>
      <c r="TCO22" s="88"/>
      <c r="TCP22" s="90"/>
      <c r="TCQ22" s="148"/>
      <c r="TCR22" s="88"/>
      <c r="TCS22" s="88"/>
      <c r="TCT22" s="90"/>
      <c r="TCU22" s="93"/>
      <c r="TCV22" s="88"/>
      <c r="TCW22" s="88"/>
      <c r="TCX22" s="91"/>
      <c r="TCY22" s="93"/>
      <c r="TCZ22" s="93"/>
      <c r="TDA22" s="88"/>
      <c r="TDB22" s="88"/>
      <c r="TDC22" s="90"/>
      <c r="TDD22" s="148"/>
      <c r="TDE22" s="88"/>
      <c r="TDF22" s="88"/>
      <c r="TDG22" s="90"/>
      <c r="TDH22" s="93"/>
      <c r="TDI22" s="88"/>
      <c r="TDJ22" s="88"/>
      <c r="TDK22" s="91"/>
      <c r="TDL22" s="93"/>
      <c r="TDM22" s="93"/>
      <c r="TDN22" s="88"/>
      <c r="TDO22" s="88"/>
      <c r="TDP22" s="90"/>
      <c r="TDQ22" s="148"/>
      <c r="TDR22" s="88"/>
      <c r="TDS22" s="88"/>
      <c r="TDT22" s="90"/>
      <c r="TDU22" s="93"/>
      <c r="TDV22" s="88"/>
      <c r="TDW22" s="88"/>
      <c r="TDX22" s="91"/>
      <c r="TDY22" s="93"/>
      <c r="TDZ22" s="93"/>
      <c r="TEA22" s="88"/>
      <c r="TEB22" s="88"/>
      <c r="TEC22" s="90"/>
      <c r="TED22" s="148"/>
      <c r="TEE22" s="88"/>
      <c r="TEF22" s="88"/>
      <c r="TEG22" s="90"/>
      <c r="TEH22" s="93"/>
      <c r="TEI22" s="88"/>
      <c r="TEJ22" s="88"/>
      <c r="TEK22" s="91"/>
      <c r="TEL22" s="93"/>
      <c r="TEM22" s="93"/>
      <c r="TEN22" s="88"/>
      <c r="TEO22" s="88"/>
      <c r="TEP22" s="90"/>
      <c r="TEQ22" s="148"/>
      <c r="TER22" s="88"/>
      <c r="TES22" s="88"/>
      <c r="TET22" s="90"/>
      <c r="TEU22" s="93"/>
      <c r="TEV22" s="88"/>
      <c r="TEW22" s="88"/>
      <c r="TEX22" s="91"/>
      <c r="TEY22" s="93"/>
      <c r="TEZ22" s="93"/>
      <c r="TFA22" s="88"/>
      <c r="TFB22" s="88"/>
      <c r="TFC22" s="90"/>
      <c r="TFD22" s="148"/>
      <c r="TFE22" s="88"/>
      <c r="TFF22" s="88"/>
      <c r="TFG22" s="90"/>
      <c r="TFH22" s="93"/>
      <c r="TFI22" s="88"/>
      <c r="TFJ22" s="88"/>
      <c r="TFK22" s="91"/>
      <c r="TFL22" s="93"/>
      <c r="TFM22" s="93"/>
      <c r="TFN22" s="88"/>
      <c r="TFO22" s="88"/>
      <c r="TFP22" s="90"/>
      <c r="TFQ22" s="148"/>
      <c r="TFR22" s="88"/>
      <c r="TFS22" s="88"/>
      <c r="TFT22" s="90"/>
      <c r="TFU22" s="93"/>
      <c r="TFV22" s="88"/>
      <c r="TFW22" s="88"/>
      <c r="TFX22" s="91"/>
      <c r="TFY22" s="93"/>
      <c r="TFZ22" s="93"/>
      <c r="TGA22" s="88"/>
      <c r="TGB22" s="88"/>
      <c r="TGC22" s="90"/>
      <c r="TGD22" s="148"/>
      <c r="TGE22" s="88"/>
      <c r="TGF22" s="88"/>
      <c r="TGG22" s="90"/>
      <c r="TGH22" s="93"/>
      <c r="TGI22" s="88"/>
      <c r="TGJ22" s="88"/>
      <c r="TGK22" s="91"/>
      <c r="TGL22" s="93"/>
      <c r="TGM22" s="93"/>
      <c r="TGN22" s="88"/>
      <c r="TGO22" s="88"/>
      <c r="TGP22" s="90"/>
      <c r="TGQ22" s="148"/>
      <c r="TGR22" s="88"/>
      <c r="TGS22" s="88"/>
      <c r="TGT22" s="90"/>
      <c r="TGU22" s="93"/>
      <c r="TGV22" s="88"/>
      <c r="TGW22" s="88"/>
      <c r="TGX22" s="91"/>
      <c r="TGY22" s="93"/>
      <c r="TGZ22" s="93"/>
      <c r="THA22" s="88"/>
      <c r="THB22" s="88"/>
      <c r="THC22" s="90"/>
      <c r="THD22" s="148"/>
      <c r="THE22" s="88"/>
      <c r="THF22" s="88"/>
      <c r="THG22" s="90"/>
      <c r="THH22" s="93"/>
      <c r="THI22" s="88"/>
      <c r="THJ22" s="88"/>
      <c r="THK22" s="91"/>
      <c r="THL22" s="93"/>
      <c r="THM22" s="93"/>
      <c r="THN22" s="88"/>
      <c r="THO22" s="88"/>
      <c r="THP22" s="90"/>
      <c r="THQ22" s="148"/>
      <c r="THR22" s="88"/>
      <c r="THS22" s="88"/>
      <c r="THT22" s="90"/>
      <c r="THU22" s="93"/>
      <c r="THV22" s="88"/>
      <c r="THW22" s="88"/>
      <c r="THX22" s="91"/>
      <c r="THY22" s="93"/>
      <c r="THZ22" s="93"/>
      <c r="TIA22" s="88"/>
      <c r="TIB22" s="88"/>
      <c r="TIC22" s="90"/>
      <c r="TID22" s="148"/>
      <c r="TIE22" s="88"/>
      <c r="TIF22" s="88"/>
      <c r="TIG22" s="90"/>
      <c r="TIH22" s="93"/>
      <c r="TII22" s="88"/>
      <c r="TIJ22" s="88"/>
      <c r="TIK22" s="91"/>
      <c r="TIL22" s="93"/>
      <c r="TIM22" s="93"/>
      <c r="TIN22" s="88"/>
      <c r="TIO22" s="88"/>
      <c r="TIP22" s="90"/>
      <c r="TIQ22" s="148"/>
      <c r="TIR22" s="88"/>
      <c r="TIS22" s="88"/>
      <c r="TIT22" s="90"/>
      <c r="TIU22" s="93"/>
      <c r="TIV22" s="88"/>
      <c r="TIW22" s="88"/>
      <c r="TIX22" s="91"/>
      <c r="TIY22" s="93"/>
      <c r="TIZ22" s="93"/>
      <c r="TJA22" s="88"/>
      <c r="TJB22" s="88"/>
      <c r="TJC22" s="90"/>
      <c r="TJD22" s="148"/>
      <c r="TJE22" s="88"/>
      <c r="TJF22" s="88"/>
      <c r="TJG22" s="90"/>
      <c r="TJH22" s="93"/>
      <c r="TJI22" s="88"/>
      <c r="TJJ22" s="88"/>
      <c r="TJK22" s="91"/>
      <c r="TJL22" s="93"/>
      <c r="TJM22" s="93"/>
      <c r="TJN22" s="88"/>
      <c r="TJO22" s="88"/>
      <c r="TJP22" s="90"/>
      <c r="TJQ22" s="148"/>
      <c r="TJR22" s="88"/>
      <c r="TJS22" s="88"/>
      <c r="TJT22" s="90"/>
      <c r="TJU22" s="93"/>
      <c r="TJV22" s="88"/>
      <c r="TJW22" s="88"/>
      <c r="TJX22" s="91"/>
      <c r="TJY22" s="93"/>
      <c r="TJZ22" s="93"/>
      <c r="TKA22" s="88"/>
      <c r="TKB22" s="88"/>
      <c r="TKC22" s="90"/>
      <c r="TKD22" s="148"/>
      <c r="TKE22" s="88"/>
      <c r="TKF22" s="88"/>
      <c r="TKG22" s="90"/>
      <c r="TKH22" s="93"/>
      <c r="TKI22" s="88"/>
      <c r="TKJ22" s="88"/>
      <c r="TKK22" s="91"/>
      <c r="TKL22" s="93"/>
      <c r="TKM22" s="93"/>
      <c r="TKN22" s="88"/>
      <c r="TKO22" s="88"/>
      <c r="TKP22" s="90"/>
      <c r="TKQ22" s="148"/>
      <c r="TKR22" s="88"/>
      <c r="TKS22" s="88"/>
      <c r="TKT22" s="90"/>
      <c r="TKU22" s="93"/>
      <c r="TKV22" s="88"/>
      <c r="TKW22" s="88"/>
      <c r="TKX22" s="91"/>
      <c r="TKY22" s="93"/>
      <c r="TKZ22" s="93"/>
      <c r="TLA22" s="88"/>
      <c r="TLB22" s="88"/>
      <c r="TLC22" s="90"/>
      <c r="TLD22" s="148"/>
      <c r="TLE22" s="88"/>
      <c r="TLF22" s="88"/>
      <c r="TLG22" s="90"/>
      <c r="TLH22" s="93"/>
      <c r="TLI22" s="88"/>
      <c r="TLJ22" s="88"/>
      <c r="TLK22" s="91"/>
      <c r="TLL22" s="93"/>
      <c r="TLM22" s="93"/>
      <c r="TLN22" s="88"/>
      <c r="TLO22" s="88"/>
      <c r="TLP22" s="90"/>
      <c r="TLQ22" s="148"/>
      <c r="TLR22" s="88"/>
      <c r="TLS22" s="88"/>
      <c r="TLT22" s="90"/>
      <c r="TLU22" s="93"/>
      <c r="TLV22" s="88"/>
      <c r="TLW22" s="88"/>
      <c r="TLX22" s="91"/>
      <c r="TLY22" s="93"/>
      <c r="TLZ22" s="93"/>
      <c r="TMA22" s="88"/>
      <c r="TMB22" s="88"/>
      <c r="TMC22" s="90"/>
      <c r="TMD22" s="148"/>
      <c r="TME22" s="88"/>
      <c r="TMF22" s="88"/>
      <c r="TMG22" s="90"/>
      <c r="TMH22" s="93"/>
      <c r="TMI22" s="88"/>
      <c r="TMJ22" s="88"/>
      <c r="TMK22" s="91"/>
      <c r="TML22" s="93"/>
      <c r="TMM22" s="93"/>
      <c r="TMN22" s="88"/>
      <c r="TMO22" s="88"/>
      <c r="TMP22" s="90"/>
      <c r="TMQ22" s="148"/>
      <c r="TMR22" s="88"/>
      <c r="TMS22" s="88"/>
      <c r="TMT22" s="90"/>
      <c r="TMU22" s="93"/>
      <c r="TMV22" s="88"/>
      <c r="TMW22" s="88"/>
      <c r="TMX22" s="91"/>
      <c r="TMY22" s="93"/>
      <c r="TMZ22" s="93"/>
      <c r="TNA22" s="88"/>
      <c r="TNB22" s="88"/>
      <c r="TNC22" s="90"/>
      <c r="TND22" s="148"/>
      <c r="TNE22" s="88"/>
      <c r="TNF22" s="88"/>
      <c r="TNG22" s="90"/>
      <c r="TNH22" s="93"/>
      <c r="TNI22" s="88"/>
      <c r="TNJ22" s="88"/>
      <c r="TNK22" s="91"/>
      <c r="TNL22" s="93"/>
      <c r="TNM22" s="93"/>
      <c r="TNN22" s="88"/>
      <c r="TNO22" s="88"/>
      <c r="TNP22" s="90"/>
      <c r="TNQ22" s="148"/>
      <c r="TNR22" s="88"/>
      <c r="TNS22" s="88"/>
      <c r="TNT22" s="90"/>
      <c r="TNU22" s="93"/>
      <c r="TNV22" s="88"/>
      <c r="TNW22" s="88"/>
      <c r="TNX22" s="91"/>
      <c r="TNY22" s="93"/>
      <c r="TNZ22" s="93"/>
      <c r="TOA22" s="88"/>
      <c r="TOB22" s="88"/>
      <c r="TOC22" s="90"/>
      <c r="TOD22" s="148"/>
      <c r="TOE22" s="88"/>
      <c r="TOF22" s="88"/>
      <c r="TOG22" s="90"/>
      <c r="TOH22" s="93"/>
      <c r="TOI22" s="88"/>
      <c r="TOJ22" s="88"/>
      <c r="TOK22" s="91"/>
      <c r="TOL22" s="93"/>
      <c r="TOM22" s="93"/>
      <c r="TON22" s="88"/>
      <c r="TOO22" s="88"/>
      <c r="TOP22" s="90"/>
      <c r="TOQ22" s="148"/>
      <c r="TOR22" s="88"/>
      <c r="TOS22" s="88"/>
      <c r="TOT22" s="90"/>
      <c r="TOU22" s="93"/>
      <c r="TOV22" s="88"/>
      <c r="TOW22" s="88"/>
      <c r="TOX22" s="91"/>
      <c r="TOY22" s="93"/>
      <c r="TOZ22" s="93"/>
      <c r="TPA22" s="88"/>
      <c r="TPB22" s="88"/>
      <c r="TPC22" s="90"/>
      <c r="TPD22" s="148"/>
      <c r="TPE22" s="88"/>
      <c r="TPF22" s="88"/>
      <c r="TPG22" s="90"/>
      <c r="TPH22" s="93"/>
      <c r="TPI22" s="88"/>
      <c r="TPJ22" s="88"/>
      <c r="TPK22" s="91"/>
      <c r="TPL22" s="93"/>
      <c r="TPM22" s="93"/>
      <c r="TPN22" s="88"/>
      <c r="TPO22" s="88"/>
      <c r="TPP22" s="90"/>
      <c r="TPQ22" s="148"/>
      <c r="TPR22" s="88"/>
      <c r="TPS22" s="88"/>
      <c r="TPT22" s="90"/>
      <c r="TPU22" s="93"/>
      <c r="TPV22" s="88"/>
      <c r="TPW22" s="88"/>
      <c r="TPX22" s="91"/>
      <c r="TPY22" s="93"/>
      <c r="TPZ22" s="93"/>
      <c r="TQA22" s="88"/>
      <c r="TQB22" s="88"/>
      <c r="TQC22" s="90"/>
      <c r="TQD22" s="148"/>
      <c r="TQE22" s="88"/>
      <c r="TQF22" s="88"/>
      <c r="TQG22" s="90"/>
      <c r="TQH22" s="93"/>
      <c r="TQI22" s="88"/>
      <c r="TQJ22" s="88"/>
      <c r="TQK22" s="91"/>
      <c r="TQL22" s="93"/>
      <c r="TQM22" s="93"/>
      <c r="TQN22" s="88"/>
      <c r="TQO22" s="88"/>
      <c r="TQP22" s="90"/>
      <c r="TQQ22" s="148"/>
      <c r="TQR22" s="88"/>
      <c r="TQS22" s="88"/>
      <c r="TQT22" s="90"/>
      <c r="TQU22" s="93"/>
      <c r="TQV22" s="88"/>
      <c r="TQW22" s="88"/>
      <c r="TQX22" s="91"/>
      <c r="TQY22" s="93"/>
      <c r="TQZ22" s="93"/>
      <c r="TRA22" s="88"/>
      <c r="TRB22" s="88"/>
      <c r="TRC22" s="90"/>
      <c r="TRD22" s="148"/>
      <c r="TRE22" s="88"/>
      <c r="TRF22" s="88"/>
      <c r="TRG22" s="90"/>
      <c r="TRH22" s="93"/>
      <c r="TRI22" s="88"/>
      <c r="TRJ22" s="88"/>
      <c r="TRK22" s="91"/>
      <c r="TRL22" s="93"/>
      <c r="TRM22" s="93"/>
      <c r="TRN22" s="88"/>
      <c r="TRO22" s="88"/>
      <c r="TRP22" s="90"/>
      <c r="TRQ22" s="148"/>
      <c r="TRR22" s="88"/>
      <c r="TRS22" s="88"/>
      <c r="TRT22" s="90"/>
      <c r="TRU22" s="93"/>
      <c r="TRV22" s="88"/>
      <c r="TRW22" s="88"/>
      <c r="TRX22" s="91"/>
      <c r="TRY22" s="93"/>
      <c r="TRZ22" s="93"/>
      <c r="TSA22" s="88"/>
      <c r="TSB22" s="88"/>
      <c r="TSC22" s="90"/>
      <c r="TSD22" s="148"/>
      <c r="TSE22" s="88"/>
      <c r="TSF22" s="88"/>
      <c r="TSG22" s="90"/>
      <c r="TSH22" s="93"/>
      <c r="TSI22" s="88"/>
      <c r="TSJ22" s="88"/>
      <c r="TSK22" s="91"/>
      <c r="TSL22" s="93"/>
      <c r="TSM22" s="93"/>
      <c r="TSN22" s="88"/>
      <c r="TSO22" s="88"/>
      <c r="TSP22" s="90"/>
      <c r="TSQ22" s="148"/>
      <c r="TSR22" s="88"/>
      <c r="TSS22" s="88"/>
      <c r="TST22" s="90"/>
      <c r="TSU22" s="93"/>
      <c r="TSV22" s="88"/>
      <c r="TSW22" s="88"/>
      <c r="TSX22" s="91"/>
      <c r="TSY22" s="93"/>
      <c r="TSZ22" s="93"/>
      <c r="TTA22" s="88"/>
      <c r="TTB22" s="88"/>
      <c r="TTC22" s="90"/>
      <c r="TTD22" s="148"/>
      <c r="TTE22" s="88"/>
      <c r="TTF22" s="88"/>
      <c r="TTG22" s="90"/>
      <c r="TTH22" s="93"/>
      <c r="TTI22" s="88"/>
      <c r="TTJ22" s="88"/>
      <c r="TTK22" s="91"/>
      <c r="TTL22" s="93"/>
      <c r="TTM22" s="93"/>
      <c r="TTN22" s="88"/>
      <c r="TTO22" s="88"/>
      <c r="TTP22" s="90"/>
      <c r="TTQ22" s="148"/>
      <c r="TTR22" s="88"/>
      <c r="TTS22" s="88"/>
      <c r="TTT22" s="90"/>
      <c r="TTU22" s="93"/>
      <c r="TTV22" s="88"/>
      <c r="TTW22" s="88"/>
      <c r="TTX22" s="91"/>
      <c r="TTY22" s="93"/>
      <c r="TTZ22" s="93"/>
      <c r="TUA22" s="88"/>
      <c r="TUB22" s="88"/>
      <c r="TUC22" s="90"/>
      <c r="TUD22" s="148"/>
      <c r="TUE22" s="88"/>
      <c r="TUF22" s="88"/>
      <c r="TUG22" s="90"/>
      <c r="TUH22" s="93"/>
      <c r="TUI22" s="88"/>
      <c r="TUJ22" s="88"/>
      <c r="TUK22" s="91"/>
      <c r="TUL22" s="93"/>
      <c r="TUM22" s="93"/>
      <c r="TUN22" s="88"/>
      <c r="TUO22" s="88"/>
      <c r="TUP22" s="90"/>
      <c r="TUQ22" s="148"/>
      <c r="TUR22" s="88"/>
      <c r="TUS22" s="88"/>
      <c r="TUT22" s="90"/>
      <c r="TUU22" s="93"/>
      <c r="TUV22" s="88"/>
      <c r="TUW22" s="88"/>
      <c r="TUX22" s="91"/>
      <c r="TUY22" s="93"/>
      <c r="TUZ22" s="93"/>
      <c r="TVA22" s="88"/>
      <c r="TVB22" s="88"/>
      <c r="TVC22" s="90"/>
      <c r="TVD22" s="148"/>
      <c r="TVE22" s="88"/>
      <c r="TVF22" s="88"/>
      <c r="TVG22" s="90"/>
      <c r="TVH22" s="93"/>
      <c r="TVI22" s="88"/>
      <c r="TVJ22" s="88"/>
      <c r="TVK22" s="91"/>
      <c r="TVL22" s="93"/>
      <c r="TVM22" s="93"/>
      <c r="TVN22" s="88"/>
      <c r="TVO22" s="88"/>
      <c r="TVP22" s="90"/>
      <c r="TVQ22" s="148"/>
      <c r="TVR22" s="88"/>
      <c r="TVS22" s="88"/>
      <c r="TVT22" s="90"/>
      <c r="TVU22" s="93"/>
      <c r="TVV22" s="88"/>
      <c r="TVW22" s="88"/>
      <c r="TVX22" s="91"/>
      <c r="TVY22" s="93"/>
      <c r="TVZ22" s="93"/>
      <c r="TWA22" s="88"/>
      <c r="TWB22" s="88"/>
      <c r="TWC22" s="90"/>
      <c r="TWD22" s="148"/>
      <c r="TWE22" s="88"/>
      <c r="TWF22" s="88"/>
      <c r="TWG22" s="90"/>
      <c r="TWH22" s="93"/>
      <c r="TWI22" s="88"/>
      <c r="TWJ22" s="88"/>
      <c r="TWK22" s="91"/>
      <c r="TWL22" s="93"/>
      <c r="TWM22" s="93"/>
      <c r="TWN22" s="88"/>
      <c r="TWO22" s="88"/>
      <c r="TWP22" s="90"/>
      <c r="TWQ22" s="148"/>
      <c r="TWR22" s="88"/>
      <c r="TWS22" s="88"/>
      <c r="TWT22" s="90"/>
      <c r="TWU22" s="93"/>
      <c r="TWV22" s="88"/>
      <c r="TWW22" s="88"/>
      <c r="TWX22" s="91"/>
      <c r="TWY22" s="93"/>
      <c r="TWZ22" s="93"/>
      <c r="TXA22" s="88"/>
      <c r="TXB22" s="88"/>
      <c r="TXC22" s="90"/>
      <c r="TXD22" s="148"/>
      <c r="TXE22" s="88"/>
      <c r="TXF22" s="88"/>
      <c r="TXG22" s="90"/>
      <c r="TXH22" s="93"/>
      <c r="TXI22" s="88"/>
      <c r="TXJ22" s="88"/>
      <c r="TXK22" s="91"/>
      <c r="TXL22" s="93"/>
      <c r="TXM22" s="93"/>
      <c r="TXN22" s="88"/>
      <c r="TXO22" s="88"/>
      <c r="TXP22" s="90"/>
      <c r="TXQ22" s="148"/>
      <c r="TXR22" s="88"/>
      <c r="TXS22" s="88"/>
      <c r="TXT22" s="90"/>
      <c r="TXU22" s="93"/>
      <c r="TXV22" s="88"/>
      <c r="TXW22" s="88"/>
      <c r="TXX22" s="91"/>
      <c r="TXY22" s="93"/>
      <c r="TXZ22" s="93"/>
      <c r="TYA22" s="88"/>
      <c r="TYB22" s="88"/>
      <c r="TYC22" s="90"/>
      <c r="TYD22" s="148"/>
      <c r="TYE22" s="88"/>
      <c r="TYF22" s="88"/>
      <c r="TYG22" s="90"/>
      <c r="TYH22" s="93"/>
      <c r="TYI22" s="88"/>
      <c r="TYJ22" s="88"/>
      <c r="TYK22" s="91"/>
      <c r="TYL22" s="93"/>
      <c r="TYM22" s="93"/>
      <c r="TYN22" s="88"/>
      <c r="TYO22" s="88"/>
      <c r="TYP22" s="90"/>
      <c r="TYQ22" s="148"/>
      <c r="TYR22" s="88"/>
      <c r="TYS22" s="88"/>
      <c r="TYT22" s="90"/>
      <c r="TYU22" s="93"/>
      <c r="TYV22" s="88"/>
      <c r="TYW22" s="88"/>
      <c r="TYX22" s="91"/>
      <c r="TYY22" s="93"/>
      <c r="TYZ22" s="93"/>
      <c r="TZA22" s="88"/>
      <c r="TZB22" s="88"/>
      <c r="TZC22" s="90"/>
      <c r="TZD22" s="148"/>
      <c r="TZE22" s="88"/>
      <c r="TZF22" s="88"/>
      <c r="TZG22" s="90"/>
      <c r="TZH22" s="93"/>
      <c r="TZI22" s="88"/>
      <c r="TZJ22" s="88"/>
      <c r="TZK22" s="91"/>
      <c r="TZL22" s="93"/>
      <c r="TZM22" s="93"/>
      <c r="TZN22" s="88"/>
      <c r="TZO22" s="88"/>
      <c r="TZP22" s="90"/>
      <c r="TZQ22" s="148"/>
      <c r="TZR22" s="88"/>
      <c r="TZS22" s="88"/>
      <c r="TZT22" s="90"/>
      <c r="TZU22" s="93"/>
      <c r="TZV22" s="88"/>
      <c r="TZW22" s="88"/>
      <c r="TZX22" s="91"/>
      <c r="TZY22" s="93"/>
      <c r="TZZ22" s="93"/>
      <c r="UAA22" s="88"/>
      <c r="UAB22" s="88"/>
      <c r="UAC22" s="90"/>
      <c r="UAD22" s="148"/>
      <c r="UAE22" s="88"/>
      <c r="UAF22" s="88"/>
      <c r="UAG22" s="90"/>
      <c r="UAH22" s="93"/>
      <c r="UAI22" s="88"/>
      <c r="UAJ22" s="88"/>
      <c r="UAK22" s="91"/>
      <c r="UAL22" s="93"/>
      <c r="UAM22" s="93"/>
      <c r="UAN22" s="88"/>
      <c r="UAO22" s="88"/>
      <c r="UAP22" s="90"/>
      <c r="UAQ22" s="148"/>
      <c r="UAR22" s="88"/>
      <c r="UAS22" s="88"/>
      <c r="UAT22" s="90"/>
      <c r="UAU22" s="93"/>
      <c r="UAV22" s="88"/>
      <c r="UAW22" s="88"/>
      <c r="UAX22" s="91"/>
      <c r="UAY22" s="93"/>
      <c r="UAZ22" s="93"/>
      <c r="UBA22" s="88"/>
      <c r="UBB22" s="88"/>
      <c r="UBC22" s="90"/>
      <c r="UBD22" s="148"/>
      <c r="UBE22" s="88"/>
      <c r="UBF22" s="88"/>
      <c r="UBG22" s="90"/>
      <c r="UBH22" s="93"/>
      <c r="UBI22" s="88"/>
      <c r="UBJ22" s="88"/>
      <c r="UBK22" s="91"/>
      <c r="UBL22" s="93"/>
      <c r="UBM22" s="93"/>
      <c r="UBN22" s="88"/>
      <c r="UBO22" s="88"/>
      <c r="UBP22" s="90"/>
      <c r="UBQ22" s="148"/>
      <c r="UBR22" s="88"/>
      <c r="UBS22" s="88"/>
      <c r="UBT22" s="90"/>
      <c r="UBU22" s="93"/>
      <c r="UBV22" s="88"/>
      <c r="UBW22" s="88"/>
      <c r="UBX22" s="91"/>
      <c r="UBY22" s="93"/>
      <c r="UBZ22" s="93"/>
      <c r="UCA22" s="88"/>
      <c r="UCB22" s="88"/>
      <c r="UCC22" s="90"/>
      <c r="UCD22" s="148"/>
      <c r="UCE22" s="88"/>
      <c r="UCF22" s="88"/>
      <c r="UCG22" s="90"/>
      <c r="UCH22" s="93"/>
      <c r="UCI22" s="88"/>
      <c r="UCJ22" s="88"/>
      <c r="UCK22" s="91"/>
      <c r="UCL22" s="93"/>
      <c r="UCM22" s="93"/>
      <c r="UCN22" s="88"/>
      <c r="UCO22" s="88"/>
      <c r="UCP22" s="90"/>
      <c r="UCQ22" s="148"/>
      <c r="UCR22" s="88"/>
      <c r="UCS22" s="88"/>
      <c r="UCT22" s="90"/>
      <c r="UCU22" s="93"/>
      <c r="UCV22" s="88"/>
      <c r="UCW22" s="88"/>
      <c r="UCX22" s="91"/>
      <c r="UCY22" s="93"/>
      <c r="UCZ22" s="93"/>
      <c r="UDA22" s="88"/>
      <c r="UDB22" s="88"/>
      <c r="UDC22" s="90"/>
      <c r="UDD22" s="148"/>
      <c r="UDE22" s="88"/>
      <c r="UDF22" s="88"/>
      <c r="UDG22" s="90"/>
      <c r="UDH22" s="93"/>
      <c r="UDI22" s="88"/>
      <c r="UDJ22" s="88"/>
      <c r="UDK22" s="91"/>
      <c r="UDL22" s="93"/>
      <c r="UDM22" s="93"/>
      <c r="UDN22" s="88"/>
      <c r="UDO22" s="88"/>
      <c r="UDP22" s="90"/>
      <c r="UDQ22" s="148"/>
      <c r="UDR22" s="88"/>
      <c r="UDS22" s="88"/>
      <c r="UDT22" s="90"/>
      <c r="UDU22" s="93"/>
      <c r="UDV22" s="88"/>
      <c r="UDW22" s="88"/>
      <c r="UDX22" s="91"/>
      <c r="UDY22" s="93"/>
      <c r="UDZ22" s="93"/>
      <c r="UEA22" s="88"/>
      <c r="UEB22" s="88"/>
      <c r="UEC22" s="90"/>
      <c r="UED22" s="148"/>
      <c r="UEE22" s="88"/>
      <c r="UEF22" s="88"/>
      <c r="UEG22" s="90"/>
      <c r="UEH22" s="93"/>
      <c r="UEI22" s="88"/>
      <c r="UEJ22" s="88"/>
      <c r="UEK22" s="91"/>
      <c r="UEL22" s="93"/>
      <c r="UEM22" s="93"/>
      <c r="UEN22" s="88"/>
      <c r="UEO22" s="88"/>
      <c r="UEP22" s="90"/>
      <c r="UEQ22" s="148"/>
      <c r="UER22" s="88"/>
      <c r="UES22" s="88"/>
      <c r="UET22" s="90"/>
      <c r="UEU22" s="93"/>
      <c r="UEV22" s="88"/>
      <c r="UEW22" s="88"/>
      <c r="UEX22" s="91"/>
      <c r="UEY22" s="93"/>
      <c r="UEZ22" s="93"/>
      <c r="UFA22" s="88"/>
      <c r="UFB22" s="88"/>
      <c r="UFC22" s="90"/>
      <c r="UFD22" s="148"/>
      <c r="UFE22" s="88"/>
      <c r="UFF22" s="88"/>
      <c r="UFG22" s="90"/>
      <c r="UFH22" s="93"/>
      <c r="UFI22" s="88"/>
      <c r="UFJ22" s="88"/>
      <c r="UFK22" s="91"/>
      <c r="UFL22" s="93"/>
      <c r="UFM22" s="93"/>
      <c r="UFN22" s="88"/>
      <c r="UFO22" s="88"/>
      <c r="UFP22" s="90"/>
      <c r="UFQ22" s="148"/>
      <c r="UFR22" s="88"/>
      <c r="UFS22" s="88"/>
      <c r="UFT22" s="90"/>
      <c r="UFU22" s="93"/>
      <c r="UFV22" s="88"/>
      <c r="UFW22" s="88"/>
      <c r="UFX22" s="91"/>
      <c r="UFY22" s="93"/>
      <c r="UFZ22" s="93"/>
      <c r="UGA22" s="88"/>
      <c r="UGB22" s="88"/>
      <c r="UGC22" s="90"/>
      <c r="UGD22" s="148"/>
      <c r="UGE22" s="88"/>
      <c r="UGF22" s="88"/>
      <c r="UGG22" s="90"/>
      <c r="UGH22" s="93"/>
      <c r="UGI22" s="88"/>
      <c r="UGJ22" s="88"/>
      <c r="UGK22" s="91"/>
      <c r="UGL22" s="93"/>
      <c r="UGM22" s="93"/>
      <c r="UGN22" s="88"/>
      <c r="UGO22" s="88"/>
      <c r="UGP22" s="90"/>
      <c r="UGQ22" s="148"/>
      <c r="UGR22" s="88"/>
      <c r="UGS22" s="88"/>
      <c r="UGT22" s="90"/>
      <c r="UGU22" s="93"/>
      <c r="UGV22" s="88"/>
      <c r="UGW22" s="88"/>
      <c r="UGX22" s="91"/>
      <c r="UGY22" s="93"/>
      <c r="UGZ22" s="93"/>
      <c r="UHA22" s="88"/>
      <c r="UHB22" s="88"/>
      <c r="UHC22" s="90"/>
      <c r="UHD22" s="148"/>
      <c r="UHE22" s="88"/>
      <c r="UHF22" s="88"/>
      <c r="UHG22" s="90"/>
      <c r="UHH22" s="93"/>
      <c r="UHI22" s="88"/>
      <c r="UHJ22" s="88"/>
      <c r="UHK22" s="91"/>
      <c r="UHL22" s="93"/>
      <c r="UHM22" s="93"/>
      <c r="UHN22" s="88"/>
      <c r="UHO22" s="88"/>
      <c r="UHP22" s="90"/>
      <c r="UHQ22" s="148"/>
      <c r="UHR22" s="88"/>
      <c r="UHS22" s="88"/>
      <c r="UHT22" s="90"/>
      <c r="UHU22" s="93"/>
      <c r="UHV22" s="88"/>
      <c r="UHW22" s="88"/>
      <c r="UHX22" s="91"/>
      <c r="UHY22" s="93"/>
      <c r="UHZ22" s="93"/>
      <c r="UIA22" s="88"/>
      <c r="UIB22" s="88"/>
      <c r="UIC22" s="90"/>
      <c r="UID22" s="148"/>
      <c r="UIE22" s="88"/>
      <c r="UIF22" s="88"/>
      <c r="UIG22" s="90"/>
      <c r="UIH22" s="93"/>
      <c r="UII22" s="88"/>
      <c r="UIJ22" s="88"/>
      <c r="UIK22" s="91"/>
      <c r="UIL22" s="93"/>
      <c r="UIM22" s="93"/>
      <c r="UIN22" s="88"/>
      <c r="UIO22" s="88"/>
      <c r="UIP22" s="90"/>
      <c r="UIQ22" s="148"/>
      <c r="UIR22" s="88"/>
      <c r="UIS22" s="88"/>
      <c r="UIT22" s="90"/>
      <c r="UIU22" s="93"/>
      <c r="UIV22" s="88"/>
      <c r="UIW22" s="88"/>
      <c r="UIX22" s="91"/>
      <c r="UIY22" s="93"/>
      <c r="UIZ22" s="93"/>
      <c r="UJA22" s="88"/>
      <c r="UJB22" s="88"/>
      <c r="UJC22" s="90"/>
      <c r="UJD22" s="148"/>
      <c r="UJE22" s="88"/>
      <c r="UJF22" s="88"/>
      <c r="UJG22" s="90"/>
      <c r="UJH22" s="93"/>
      <c r="UJI22" s="88"/>
      <c r="UJJ22" s="88"/>
      <c r="UJK22" s="91"/>
      <c r="UJL22" s="93"/>
      <c r="UJM22" s="93"/>
      <c r="UJN22" s="88"/>
      <c r="UJO22" s="88"/>
      <c r="UJP22" s="90"/>
      <c r="UJQ22" s="148"/>
      <c r="UJR22" s="88"/>
      <c r="UJS22" s="88"/>
      <c r="UJT22" s="90"/>
      <c r="UJU22" s="93"/>
      <c r="UJV22" s="88"/>
      <c r="UJW22" s="88"/>
      <c r="UJX22" s="91"/>
      <c r="UJY22" s="93"/>
      <c r="UJZ22" s="93"/>
      <c r="UKA22" s="88"/>
      <c r="UKB22" s="88"/>
      <c r="UKC22" s="90"/>
      <c r="UKD22" s="148"/>
      <c r="UKE22" s="88"/>
      <c r="UKF22" s="88"/>
      <c r="UKG22" s="90"/>
      <c r="UKH22" s="93"/>
      <c r="UKI22" s="88"/>
      <c r="UKJ22" s="88"/>
      <c r="UKK22" s="91"/>
      <c r="UKL22" s="93"/>
      <c r="UKM22" s="93"/>
      <c r="UKN22" s="88"/>
      <c r="UKO22" s="88"/>
      <c r="UKP22" s="90"/>
      <c r="UKQ22" s="148"/>
      <c r="UKR22" s="88"/>
      <c r="UKS22" s="88"/>
      <c r="UKT22" s="90"/>
      <c r="UKU22" s="93"/>
      <c r="UKV22" s="88"/>
      <c r="UKW22" s="88"/>
      <c r="UKX22" s="91"/>
      <c r="UKY22" s="93"/>
      <c r="UKZ22" s="93"/>
      <c r="ULA22" s="88"/>
      <c r="ULB22" s="88"/>
      <c r="ULC22" s="90"/>
      <c r="ULD22" s="148"/>
      <c r="ULE22" s="88"/>
      <c r="ULF22" s="88"/>
      <c r="ULG22" s="90"/>
      <c r="ULH22" s="93"/>
      <c r="ULI22" s="88"/>
      <c r="ULJ22" s="88"/>
      <c r="ULK22" s="91"/>
      <c r="ULL22" s="93"/>
      <c r="ULM22" s="93"/>
      <c r="ULN22" s="88"/>
      <c r="ULO22" s="88"/>
      <c r="ULP22" s="90"/>
      <c r="ULQ22" s="148"/>
      <c r="ULR22" s="88"/>
      <c r="ULS22" s="88"/>
      <c r="ULT22" s="90"/>
      <c r="ULU22" s="93"/>
      <c r="ULV22" s="88"/>
      <c r="ULW22" s="88"/>
      <c r="ULX22" s="91"/>
      <c r="ULY22" s="93"/>
      <c r="ULZ22" s="93"/>
      <c r="UMA22" s="88"/>
      <c r="UMB22" s="88"/>
      <c r="UMC22" s="90"/>
      <c r="UMD22" s="148"/>
      <c r="UME22" s="88"/>
      <c r="UMF22" s="88"/>
      <c r="UMG22" s="90"/>
      <c r="UMH22" s="93"/>
      <c r="UMI22" s="88"/>
      <c r="UMJ22" s="88"/>
      <c r="UMK22" s="91"/>
      <c r="UML22" s="93"/>
      <c r="UMM22" s="93"/>
      <c r="UMN22" s="88"/>
      <c r="UMO22" s="88"/>
      <c r="UMP22" s="90"/>
      <c r="UMQ22" s="148"/>
      <c r="UMR22" s="88"/>
      <c r="UMS22" s="88"/>
      <c r="UMT22" s="90"/>
      <c r="UMU22" s="93"/>
      <c r="UMV22" s="88"/>
      <c r="UMW22" s="88"/>
      <c r="UMX22" s="91"/>
      <c r="UMY22" s="93"/>
      <c r="UMZ22" s="93"/>
      <c r="UNA22" s="88"/>
      <c r="UNB22" s="88"/>
      <c r="UNC22" s="90"/>
      <c r="UND22" s="148"/>
      <c r="UNE22" s="88"/>
      <c r="UNF22" s="88"/>
      <c r="UNG22" s="90"/>
      <c r="UNH22" s="93"/>
      <c r="UNI22" s="88"/>
      <c r="UNJ22" s="88"/>
      <c r="UNK22" s="91"/>
      <c r="UNL22" s="93"/>
      <c r="UNM22" s="93"/>
      <c r="UNN22" s="88"/>
      <c r="UNO22" s="88"/>
      <c r="UNP22" s="90"/>
      <c r="UNQ22" s="148"/>
      <c r="UNR22" s="88"/>
      <c r="UNS22" s="88"/>
      <c r="UNT22" s="90"/>
      <c r="UNU22" s="93"/>
      <c r="UNV22" s="88"/>
      <c r="UNW22" s="88"/>
      <c r="UNX22" s="91"/>
      <c r="UNY22" s="93"/>
      <c r="UNZ22" s="93"/>
      <c r="UOA22" s="88"/>
      <c r="UOB22" s="88"/>
      <c r="UOC22" s="90"/>
      <c r="UOD22" s="148"/>
      <c r="UOE22" s="88"/>
      <c r="UOF22" s="88"/>
      <c r="UOG22" s="90"/>
      <c r="UOH22" s="93"/>
      <c r="UOI22" s="88"/>
      <c r="UOJ22" s="88"/>
      <c r="UOK22" s="91"/>
      <c r="UOL22" s="93"/>
      <c r="UOM22" s="93"/>
      <c r="UON22" s="88"/>
      <c r="UOO22" s="88"/>
      <c r="UOP22" s="90"/>
      <c r="UOQ22" s="148"/>
      <c r="UOR22" s="88"/>
      <c r="UOS22" s="88"/>
      <c r="UOT22" s="90"/>
      <c r="UOU22" s="93"/>
      <c r="UOV22" s="88"/>
      <c r="UOW22" s="88"/>
      <c r="UOX22" s="91"/>
      <c r="UOY22" s="93"/>
      <c r="UOZ22" s="93"/>
      <c r="UPA22" s="88"/>
      <c r="UPB22" s="88"/>
      <c r="UPC22" s="90"/>
      <c r="UPD22" s="148"/>
      <c r="UPE22" s="88"/>
      <c r="UPF22" s="88"/>
      <c r="UPG22" s="90"/>
      <c r="UPH22" s="93"/>
      <c r="UPI22" s="88"/>
      <c r="UPJ22" s="88"/>
      <c r="UPK22" s="91"/>
      <c r="UPL22" s="93"/>
      <c r="UPM22" s="93"/>
      <c r="UPN22" s="88"/>
      <c r="UPO22" s="88"/>
      <c r="UPP22" s="90"/>
      <c r="UPQ22" s="148"/>
      <c r="UPR22" s="88"/>
      <c r="UPS22" s="88"/>
      <c r="UPT22" s="90"/>
      <c r="UPU22" s="93"/>
      <c r="UPV22" s="88"/>
      <c r="UPW22" s="88"/>
      <c r="UPX22" s="91"/>
      <c r="UPY22" s="93"/>
      <c r="UPZ22" s="93"/>
      <c r="UQA22" s="88"/>
      <c r="UQB22" s="88"/>
      <c r="UQC22" s="90"/>
      <c r="UQD22" s="148"/>
      <c r="UQE22" s="88"/>
      <c r="UQF22" s="88"/>
      <c r="UQG22" s="90"/>
      <c r="UQH22" s="93"/>
      <c r="UQI22" s="88"/>
      <c r="UQJ22" s="88"/>
      <c r="UQK22" s="91"/>
      <c r="UQL22" s="93"/>
      <c r="UQM22" s="93"/>
      <c r="UQN22" s="88"/>
      <c r="UQO22" s="88"/>
      <c r="UQP22" s="90"/>
      <c r="UQQ22" s="148"/>
      <c r="UQR22" s="88"/>
      <c r="UQS22" s="88"/>
      <c r="UQT22" s="90"/>
      <c r="UQU22" s="93"/>
      <c r="UQV22" s="88"/>
      <c r="UQW22" s="88"/>
      <c r="UQX22" s="91"/>
      <c r="UQY22" s="93"/>
      <c r="UQZ22" s="93"/>
      <c r="URA22" s="88"/>
      <c r="URB22" s="88"/>
      <c r="URC22" s="90"/>
      <c r="URD22" s="148"/>
      <c r="URE22" s="88"/>
      <c r="URF22" s="88"/>
      <c r="URG22" s="90"/>
      <c r="URH22" s="93"/>
      <c r="URI22" s="88"/>
      <c r="URJ22" s="88"/>
      <c r="URK22" s="91"/>
      <c r="URL22" s="93"/>
      <c r="URM22" s="93"/>
      <c r="URN22" s="88"/>
      <c r="URO22" s="88"/>
      <c r="URP22" s="90"/>
      <c r="URQ22" s="148"/>
      <c r="URR22" s="88"/>
      <c r="URS22" s="88"/>
      <c r="URT22" s="90"/>
      <c r="URU22" s="93"/>
      <c r="URV22" s="88"/>
      <c r="URW22" s="88"/>
      <c r="URX22" s="91"/>
      <c r="URY22" s="93"/>
      <c r="URZ22" s="93"/>
      <c r="USA22" s="88"/>
      <c r="USB22" s="88"/>
      <c r="USC22" s="90"/>
      <c r="USD22" s="148"/>
      <c r="USE22" s="88"/>
      <c r="USF22" s="88"/>
      <c r="USG22" s="90"/>
      <c r="USH22" s="93"/>
      <c r="USI22" s="88"/>
      <c r="USJ22" s="88"/>
      <c r="USK22" s="91"/>
      <c r="USL22" s="93"/>
      <c r="USM22" s="93"/>
      <c r="USN22" s="88"/>
      <c r="USO22" s="88"/>
      <c r="USP22" s="90"/>
      <c r="USQ22" s="148"/>
      <c r="USR22" s="88"/>
      <c r="USS22" s="88"/>
      <c r="UST22" s="90"/>
      <c r="USU22" s="93"/>
      <c r="USV22" s="88"/>
      <c r="USW22" s="88"/>
      <c r="USX22" s="91"/>
      <c r="USY22" s="93"/>
      <c r="USZ22" s="93"/>
      <c r="UTA22" s="88"/>
      <c r="UTB22" s="88"/>
      <c r="UTC22" s="90"/>
      <c r="UTD22" s="148"/>
      <c r="UTE22" s="88"/>
      <c r="UTF22" s="88"/>
      <c r="UTG22" s="90"/>
      <c r="UTH22" s="93"/>
      <c r="UTI22" s="88"/>
      <c r="UTJ22" s="88"/>
      <c r="UTK22" s="91"/>
      <c r="UTL22" s="93"/>
      <c r="UTM22" s="93"/>
      <c r="UTN22" s="88"/>
      <c r="UTO22" s="88"/>
      <c r="UTP22" s="90"/>
      <c r="UTQ22" s="148"/>
      <c r="UTR22" s="88"/>
      <c r="UTS22" s="88"/>
      <c r="UTT22" s="90"/>
      <c r="UTU22" s="93"/>
      <c r="UTV22" s="88"/>
      <c r="UTW22" s="88"/>
      <c r="UTX22" s="91"/>
      <c r="UTY22" s="93"/>
      <c r="UTZ22" s="93"/>
      <c r="UUA22" s="88"/>
      <c r="UUB22" s="88"/>
      <c r="UUC22" s="90"/>
      <c r="UUD22" s="148"/>
      <c r="UUE22" s="88"/>
      <c r="UUF22" s="88"/>
      <c r="UUG22" s="90"/>
      <c r="UUH22" s="93"/>
      <c r="UUI22" s="88"/>
      <c r="UUJ22" s="88"/>
      <c r="UUK22" s="91"/>
      <c r="UUL22" s="93"/>
      <c r="UUM22" s="93"/>
      <c r="UUN22" s="88"/>
      <c r="UUO22" s="88"/>
      <c r="UUP22" s="90"/>
      <c r="UUQ22" s="148"/>
      <c r="UUR22" s="88"/>
      <c r="UUS22" s="88"/>
      <c r="UUT22" s="90"/>
      <c r="UUU22" s="93"/>
      <c r="UUV22" s="88"/>
      <c r="UUW22" s="88"/>
      <c r="UUX22" s="91"/>
      <c r="UUY22" s="93"/>
      <c r="UUZ22" s="93"/>
      <c r="UVA22" s="88"/>
      <c r="UVB22" s="88"/>
      <c r="UVC22" s="90"/>
      <c r="UVD22" s="148"/>
      <c r="UVE22" s="88"/>
      <c r="UVF22" s="88"/>
      <c r="UVG22" s="90"/>
      <c r="UVH22" s="93"/>
      <c r="UVI22" s="88"/>
      <c r="UVJ22" s="88"/>
      <c r="UVK22" s="91"/>
      <c r="UVL22" s="93"/>
      <c r="UVM22" s="93"/>
      <c r="UVN22" s="88"/>
      <c r="UVO22" s="88"/>
      <c r="UVP22" s="90"/>
      <c r="UVQ22" s="148"/>
      <c r="UVR22" s="88"/>
      <c r="UVS22" s="88"/>
      <c r="UVT22" s="90"/>
      <c r="UVU22" s="93"/>
      <c r="UVV22" s="88"/>
      <c r="UVW22" s="88"/>
      <c r="UVX22" s="91"/>
      <c r="UVY22" s="93"/>
      <c r="UVZ22" s="93"/>
      <c r="UWA22" s="88"/>
      <c r="UWB22" s="88"/>
      <c r="UWC22" s="90"/>
      <c r="UWD22" s="148"/>
      <c r="UWE22" s="88"/>
      <c r="UWF22" s="88"/>
      <c r="UWG22" s="90"/>
      <c r="UWH22" s="93"/>
      <c r="UWI22" s="88"/>
      <c r="UWJ22" s="88"/>
      <c r="UWK22" s="91"/>
      <c r="UWL22" s="93"/>
      <c r="UWM22" s="93"/>
      <c r="UWN22" s="88"/>
      <c r="UWO22" s="88"/>
      <c r="UWP22" s="90"/>
      <c r="UWQ22" s="148"/>
      <c r="UWR22" s="88"/>
      <c r="UWS22" s="88"/>
      <c r="UWT22" s="90"/>
      <c r="UWU22" s="93"/>
      <c r="UWV22" s="88"/>
      <c r="UWW22" s="88"/>
      <c r="UWX22" s="91"/>
      <c r="UWY22" s="93"/>
      <c r="UWZ22" s="93"/>
      <c r="UXA22" s="88"/>
      <c r="UXB22" s="88"/>
      <c r="UXC22" s="90"/>
      <c r="UXD22" s="148"/>
      <c r="UXE22" s="88"/>
      <c r="UXF22" s="88"/>
      <c r="UXG22" s="90"/>
      <c r="UXH22" s="93"/>
      <c r="UXI22" s="88"/>
      <c r="UXJ22" s="88"/>
      <c r="UXK22" s="91"/>
      <c r="UXL22" s="93"/>
      <c r="UXM22" s="93"/>
      <c r="UXN22" s="88"/>
      <c r="UXO22" s="88"/>
      <c r="UXP22" s="90"/>
      <c r="UXQ22" s="148"/>
      <c r="UXR22" s="88"/>
      <c r="UXS22" s="88"/>
      <c r="UXT22" s="90"/>
      <c r="UXU22" s="93"/>
      <c r="UXV22" s="88"/>
      <c r="UXW22" s="88"/>
      <c r="UXX22" s="91"/>
      <c r="UXY22" s="93"/>
      <c r="UXZ22" s="93"/>
      <c r="UYA22" s="88"/>
      <c r="UYB22" s="88"/>
      <c r="UYC22" s="90"/>
      <c r="UYD22" s="148"/>
      <c r="UYE22" s="88"/>
      <c r="UYF22" s="88"/>
      <c r="UYG22" s="90"/>
      <c r="UYH22" s="93"/>
      <c r="UYI22" s="88"/>
      <c r="UYJ22" s="88"/>
      <c r="UYK22" s="91"/>
      <c r="UYL22" s="93"/>
      <c r="UYM22" s="93"/>
      <c r="UYN22" s="88"/>
      <c r="UYO22" s="88"/>
      <c r="UYP22" s="90"/>
      <c r="UYQ22" s="148"/>
      <c r="UYR22" s="88"/>
      <c r="UYS22" s="88"/>
      <c r="UYT22" s="90"/>
      <c r="UYU22" s="93"/>
      <c r="UYV22" s="88"/>
      <c r="UYW22" s="88"/>
      <c r="UYX22" s="91"/>
      <c r="UYY22" s="93"/>
      <c r="UYZ22" s="93"/>
      <c r="UZA22" s="88"/>
      <c r="UZB22" s="88"/>
      <c r="UZC22" s="90"/>
      <c r="UZD22" s="148"/>
      <c r="UZE22" s="88"/>
      <c r="UZF22" s="88"/>
      <c r="UZG22" s="90"/>
      <c r="UZH22" s="93"/>
      <c r="UZI22" s="88"/>
      <c r="UZJ22" s="88"/>
      <c r="UZK22" s="91"/>
      <c r="UZL22" s="93"/>
      <c r="UZM22" s="93"/>
      <c r="UZN22" s="88"/>
      <c r="UZO22" s="88"/>
      <c r="UZP22" s="90"/>
      <c r="UZQ22" s="148"/>
      <c r="UZR22" s="88"/>
      <c r="UZS22" s="88"/>
      <c r="UZT22" s="90"/>
      <c r="UZU22" s="93"/>
      <c r="UZV22" s="88"/>
      <c r="UZW22" s="88"/>
      <c r="UZX22" s="91"/>
      <c r="UZY22" s="93"/>
      <c r="UZZ22" s="93"/>
      <c r="VAA22" s="88"/>
      <c r="VAB22" s="88"/>
      <c r="VAC22" s="90"/>
      <c r="VAD22" s="148"/>
      <c r="VAE22" s="88"/>
      <c r="VAF22" s="88"/>
      <c r="VAG22" s="90"/>
      <c r="VAH22" s="93"/>
      <c r="VAI22" s="88"/>
      <c r="VAJ22" s="88"/>
      <c r="VAK22" s="91"/>
      <c r="VAL22" s="93"/>
      <c r="VAM22" s="93"/>
      <c r="VAN22" s="88"/>
      <c r="VAO22" s="88"/>
      <c r="VAP22" s="90"/>
      <c r="VAQ22" s="148"/>
      <c r="VAR22" s="88"/>
      <c r="VAS22" s="88"/>
      <c r="VAT22" s="90"/>
      <c r="VAU22" s="93"/>
      <c r="VAV22" s="88"/>
      <c r="VAW22" s="88"/>
      <c r="VAX22" s="91"/>
      <c r="VAY22" s="93"/>
      <c r="VAZ22" s="93"/>
      <c r="VBA22" s="88"/>
      <c r="VBB22" s="88"/>
      <c r="VBC22" s="90"/>
      <c r="VBD22" s="148"/>
      <c r="VBE22" s="88"/>
      <c r="VBF22" s="88"/>
      <c r="VBG22" s="90"/>
      <c r="VBH22" s="93"/>
      <c r="VBI22" s="88"/>
      <c r="VBJ22" s="88"/>
      <c r="VBK22" s="91"/>
      <c r="VBL22" s="93"/>
      <c r="VBM22" s="93"/>
      <c r="VBN22" s="88"/>
      <c r="VBO22" s="88"/>
      <c r="VBP22" s="90"/>
      <c r="VBQ22" s="148"/>
      <c r="VBR22" s="88"/>
      <c r="VBS22" s="88"/>
      <c r="VBT22" s="90"/>
      <c r="VBU22" s="93"/>
      <c r="VBV22" s="88"/>
      <c r="VBW22" s="88"/>
      <c r="VBX22" s="91"/>
      <c r="VBY22" s="93"/>
      <c r="VBZ22" s="93"/>
      <c r="VCA22" s="88"/>
      <c r="VCB22" s="88"/>
      <c r="VCC22" s="90"/>
      <c r="VCD22" s="148"/>
      <c r="VCE22" s="88"/>
      <c r="VCF22" s="88"/>
      <c r="VCG22" s="90"/>
      <c r="VCH22" s="93"/>
      <c r="VCI22" s="88"/>
      <c r="VCJ22" s="88"/>
      <c r="VCK22" s="91"/>
      <c r="VCL22" s="93"/>
      <c r="VCM22" s="93"/>
      <c r="VCN22" s="88"/>
      <c r="VCO22" s="88"/>
      <c r="VCP22" s="90"/>
      <c r="VCQ22" s="148"/>
      <c r="VCR22" s="88"/>
      <c r="VCS22" s="88"/>
      <c r="VCT22" s="90"/>
      <c r="VCU22" s="93"/>
      <c r="VCV22" s="88"/>
      <c r="VCW22" s="88"/>
      <c r="VCX22" s="91"/>
      <c r="VCY22" s="93"/>
      <c r="VCZ22" s="93"/>
      <c r="VDA22" s="88"/>
      <c r="VDB22" s="88"/>
      <c r="VDC22" s="90"/>
      <c r="VDD22" s="148"/>
      <c r="VDE22" s="88"/>
      <c r="VDF22" s="88"/>
      <c r="VDG22" s="90"/>
      <c r="VDH22" s="93"/>
      <c r="VDI22" s="88"/>
      <c r="VDJ22" s="88"/>
      <c r="VDK22" s="91"/>
      <c r="VDL22" s="93"/>
      <c r="VDM22" s="93"/>
      <c r="VDN22" s="88"/>
      <c r="VDO22" s="88"/>
      <c r="VDP22" s="90"/>
      <c r="VDQ22" s="148"/>
      <c r="VDR22" s="88"/>
      <c r="VDS22" s="88"/>
      <c r="VDT22" s="90"/>
      <c r="VDU22" s="93"/>
      <c r="VDV22" s="88"/>
      <c r="VDW22" s="88"/>
      <c r="VDX22" s="91"/>
      <c r="VDY22" s="93"/>
      <c r="VDZ22" s="93"/>
      <c r="VEA22" s="88"/>
      <c r="VEB22" s="88"/>
      <c r="VEC22" s="90"/>
      <c r="VED22" s="148"/>
      <c r="VEE22" s="88"/>
      <c r="VEF22" s="88"/>
      <c r="VEG22" s="90"/>
      <c r="VEH22" s="93"/>
      <c r="VEI22" s="88"/>
      <c r="VEJ22" s="88"/>
      <c r="VEK22" s="91"/>
      <c r="VEL22" s="93"/>
      <c r="VEM22" s="93"/>
      <c r="VEN22" s="88"/>
      <c r="VEO22" s="88"/>
      <c r="VEP22" s="90"/>
      <c r="VEQ22" s="148"/>
      <c r="VER22" s="88"/>
      <c r="VES22" s="88"/>
      <c r="VET22" s="90"/>
      <c r="VEU22" s="93"/>
      <c r="VEV22" s="88"/>
      <c r="VEW22" s="88"/>
      <c r="VEX22" s="91"/>
      <c r="VEY22" s="93"/>
      <c r="VEZ22" s="93"/>
      <c r="VFA22" s="88"/>
      <c r="VFB22" s="88"/>
      <c r="VFC22" s="90"/>
      <c r="VFD22" s="148"/>
      <c r="VFE22" s="88"/>
      <c r="VFF22" s="88"/>
      <c r="VFG22" s="90"/>
      <c r="VFH22" s="93"/>
      <c r="VFI22" s="88"/>
      <c r="VFJ22" s="88"/>
      <c r="VFK22" s="91"/>
      <c r="VFL22" s="93"/>
      <c r="VFM22" s="93"/>
      <c r="VFN22" s="88"/>
      <c r="VFO22" s="88"/>
      <c r="VFP22" s="90"/>
      <c r="VFQ22" s="148"/>
      <c r="VFR22" s="88"/>
      <c r="VFS22" s="88"/>
      <c r="VFT22" s="90"/>
      <c r="VFU22" s="93"/>
      <c r="VFV22" s="88"/>
      <c r="VFW22" s="88"/>
      <c r="VFX22" s="91"/>
      <c r="VFY22" s="93"/>
      <c r="VFZ22" s="93"/>
      <c r="VGA22" s="88"/>
      <c r="VGB22" s="88"/>
      <c r="VGC22" s="90"/>
      <c r="VGD22" s="148"/>
      <c r="VGE22" s="88"/>
      <c r="VGF22" s="88"/>
      <c r="VGG22" s="90"/>
      <c r="VGH22" s="93"/>
      <c r="VGI22" s="88"/>
      <c r="VGJ22" s="88"/>
      <c r="VGK22" s="91"/>
      <c r="VGL22" s="93"/>
      <c r="VGM22" s="93"/>
      <c r="VGN22" s="88"/>
      <c r="VGO22" s="88"/>
      <c r="VGP22" s="90"/>
      <c r="VGQ22" s="148"/>
      <c r="VGR22" s="88"/>
      <c r="VGS22" s="88"/>
      <c r="VGT22" s="90"/>
      <c r="VGU22" s="93"/>
      <c r="VGV22" s="88"/>
      <c r="VGW22" s="88"/>
      <c r="VGX22" s="91"/>
      <c r="VGY22" s="93"/>
      <c r="VGZ22" s="93"/>
      <c r="VHA22" s="88"/>
      <c r="VHB22" s="88"/>
      <c r="VHC22" s="90"/>
      <c r="VHD22" s="148"/>
      <c r="VHE22" s="88"/>
      <c r="VHF22" s="88"/>
      <c r="VHG22" s="90"/>
      <c r="VHH22" s="93"/>
      <c r="VHI22" s="88"/>
      <c r="VHJ22" s="88"/>
      <c r="VHK22" s="91"/>
      <c r="VHL22" s="93"/>
      <c r="VHM22" s="93"/>
      <c r="VHN22" s="88"/>
      <c r="VHO22" s="88"/>
      <c r="VHP22" s="90"/>
      <c r="VHQ22" s="148"/>
      <c r="VHR22" s="88"/>
      <c r="VHS22" s="88"/>
      <c r="VHT22" s="90"/>
      <c r="VHU22" s="93"/>
      <c r="VHV22" s="88"/>
      <c r="VHW22" s="88"/>
      <c r="VHX22" s="91"/>
      <c r="VHY22" s="93"/>
      <c r="VHZ22" s="93"/>
      <c r="VIA22" s="88"/>
      <c r="VIB22" s="88"/>
      <c r="VIC22" s="90"/>
      <c r="VID22" s="148"/>
      <c r="VIE22" s="88"/>
      <c r="VIF22" s="88"/>
      <c r="VIG22" s="90"/>
      <c r="VIH22" s="93"/>
      <c r="VII22" s="88"/>
      <c r="VIJ22" s="88"/>
      <c r="VIK22" s="91"/>
      <c r="VIL22" s="93"/>
      <c r="VIM22" s="93"/>
      <c r="VIN22" s="88"/>
      <c r="VIO22" s="88"/>
      <c r="VIP22" s="90"/>
      <c r="VIQ22" s="148"/>
      <c r="VIR22" s="88"/>
      <c r="VIS22" s="88"/>
      <c r="VIT22" s="90"/>
      <c r="VIU22" s="93"/>
      <c r="VIV22" s="88"/>
      <c r="VIW22" s="88"/>
      <c r="VIX22" s="91"/>
      <c r="VIY22" s="93"/>
      <c r="VIZ22" s="93"/>
      <c r="VJA22" s="88"/>
      <c r="VJB22" s="88"/>
      <c r="VJC22" s="90"/>
      <c r="VJD22" s="148"/>
      <c r="VJE22" s="88"/>
      <c r="VJF22" s="88"/>
      <c r="VJG22" s="90"/>
      <c r="VJH22" s="93"/>
      <c r="VJI22" s="88"/>
      <c r="VJJ22" s="88"/>
      <c r="VJK22" s="91"/>
      <c r="VJL22" s="93"/>
      <c r="VJM22" s="93"/>
      <c r="VJN22" s="88"/>
      <c r="VJO22" s="88"/>
      <c r="VJP22" s="90"/>
      <c r="VJQ22" s="148"/>
      <c r="VJR22" s="88"/>
      <c r="VJS22" s="88"/>
      <c r="VJT22" s="90"/>
      <c r="VJU22" s="93"/>
      <c r="VJV22" s="88"/>
      <c r="VJW22" s="88"/>
      <c r="VJX22" s="91"/>
      <c r="VJY22" s="93"/>
      <c r="VJZ22" s="93"/>
      <c r="VKA22" s="88"/>
      <c r="VKB22" s="88"/>
      <c r="VKC22" s="90"/>
      <c r="VKD22" s="148"/>
      <c r="VKE22" s="88"/>
      <c r="VKF22" s="88"/>
      <c r="VKG22" s="90"/>
      <c r="VKH22" s="93"/>
      <c r="VKI22" s="88"/>
      <c r="VKJ22" s="88"/>
      <c r="VKK22" s="91"/>
      <c r="VKL22" s="93"/>
      <c r="VKM22" s="93"/>
      <c r="VKN22" s="88"/>
      <c r="VKO22" s="88"/>
      <c r="VKP22" s="90"/>
      <c r="VKQ22" s="148"/>
      <c r="VKR22" s="88"/>
      <c r="VKS22" s="88"/>
      <c r="VKT22" s="90"/>
      <c r="VKU22" s="93"/>
      <c r="VKV22" s="88"/>
      <c r="VKW22" s="88"/>
      <c r="VKX22" s="91"/>
      <c r="VKY22" s="93"/>
      <c r="VKZ22" s="93"/>
      <c r="VLA22" s="88"/>
      <c r="VLB22" s="88"/>
      <c r="VLC22" s="90"/>
      <c r="VLD22" s="148"/>
      <c r="VLE22" s="88"/>
      <c r="VLF22" s="88"/>
      <c r="VLG22" s="90"/>
      <c r="VLH22" s="93"/>
      <c r="VLI22" s="88"/>
      <c r="VLJ22" s="88"/>
      <c r="VLK22" s="91"/>
      <c r="VLL22" s="93"/>
      <c r="VLM22" s="93"/>
      <c r="VLN22" s="88"/>
      <c r="VLO22" s="88"/>
      <c r="VLP22" s="90"/>
      <c r="VLQ22" s="148"/>
      <c r="VLR22" s="88"/>
      <c r="VLS22" s="88"/>
      <c r="VLT22" s="90"/>
      <c r="VLU22" s="93"/>
      <c r="VLV22" s="88"/>
      <c r="VLW22" s="88"/>
      <c r="VLX22" s="91"/>
      <c r="VLY22" s="93"/>
      <c r="VLZ22" s="93"/>
      <c r="VMA22" s="88"/>
      <c r="VMB22" s="88"/>
      <c r="VMC22" s="90"/>
      <c r="VMD22" s="148"/>
      <c r="VME22" s="88"/>
      <c r="VMF22" s="88"/>
      <c r="VMG22" s="90"/>
      <c r="VMH22" s="93"/>
      <c r="VMI22" s="88"/>
      <c r="VMJ22" s="88"/>
      <c r="VMK22" s="91"/>
      <c r="VML22" s="93"/>
      <c r="VMM22" s="93"/>
      <c r="VMN22" s="88"/>
      <c r="VMO22" s="88"/>
      <c r="VMP22" s="90"/>
      <c r="VMQ22" s="148"/>
      <c r="VMR22" s="88"/>
      <c r="VMS22" s="88"/>
      <c r="VMT22" s="90"/>
      <c r="VMU22" s="93"/>
      <c r="VMV22" s="88"/>
      <c r="VMW22" s="88"/>
      <c r="VMX22" s="91"/>
      <c r="VMY22" s="93"/>
      <c r="VMZ22" s="93"/>
      <c r="VNA22" s="88"/>
      <c r="VNB22" s="88"/>
      <c r="VNC22" s="90"/>
      <c r="VND22" s="148"/>
      <c r="VNE22" s="88"/>
      <c r="VNF22" s="88"/>
      <c r="VNG22" s="90"/>
      <c r="VNH22" s="93"/>
      <c r="VNI22" s="88"/>
      <c r="VNJ22" s="88"/>
      <c r="VNK22" s="91"/>
      <c r="VNL22" s="93"/>
      <c r="VNM22" s="93"/>
      <c r="VNN22" s="88"/>
      <c r="VNO22" s="88"/>
      <c r="VNP22" s="90"/>
      <c r="VNQ22" s="148"/>
      <c r="VNR22" s="88"/>
      <c r="VNS22" s="88"/>
      <c r="VNT22" s="90"/>
      <c r="VNU22" s="93"/>
      <c r="VNV22" s="88"/>
      <c r="VNW22" s="88"/>
      <c r="VNX22" s="91"/>
      <c r="VNY22" s="93"/>
      <c r="VNZ22" s="93"/>
      <c r="VOA22" s="88"/>
      <c r="VOB22" s="88"/>
      <c r="VOC22" s="90"/>
      <c r="VOD22" s="148"/>
      <c r="VOE22" s="88"/>
      <c r="VOF22" s="88"/>
      <c r="VOG22" s="90"/>
      <c r="VOH22" s="93"/>
      <c r="VOI22" s="88"/>
      <c r="VOJ22" s="88"/>
      <c r="VOK22" s="91"/>
      <c r="VOL22" s="93"/>
      <c r="VOM22" s="93"/>
      <c r="VON22" s="88"/>
      <c r="VOO22" s="88"/>
      <c r="VOP22" s="90"/>
      <c r="VOQ22" s="148"/>
      <c r="VOR22" s="88"/>
      <c r="VOS22" s="88"/>
      <c r="VOT22" s="90"/>
      <c r="VOU22" s="93"/>
      <c r="VOV22" s="88"/>
      <c r="VOW22" s="88"/>
      <c r="VOX22" s="91"/>
      <c r="VOY22" s="93"/>
      <c r="VOZ22" s="93"/>
      <c r="VPA22" s="88"/>
      <c r="VPB22" s="88"/>
      <c r="VPC22" s="90"/>
      <c r="VPD22" s="148"/>
      <c r="VPE22" s="88"/>
      <c r="VPF22" s="88"/>
      <c r="VPG22" s="90"/>
      <c r="VPH22" s="93"/>
      <c r="VPI22" s="88"/>
      <c r="VPJ22" s="88"/>
      <c r="VPK22" s="91"/>
      <c r="VPL22" s="93"/>
      <c r="VPM22" s="93"/>
      <c r="VPN22" s="88"/>
      <c r="VPO22" s="88"/>
      <c r="VPP22" s="90"/>
      <c r="VPQ22" s="148"/>
      <c r="VPR22" s="88"/>
      <c r="VPS22" s="88"/>
      <c r="VPT22" s="90"/>
      <c r="VPU22" s="93"/>
      <c r="VPV22" s="88"/>
      <c r="VPW22" s="88"/>
      <c r="VPX22" s="91"/>
      <c r="VPY22" s="93"/>
      <c r="VPZ22" s="93"/>
      <c r="VQA22" s="88"/>
      <c r="VQB22" s="88"/>
      <c r="VQC22" s="90"/>
      <c r="VQD22" s="148"/>
      <c r="VQE22" s="88"/>
      <c r="VQF22" s="88"/>
      <c r="VQG22" s="90"/>
      <c r="VQH22" s="93"/>
      <c r="VQI22" s="88"/>
      <c r="VQJ22" s="88"/>
      <c r="VQK22" s="91"/>
      <c r="VQL22" s="93"/>
      <c r="VQM22" s="93"/>
      <c r="VQN22" s="88"/>
      <c r="VQO22" s="88"/>
      <c r="VQP22" s="90"/>
      <c r="VQQ22" s="148"/>
      <c r="VQR22" s="88"/>
      <c r="VQS22" s="88"/>
      <c r="VQT22" s="90"/>
      <c r="VQU22" s="93"/>
      <c r="VQV22" s="88"/>
      <c r="VQW22" s="88"/>
      <c r="VQX22" s="91"/>
      <c r="VQY22" s="93"/>
      <c r="VQZ22" s="93"/>
      <c r="VRA22" s="88"/>
      <c r="VRB22" s="88"/>
      <c r="VRC22" s="90"/>
      <c r="VRD22" s="148"/>
      <c r="VRE22" s="88"/>
      <c r="VRF22" s="88"/>
      <c r="VRG22" s="90"/>
      <c r="VRH22" s="93"/>
      <c r="VRI22" s="88"/>
      <c r="VRJ22" s="88"/>
      <c r="VRK22" s="91"/>
      <c r="VRL22" s="93"/>
      <c r="VRM22" s="93"/>
      <c r="VRN22" s="88"/>
      <c r="VRO22" s="88"/>
      <c r="VRP22" s="90"/>
      <c r="VRQ22" s="148"/>
      <c r="VRR22" s="88"/>
      <c r="VRS22" s="88"/>
      <c r="VRT22" s="90"/>
      <c r="VRU22" s="93"/>
      <c r="VRV22" s="88"/>
      <c r="VRW22" s="88"/>
      <c r="VRX22" s="91"/>
      <c r="VRY22" s="93"/>
      <c r="VRZ22" s="93"/>
      <c r="VSA22" s="88"/>
      <c r="VSB22" s="88"/>
      <c r="VSC22" s="90"/>
      <c r="VSD22" s="148"/>
      <c r="VSE22" s="88"/>
      <c r="VSF22" s="88"/>
      <c r="VSG22" s="90"/>
      <c r="VSH22" s="93"/>
      <c r="VSI22" s="88"/>
      <c r="VSJ22" s="88"/>
      <c r="VSK22" s="91"/>
      <c r="VSL22" s="93"/>
      <c r="VSM22" s="93"/>
      <c r="VSN22" s="88"/>
      <c r="VSO22" s="88"/>
      <c r="VSP22" s="90"/>
      <c r="VSQ22" s="148"/>
      <c r="VSR22" s="88"/>
      <c r="VSS22" s="88"/>
      <c r="VST22" s="90"/>
      <c r="VSU22" s="93"/>
      <c r="VSV22" s="88"/>
      <c r="VSW22" s="88"/>
      <c r="VSX22" s="91"/>
      <c r="VSY22" s="93"/>
      <c r="VSZ22" s="93"/>
      <c r="VTA22" s="88"/>
      <c r="VTB22" s="88"/>
      <c r="VTC22" s="90"/>
      <c r="VTD22" s="148"/>
      <c r="VTE22" s="88"/>
      <c r="VTF22" s="88"/>
      <c r="VTG22" s="90"/>
      <c r="VTH22" s="93"/>
      <c r="VTI22" s="88"/>
      <c r="VTJ22" s="88"/>
      <c r="VTK22" s="91"/>
      <c r="VTL22" s="93"/>
      <c r="VTM22" s="93"/>
      <c r="VTN22" s="88"/>
      <c r="VTO22" s="88"/>
      <c r="VTP22" s="90"/>
      <c r="VTQ22" s="148"/>
      <c r="VTR22" s="88"/>
      <c r="VTS22" s="88"/>
      <c r="VTT22" s="90"/>
      <c r="VTU22" s="93"/>
      <c r="VTV22" s="88"/>
      <c r="VTW22" s="88"/>
      <c r="VTX22" s="91"/>
      <c r="VTY22" s="93"/>
      <c r="VTZ22" s="93"/>
      <c r="VUA22" s="88"/>
      <c r="VUB22" s="88"/>
      <c r="VUC22" s="90"/>
      <c r="VUD22" s="148"/>
      <c r="VUE22" s="88"/>
      <c r="VUF22" s="88"/>
      <c r="VUG22" s="90"/>
      <c r="VUH22" s="93"/>
      <c r="VUI22" s="88"/>
      <c r="VUJ22" s="88"/>
      <c r="VUK22" s="91"/>
      <c r="VUL22" s="93"/>
      <c r="VUM22" s="93"/>
      <c r="VUN22" s="88"/>
      <c r="VUO22" s="88"/>
      <c r="VUP22" s="90"/>
      <c r="VUQ22" s="148"/>
      <c r="VUR22" s="88"/>
      <c r="VUS22" s="88"/>
      <c r="VUT22" s="90"/>
      <c r="VUU22" s="93"/>
      <c r="VUV22" s="88"/>
      <c r="VUW22" s="88"/>
      <c r="VUX22" s="91"/>
      <c r="VUY22" s="93"/>
      <c r="VUZ22" s="93"/>
      <c r="VVA22" s="88"/>
      <c r="VVB22" s="88"/>
      <c r="VVC22" s="90"/>
      <c r="VVD22" s="148"/>
      <c r="VVE22" s="88"/>
      <c r="VVF22" s="88"/>
      <c r="VVG22" s="90"/>
      <c r="VVH22" s="93"/>
      <c r="VVI22" s="88"/>
      <c r="VVJ22" s="88"/>
      <c r="VVK22" s="91"/>
      <c r="VVL22" s="93"/>
      <c r="VVM22" s="93"/>
      <c r="VVN22" s="88"/>
      <c r="VVO22" s="88"/>
      <c r="VVP22" s="90"/>
      <c r="VVQ22" s="148"/>
      <c r="VVR22" s="88"/>
      <c r="VVS22" s="88"/>
      <c r="VVT22" s="90"/>
      <c r="VVU22" s="93"/>
      <c r="VVV22" s="88"/>
      <c r="VVW22" s="88"/>
      <c r="VVX22" s="91"/>
      <c r="VVY22" s="93"/>
      <c r="VVZ22" s="93"/>
      <c r="VWA22" s="88"/>
      <c r="VWB22" s="88"/>
      <c r="VWC22" s="90"/>
      <c r="VWD22" s="148"/>
      <c r="VWE22" s="88"/>
      <c r="VWF22" s="88"/>
      <c r="VWG22" s="90"/>
      <c r="VWH22" s="93"/>
      <c r="VWI22" s="88"/>
      <c r="VWJ22" s="88"/>
      <c r="VWK22" s="91"/>
      <c r="VWL22" s="93"/>
      <c r="VWM22" s="93"/>
      <c r="VWN22" s="88"/>
      <c r="VWO22" s="88"/>
      <c r="VWP22" s="90"/>
      <c r="VWQ22" s="148"/>
      <c r="VWR22" s="88"/>
      <c r="VWS22" s="88"/>
      <c r="VWT22" s="90"/>
      <c r="VWU22" s="93"/>
      <c r="VWV22" s="88"/>
      <c r="VWW22" s="88"/>
      <c r="VWX22" s="91"/>
      <c r="VWY22" s="93"/>
      <c r="VWZ22" s="93"/>
      <c r="VXA22" s="88"/>
      <c r="VXB22" s="88"/>
      <c r="VXC22" s="90"/>
      <c r="VXD22" s="148"/>
      <c r="VXE22" s="88"/>
      <c r="VXF22" s="88"/>
      <c r="VXG22" s="90"/>
      <c r="VXH22" s="93"/>
      <c r="VXI22" s="88"/>
      <c r="VXJ22" s="88"/>
      <c r="VXK22" s="91"/>
      <c r="VXL22" s="93"/>
      <c r="VXM22" s="93"/>
      <c r="VXN22" s="88"/>
      <c r="VXO22" s="88"/>
      <c r="VXP22" s="90"/>
      <c r="VXQ22" s="148"/>
      <c r="VXR22" s="88"/>
      <c r="VXS22" s="88"/>
      <c r="VXT22" s="90"/>
      <c r="VXU22" s="93"/>
      <c r="VXV22" s="88"/>
      <c r="VXW22" s="88"/>
      <c r="VXX22" s="91"/>
      <c r="VXY22" s="93"/>
      <c r="VXZ22" s="93"/>
      <c r="VYA22" s="88"/>
      <c r="VYB22" s="88"/>
      <c r="VYC22" s="90"/>
      <c r="VYD22" s="148"/>
      <c r="VYE22" s="88"/>
      <c r="VYF22" s="88"/>
      <c r="VYG22" s="90"/>
      <c r="VYH22" s="93"/>
      <c r="VYI22" s="88"/>
      <c r="VYJ22" s="88"/>
      <c r="VYK22" s="91"/>
      <c r="VYL22" s="93"/>
      <c r="VYM22" s="93"/>
      <c r="VYN22" s="88"/>
      <c r="VYO22" s="88"/>
      <c r="VYP22" s="90"/>
      <c r="VYQ22" s="148"/>
      <c r="VYR22" s="88"/>
      <c r="VYS22" s="88"/>
      <c r="VYT22" s="90"/>
      <c r="VYU22" s="93"/>
      <c r="VYV22" s="88"/>
      <c r="VYW22" s="88"/>
      <c r="VYX22" s="91"/>
      <c r="VYY22" s="93"/>
      <c r="VYZ22" s="93"/>
      <c r="VZA22" s="88"/>
      <c r="VZB22" s="88"/>
      <c r="VZC22" s="90"/>
      <c r="VZD22" s="148"/>
      <c r="VZE22" s="88"/>
      <c r="VZF22" s="88"/>
      <c r="VZG22" s="90"/>
      <c r="VZH22" s="93"/>
      <c r="VZI22" s="88"/>
      <c r="VZJ22" s="88"/>
      <c r="VZK22" s="91"/>
      <c r="VZL22" s="93"/>
      <c r="VZM22" s="93"/>
      <c r="VZN22" s="88"/>
      <c r="VZO22" s="88"/>
      <c r="VZP22" s="90"/>
      <c r="VZQ22" s="148"/>
      <c r="VZR22" s="88"/>
      <c r="VZS22" s="88"/>
      <c r="VZT22" s="90"/>
      <c r="VZU22" s="93"/>
      <c r="VZV22" s="88"/>
      <c r="VZW22" s="88"/>
      <c r="VZX22" s="91"/>
      <c r="VZY22" s="93"/>
      <c r="VZZ22" s="93"/>
      <c r="WAA22" s="88"/>
      <c r="WAB22" s="88"/>
      <c r="WAC22" s="90"/>
      <c r="WAD22" s="148"/>
      <c r="WAE22" s="88"/>
      <c r="WAF22" s="88"/>
      <c r="WAG22" s="90"/>
      <c r="WAH22" s="93"/>
      <c r="WAI22" s="88"/>
      <c r="WAJ22" s="88"/>
      <c r="WAK22" s="91"/>
      <c r="WAL22" s="93"/>
      <c r="WAM22" s="93"/>
      <c r="WAN22" s="88"/>
      <c r="WAO22" s="88"/>
      <c r="WAP22" s="90"/>
      <c r="WAQ22" s="148"/>
      <c r="WAR22" s="88"/>
      <c r="WAS22" s="88"/>
      <c r="WAT22" s="90"/>
      <c r="WAU22" s="93"/>
      <c r="WAV22" s="88"/>
      <c r="WAW22" s="88"/>
      <c r="WAX22" s="91"/>
      <c r="WAY22" s="93"/>
      <c r="WAZ22" s="93"/>
      <c r="WBA22" s="88"/>
      <c r="WBB22" s="88"/>
      <c r="WBC22" s="90"/>
      <c r="WBD22" s="148"/>
      <c r="WBE22" s="88"/>
      <c r="WBF22" s="88"/>
      <c r="WBG22" s="90"/>
      <c r="WBH22" s="93"/>
      <c r="WBI22" s="88"/>
      <c r="WBJ22" s="88"/>
      <c r="WBK22" s="91"/>
      <c r="WBL22" s="93"/>
      <c r="WBM22" s="93"/>
      <c r="WBN22" s="88"/>
      <c r="WBO22" s="88"/>
      <c r="WBP22" s="90"/>
      <c r="WBQ22" s="148"/>
      <c r="WBR22" s="88"/>
      <c r="WBS22" s="88"/>
      <c r="WBT22" s="90"/>
      <c r="WBU22" s="93"/>
      <c r="WBV22" s="88"/>
      <c r="WBW22" s="88"/>
      <c r="WBX22" s="91"/>
      <c r="WBY22" s="93"/>
      <c r="WBZ22" s="93"/>
      <c r="WCA22" s="88"/>
      <c r="WCB22" s="88"/>
      <c r="WCC22" s="90"/>
      <c r="WCD22" s="148"/>
      <c r="WCE22" s="88"/>
      <c r="WCF22" s="88"/>
      <c r="WCG22" s="90"/>
      <c r="WCH22" s="93"/>
      <c r="WCI22" s="88"/>
      <c r="WCJ22" s="88"/>
      <c r="WCK22" s="91"/>
      <c r="WCL22" s="93"/>
      <c r="WCM22" s="93"/>
      <c r="WCN22" s="88"/>
      <c r="WCO22" s="88"/>
      <c r="WCP22" s="90"/>
      <c r="WCQ22" s="148"/>
      <c r="WCR22" s="88"/>
      <c r="WCS22" s="88"/>
      <c r="WCT22" s="90"/>
      <c r="WCU22" s="93"/>
      <c r="WCV22" s="88"/>
      <c r="WCW22" s="88"/>
      <c r="WCX22" s="91"/>
      <c r="WCY22" s="93"/>
      <c r="WCZ22" s="93"/>
      <c r="WDA22" s="88"/>
      <c r="WDB22" s="88"/>
      <c r="WDC22" s="90"/>
      <c r="WDD22" s="148"/>
      <c r="WDE22" s="88"/>
      <c r="WDF22" s="88"/>
      <c r="WDG22" s="90"/>
      <c r="WDH22" s="93"/>
      <c r="WDI22" s="88"/>
      <c r="WDJ22" s="88"/>
      <c r="WDK22" s="91"/>
      <c r="WDL22" s="93"/>
      <c r="WDM22" s="93"/>
      <c r="WDN22" s="88"/>
      <c r="WDO22" s="88"/>
      <c r="WDP22" s="90"/>
      <c r="WDQ22" s="148"/>
      <c r="WDR22" s="88"/>
      <c r="WDS22" s="88"/>
      <c r="WDT22" s="90"/>
      <c r="WDU22" s="93"/>
      <c r="WDV22" s="88"/>
      <c r="WDW22" s="88"/>
      <c r="WDX22" s="91"/>
      <c r="WDY22" s="93"/>
      <c r="WDZ22" s="93"/>
      <c r="WEA22" s="88"/>
      <c r="WEB22" s="88"/>
      <c r="WEC22" s="90"/>
      <c r="WED22" s="148"/>
      <c r="WEE22" s="88"/>
      <c r="WEF22" s="88"/>
      <c r="WEG22" s="90"/>
      <c r="WEH22" s="93"/>
      <c r="WEI22" s="88"/>
      <c r="WEJ22" s="88"/>
      <c r="WEK22" s="91"/>
      <c r="WEL22" s="93"/>
      <c r="WEM22" s="93"/>
      <c r="WEN22" s="88"/>
      <c r="WEO22" s="88"/>
      <c r="WEP22" s="90"/>
      <c r="WEQ22" s="148"/>
      <c r="WER22" s="88"/>
      <c r="WES22" s="88"/>
      <c r="WET22" s="90"/>
      <c r="WEU22" s="93"/>
      <c r="WEV22" s="88"/>
      <c r="WEW22" s="88"/>
      <c r="WEX22" s="91"/>
      <c r="WEY22" s="93"/>
      <c r="WEZ22" s="93"/>
      <c r="WFA22" s="88"/>
      <c r="WFB22" s="88"/>
      <c r="WFC22" s="90"/>
      <c r="WFD22" s="148"/>
      <c r="WFE22" s="88"/>
      <c r="WFF22" s="88"/>
      <c r="WFG22" s="90"/>
      <c r="WFH22" s="93"/>
      <c r="WFI22" s="88"/>
      <c r="WFJ22" s="88"/>
      <c r="WFK22" s="91"/>
      <c r="WFL22" s="93"/>
      <c r="WFM22" s="93"/>
      <c r="WFN22" s="88"/>
      <c r="WFO22" s="88"/>
      <c r="WFP22" s="90"/>
      <c r="WFQ22" s="148"/>
      <c r="WFR22" s="88"/>
      <c r="WFS22" s="88"/>
      <c r="WFT22" s="90"/>
      <c r="WFU22" s="93"/>
      <c r="WFV22" s="88"/>
      <c r="WFW22" s="88"/>
      <c r="WFX22" s="91"/>
      <c r="WFY22" s="93"/>
      <c r="WFZ22" s="93"/>
      <c r="WGA22" s="88"/>
      <c r="WGB22" s="88"/>
      <c r="WGC22" s="90"/>
      <c r="WGD22" s="148"/>
      <c r="WGE22" s="88"/>
      <c r="WGF22" s="88"/>
      <c r="WGG22" s="90"/>
      <c r="WGH22" s="93"/>
      <c r="WGI22" s="88"/>
      <c r="WGJ22" s="88"/>
      <c r="WGK22" s="91"/>
      <c r="WGL22" s="93"/>
      <c r="WGM22" s="93"/>
      <c r="WGN22" s="88"/>
      <c r="WGO22" s="88"/>
      <c r="WGP22" s="90"/>
      <c r="WGQ22" s="148"/>
      <c r="WGR22" s="88"/>
      <c r="WGS22" s="88"/>
      <c r="WGT22" s="90"/>
      <c r="WGU22" s="93"/>
      <c r="WGV22" s="88"/>
      <c r="WGW22" s="88"/>
      <c r="WGX22" s="91"/>
      <c r="WGY22" s="93"/>
      <c r="WGZ22" s="93"/>
      <c r="WHA22" s="88"/>
      <c r="WHB22" s="88"/>
      <c r="WHC22" s="90"/>
      <c r="WHD22" s="148"/>
      <c r="WHE22" s="88"/>
      <c r="WHF22" s="88"/>
      <c r="WHG22" s="90"/>
      <c r="WHH22" s="93"/>
      <c r="WHI22" s="88"/>
      <c r="WHJ22" s="88"/>
      <c r="WHK22" s="91"/>
      <c r="WHL22" s="93"/>
      <c r="WHM22" s="93"/>
      <c r="WHN22" s="88"/>
      <c r="WHO22" s="88"/>
      <c r="WHP22" s="90"/>
      <c r="WHQ22" s="148"/>
      <c r="WHR22" s="88"/>
      <c r="WHS22" s="88"/>
      <c r="WHT22" s="90"/>
      <c r="WHU22" s="93"/>
      <c r="WHV22" s="88"/>
      <c r="WHW22" s="88"/>
      <c r="WHX22" s="91"/>
      <c r="WHY22" s="93"/>
      <c r="WHZ22" s="93"/>
      <c r="WIA22" s="88"/>
      <c r="WIB22" s="88"/>
      <c r="WIC22" s="90"/>
      <c r="WID22" s="148"/>
      <c r="WIE22" s="88"/>
      <c r="WIF22" s="88"/>
      <c r="WIG22" s="90"/>
      <c r="WIH22" s="93"/>
      <c r="WII22" s="88"/>
      <c r="WIJ22" s="88"/>
      <c r="WIK22" s="91"/>
      <c r="WIL22" s="93"/>
      <c r="WIM22" s="93"/>
      <c r="WIN22" s="88"/>
      <c r="WIO22" s="88"/>
      <c r="WIP22" s="90"/>
      <c r="WIQ22" s="148"/>
      <c r="WIR22" s="88"/>
      <c r="WIS22" s="88"/>
      <c r="WIT22" s="90"/>
      <c r="WIU22" s="93"/>
      <c r="WIV22" s="88"/>
      <c r="WIW22" s="88"/>
      <c r="WIX22" s="91"/>
      <c r="WIY22" s="93"/>
      <c r="WIZ22" s="93"/>
      <c r="WJA22" s="88"/>
      <c r="WJB22" s="88"/>
      <c r="WJC22" s="90"/>
      <c r="WJD22" s="148"/>
      <c r="WJE22" s="88"/>
      <c r="WJF22" s="88"/>
      <c r="WJG22" s="90"/>
      <c r="WJH22" s="93"/>
      <c r="WJI22" s="88"/>
      <c r="WJJ22" s="88"/>
      <c r="WJK22" s="91"/>
      <c r="WJL22" s="93"/>
      <c r="WJM22" s="93"/>
      <c r="WJN22" s="88"/>
      <c r="WJO22" s="88"/>
      <c r="WJP22" s="90"/>
      <c r="WJQ22" s="148"/>
      <c r="WJR22" s="88"/>
      <c r="WJS22" s="88"/>
      <c r="WJT22" s="90"/>
      <c r="WJU22" s="93"/>
      <c r="WJV22" s="88"/>
      <c r="WJW22" s="88"/>
      <c r="WJX22" s="91"/>
      <c r="WJY22" s="93"/>
      <c r="WJZ22" s="93"/>
      <c r="WKA22" s="88"/>
      <c r="WKB22" s="88"/>
      <c r="WKC22" s="90"/>
      <c r="WKD22" s="148"/>
      <c r="WKE22" s="88"/>
      <c r="WKF22" s="88"/>
      <c r="WKG22" s="90"/>
      <c r="WKH22" s="93"/>
      <c r="WKI22" s="88"/>
      <c r="WKJ22" s="88"/>
      <c r="WKK22" s="91"/>
      <c r="WKL22" s="93"/>
      <c r="WKM22" s="93"/>
      <c r="WKN22" s="88"/>
      <c r="WKO22" s="88"/>
      <c r="WKP22" s="90"/>
      <c r="WKQ22" s="148"/>
      <c r="WKR22" s="88"/>
      <c r="WKS22" s="88"/>
      <c r="WKT22" s="90"/>
      <c r="WKU22" s="93"/>
      <c r="WKV22" s="88"/>
      <c r="WKW22" s="88"/>
      <c r="WKX22" s="91"/>
      <c r="WKY22" s="93"/>
      <c r="WKZ22" s="93"/>
      <c r="WLA22" s="88"/>
      <c r="WLB22" s="88"/>
      <c r="WLC22" s="90"/>
      <c r="WLD22" s="148"/>
      <c r="WLE22" s="88"/>
      <c r="WLF22" s="88"/>
      <c r="WLG22" s="90"/>
      <c r="WLH22" s="93"/>
      <c r="WLI22" s="88"/>
      <c r="WLJ22" s="88"/>
      <c r="WLK22" s="91"/>
      <c r="WLL22" s="93"/>
      <c r="WLM22" s="93"/>
      <c r="WLN22" s="88"/>
      <c r="WLO22" s="88"/>
      <c r="WLP22" s="90"/>
      <c r="WLQ22" s="148"/>
      <c r="WLR22" s="88"/>
      <c r="WLS22" s="88"/>
      <c r="WLT22" s="90"/>
      <c r="WLU22" s="93"/>
      <c r="WLV22" s="88"/>
      <c r="WLW22" s="88"/>
      <c r="WLX22" s="91"/>
      <c r="WLY22" s="93"/>
      <c r="WLZ22" s="93"/>
      <c r="WMA22" s="88"/>
      <c r="WMB22" s="88"/>
      <c r="WMC22" s="90"/>
      <c r="WMD22" s="148"/>
      <c r="WME22" s="88"/>
      <c r="WMF22" s="88"/>
      <c r="WMG22" s="90"/>
      <c r="WMH22" s="93"/>
      <c r="WMI22" s="88"/>
      <c r="WMJ22" s="88"/>
      <c r="WMK22" s="91"/>
      <c r="WML22" s="93"/>
      <c r="WMM22" s="93"/>
      <c r="WMN22" s="88"/>
      <c r="WMO22" s="88"/>
      <c r="WMP22" s="90"/>
      <c r="WMQ22" s="148"/>
      <c r="WMR22" s="88"/>
      <c r="WMS22" s="88"/>
      <c r="WMT22" s="90"/>
      <c r="WMU22" s="93"/>
      <c r="WMV22" s="88"/>
      <c r="WMW22" s="88"/>
      <c r="WMX22" s="91"/>
      <c r="WMY22" s="93"/>
      <c r="WMZ22" s="93"/>
      <c r="WNA22" s="88"/>
      <c r="WNB22" s="88"/>
      <c r="WNC22" s="90"/>
      <c r="WND22" s="148"/>
      <c r="WNE22" s="88"/>
      <c r="WNF22" s="88"/>
      <c r="WNG22" s="90"/>
      <c r="WNH22" s="93"/>
      <c r="WNI22" s="88"/>
      <c r="WNJ22" s="88"/>
      <c r="WNK22" s="91"/>
      <c r="WNL22" s="93"/>
      <c r="WNM22" s="93"/>
      <c r="WNN22" s="88"/>
      <c r="WNO22" s="88"/>
      <c r="WNP22" s="90"/>
      <c r="WNQ22" s="148"/>
      <c r="WNR22" s="88"/>
      <c r="WNS22" s="88"/>
      <c r="WNT22" s="90"/>
      <c r="WNU22" s="93"/>
      <c r="WNV22" s="88"/>
      <c r="WNW22" s="88"/>
      <c r="WNX22" s="91"/>
      <c r="WNY22" s="93"/>
      <c r="WNZ22" s="93"/>
      <c r="WOA22" s="88"/>
      <c r="WOB22" s="88"/>
      <c r="WOC22" s="90"/>
      <c r="WOD22" s="148"/>
      <c r="WOE22" s="88"/>
      <c r="WOF22" s="88"/>
      <c r="WOG22" s="90"/>
      <c r="WOH22" s="93"/>
      <c r="WOI22" s="88"/>
      <c r="WOJ22" s="88"/>
      <c r="WOK22" s="91"/>
      <c r="WOL22" s="93"/>
      <c r="WOM22" s="93"/>
      <c r="WON22" s="88"/>
      <c r="WOO22" s="88"/>
      <c r="WOP22" s="90"/>
      <c r="WOQ22" s="148"/>
      <c r="WOR22" s="88"/>
      <c r="WOS22" s="88"/>
      <c r="WOT22" s="90"/>
      <c r="WOU22" s="93"/>
      <c r="WOV22" s="88"/>
      <c r="WOW22" s="88"/>
      <c r="WOX22" s="91"/>
      <c r="WOY22" s="93"/>
      <c r="WOZ22" s="93"/>
      <c r="WPA22" s="88"/>
      <c r="WPB22" s="88"/>
      <c r="WPC22" s="90"/>
      <c r="WPD22" s="148"/>
      <c r="WPE22" s="88"/>
      <c r="WPF22" s="88"/>
      <c r="WPG22" s="90"/>
      <c r="WPH22" s="93"/>
      <c r="WPI22" s="88"/>
      <c r="WPJ22" s="88"/>
      <c r="WPK22" s="91"/>
      <c r="WPL22" s="93"/>
      <c r="WPM22" s="93"/>
      <c r="WPN22" s="88"/>
      <c r="WPO22" s="88"/>
      <c r="WPP22" s="90"/>
      <c r="WPQ22" s="148"/>
      <c r="WPR22" s="88"/>
      <c r="WPS22" s="88"/>
      <c r="WPT22" s="90"/>
      <c r="WPU22" s="93"/>
      <c r="WPV22" s="88"/>
      <c r="WPW22" s="88"/>
      <c r="WPX22" s="91"/>
      <c r="WPY22" s="93"/>
      <c r="WPZ22" s="93"/>
      <c r="WQA22" s="88"/>
      <c r="WQB22" s="88"/>
      <c r="WQC22" s="90"/>
      <c r="WQD22" s="148"/>
      <c r="WQE22" s="88"/>
      <c r="WQF22" s="88"/>
      <c r="WQG22" s="90"/>
      <c r="WQH22" s="93"/>
      <c r="WQI22" s="88"/>
      <c r="WQJ22" s="88"/>
      <c r="WQK22" s="91"/>
      <c r="WQL22" s="93"/>
      <c r="WQM22" s="93"/>
      <c r="WQN22" s="88"/>
      <c r="WQO22" s="88"/>
      <c r="WQP22" s="90"/>
      <c r="WQQ22" s="148"/>
      <c r="WQR22" s="88"/>
      <c r="WQS22" s="88"/>
      <c r="WQT22" s="90"/>
      <c r="WQU22" s="93"/>
      <c r="WQV22" s="88"/>
      <c r="WQW22" s="88"/>
      <c r="WQX22" s="91"/>
      <c r="WQY22" s="93"/>
      <c r="WQZ22" s="93"/>
      <c r="WRA22" s="88"/>
      <c r="WRB22" s="88"/>
      <c r="WRC22" s="90"/>
      <c r="WRD22" s="148"/>
      <c r="WRE22" s="88"/>
      <c r="WRF22" s="88"/>
      <c r="WRG22" s="90"/>
      <c r="WRH22" s="93"/>
      <c r="WRI22" s="88"/>
      <c r="WRJ22" s="88"/>
      <c r="WRK22" s="91"/>
      <c r="WRL22" s="93"/>
      <c r="WRM22" s="93"/>
      <c r="WRN22" s="88"/>
      <c r="WRO22" s="88"/>
      <c r="WRP22" s="90"/>
      <c r="WRQ22" s="148"/>
      <c r="WRR22" s="88"/>
      <c r="WRS22" s="88"/>
      <c r="WRT22" s="90"/>
      <c r="WRU22" s="93"/>
      <c r="WRV22" s="88"/>
      <c r="WRW22" s="88"/>
      <c r="WRX22" s="91"/>
      <c r="WRY22" s="93"/>
      <c r="WRZ22" s="93"/>
      <c r="WSA22" s="88"/>
      <c r="WSB22" s="88"/>
      <c r="WSC22" s="90"/>
      <c r="WSD22" s="148"/>
      <c r="WSE22" s="88"/>
      <c r="WSF22" s="88"/>
      <c r="WSG22" s="90"/>
      <c r="WSH22" s="93"/>
      <c r="WSI22" s="88"/>
      <c r="WSJ22" s="88"/>
      <c r="WSK22" s="91"/>
      <c r="WSL22" s="93"/>
      <c r="WSM22" s="93"/>
      <c r="WSN22" s="88"/>
      <c r="WSO22" s="88"/>
      <c r="WSP22" s="90"/>
      <c r="WSQ22" s="148"/>
      <c r="WSR22" s="88"/>
      <c r="WSS22" s="88"/>
      <c r="WST22" s="90"/>
      <c r="WSU22" s="93"/>
      <c r="WSV22" s="88"/>
      <c r="WSW22" s="88"/>
      <c r="WSX22" s="91"/>
      <c r="WSY22" s="93"/>
      <c r="WSZ22" s="93"/>
      <c r="WTA22" s="88"/>
      <c r="WTB22" s="88"/>
      <c r="WTC22" s="90"/>
      <c r="WTD22" s="148"/>
      <c r="WTE22" s="88"/>
      <c r="WTF22" s="88"/>
      <c r="WTG22" s="90"/>
      <c r="WTH22" s="93"/>
      <c r="WTI22" s="88"/>
      <c r="WTJ22" s="88"/>
      <c r="WTK22" s="91"/>
      <c r="WTL22" s="93"/>
      <c r="WTM22" s="93"/>
      <c r="WTN22" s="88"/>
      <c r="WTO22" s="88"/>
      <c r="WTP22" s="90"/>
      <c r="WTQ22" s="148"/>
      <c r="WTR22" s="88"/>
      <c r="WTS22" s="88"/>
      <c r="WTT22" s="90"/>
      <c r="WTU22" s="93"/>
      <c r="WTV22" s="88"/>
      <c r="WTW22" s="88"/>
      <c r="WTX22" s="91"/>
      <c r="WTY22" s="93"/>
      <c r="WTZ22" s="93"/>
      <c r="WUA22" s="88"/>
      <c r="WUB22" s="88"/>
      <c r="WUC22" s="90"/>
      <c r="WUD22" s="148"/>
      <c r="WUE22" s="88"/>
      <c r="WUF22" s="88"/>
      <c r="WUG22" s="90"/>
      <c r="WUH22" s="93"/>
      <c r="WUI22" s="88"/>
      <c r="WUJ22" s="88"/>
      <c r="WUK22" s="91"/>
      <c r="WUL22" s="93"/>
      <c r="WUM22" s="93"/>
      <c r="WUN22" s="88"/>
      <c r="WUO22" s="88"/>
      <c r="WUP22" s="90"/>
      <c r="WUQ22" s="148"/>
      <c r="WUR22" s="88"/>
      <c r="WUS22" s="88"/>
      <c r="WUT22" s="90"/>
      <c r="WUU22" s="93"/>
      <c r="WUV22" s="88"/>
      <c r="WUW22" s="88"/>
      <c r="WUX22" s="91"/>
      <c r="WUY22" s="93"/>
      <c r="WUZ22" s="93"/>
      <c r="WVA22" s="88"/>
      <c r="WVB22" s="88"/>
      <c r="WVC22" s="90"/>
      <c r="WVD22" s="148"/>
      <c r="WVE22" s="88"/>
      <c r="WVF22" s="88"/>
      <c r="WVG22" s="90"/>
      <c r="WVH22" s="93"/>
      <c r="WVI22" s="88"/>
      <c r="WVJ22" s="88"/>
      <c r="WVK22" s="91"/>
      <c r="WVL22" s="93"/>
      <c r="WVM22" s="93"/>
      <c r="WVN22" s="88"/>
      <c r="WVO22" s="88"/>
      <c r="WVP22" s="90"/>
      <c r="WVQ22" s="148"/>
      <c r="WVR22" s="88"/>
      <c r="WVS22" s="88"/>
      <c r="WVT22" s="90"/>
      <c r="WVU22" s="93"/>
      <c r="WVV22" s="88"/>
      <c r="WVW22" s="88"/>
      <c r="WVX22" s="91"/>
      <c r="WVY22" s="93"/>
      <c r="WVZ22" s="93"/>
      <c r="WWA22" s="88"/>
      <c r="WWB22" s="88"/>
      <c r="WWC22" s="90"/>
      <c r="WWD22" s="148"/>
      <c r="WWE22" s="88"/>
      <c r="WWF22" s="88"/>
      <c r="WWG22" s="90"/>
      <c r="WWH22" s="93"/>
      <c r="WWI22" s="88"/>
      <c r="WWJ22" s="88"/>
      <c r="WWK22" s="91"/>
      <c r="WWL22" s="93"/>
      <c r="WWM22" s="93"/>
      <c r="WWN22" s="88"/>
      <c r="WWO22" s="88"/>
      <c r="WWP22" s="90"/>
      <c r="WWQ22" s="148"/>
      <c r="WWR22" s="88"/>
      <c r="WWS22" s="88"/>
      <c r="WWT22" s="90"/>
      <c r="WWU22" s="93"/>
      <c r="WWV22" s="88"/>
      <c r="WWW22" s="88"/>
      <c r="WWX22" s="91"/>
      <c r="WWY22" s="93"/>
      <c r="WWZ22" s="93"/>
      <c r="WXA22" s="88"/>
      <c r="WXB22" s="88"/>
      <c r="WXC22" s="90"/>
      <c r="WXD22" s="148"/>
      <c r="WXE22" s="88"/>
      <c r="WXF22" s="88"/>
      <c r="WXG22" s="90"/>
      <c r="WXH22" s="93"/>
      <c r="WXI22" s="88"/>
      <c r="WXJ22" s="88"/>
      <c r="WXK22" s="91"/>
      <c r="WXL22" s="93"/>
      <c r="WXM22" s="93"/>
      <c r="WXN22" s="88"/>
      <c r="WXO22" s="88"/>
      <c r="WXP22" s="90"/>
      <c r="WXQ22" s="148"/>
      <c r="WXR22" s="88"/>
      <c r="WXS22" s="88"/>
      <c r="WXT22" s="90"/>
      <c r="WXU22" s="93"/>
      <c r="WXV22" s="88"/>
      <c r="WXW22" s="88"/>
      <c r="WXX22" s="91"/>
      <c r="WXY22" s="93"/>
      <c r="WXZ22" s="93"/>
      <c r="WYA22" s="88"/>
      <c r="WYB22" s="88"/>
      <c r="WYC22" s="90"/>
      <c r="WYD22" s="148"/>
      <c r="WYE22" s="88"/>
      <c r="WYF22" s="88"/>
      <c r="WYG22" s="90"/>
      <c r="WYH22" s="93"/>
      <c r="WYI22" s="88"/>
      <c r="WYJ22" s="88"/>
      <c r="WYK22" s="91"/>
      <c r="WYL22" s="93"/>
      <c r="WYM22" s="93"/>
      <c r="WYN22" s="88"/>
      <c r="WYO22" s="88"/>
      <c r="WYP22" s="90"/>
      <c r="WYQ22" s="148"/>
      <c r="WYR22" s="88"/>
      <c r="WYS22" s="88"/>
      <c r="WYT22" s="90"/>
      <c r="WYU22" s="93"/>
      <c r="WYV22" s="88"/>
      <c r="WYW22" s="88"/>
      <c r="WYX22" s="91"/>
      <c r="WYY22" s="93"/>
      <c r="WYZ22" s="93"/>
      <c r="WZA22" s="88"/>
      <c r="WZB22" s="88"/>
      <c r="WZC22" s="90"/>
      <c r="WZD22" s="148"/>
      <c r="WZE22" s="88"/>
      <c r="WZF22" s="88"/>
      <c r="WZG22" s="90"/>
      <c r="WZH22" s="93"/>
      <c r="WZI22" s="88"/>
      <c r="WZJ22" s="88"/>
      <c r="WZK22" s="91"/>
      <c r="WZL22" s="93"/>
      <c r="WZM22" s="93"/>
      <c r="WZN22" s="88"/>
      <c r="WZO22" s="88"/>
      <c r="WZP22" s="90"/>
      <c r="WZQ22" s="148"/>
      <c r="WZR22" s="88"/>
      <c r="WZS22" s="88"/>
      <c r="WZT22" s="90"/>
      <c r="WZU22" s="93"/>
      <c r="WZV22" s="88"/>
      <c r="WZW22" s="88"/>
      <c r="WZX22" s="91"/>
      <c r="WZY22" s="93"/>
      <c r="WZZ22" s="93"/>
      <c r="XAA22" s="88"/>
      <c r="XAB22" s="88"/>
      <c r="XAC22" s="90"/>
      <c r="XAD22" s="148"/>
      <c r="XAE22" s="88"/>
      <c r="XAF22" s="88"/>
      <c r="XAG22" s="90"/>
      <c r="XAH22" s="93"/>
      <c r="XAI22" s="88"/>
      <c r="XAJ22" s="88"/>
      <c r="XAK22" s="91"/>
      <c r="XAL22" s="93"/>
      <c r="XAM22" s="93"/>
      <c r="XAN22" s="88"/>
      <c r="XAO22" s="88"/>
      <c r="XAP22" s="90"/>
      <c r="XAQ22" s="148"/>
      <c r="XAR22" s="88"/>
      <c r="XAS22" s="88"/>
      <c r="XAT22" s="90"/>
      <c r="XAU22" s="93"/>
      <c r="XAV22" s="88"/>
      <c r="XAW22" s="88"/>
      <c r="XAX22" s="91"/>
      <c r="XAY22" s="93"/>
      <c r="XAZ22" s="93"/>
      <c r="XBA22" s="88"/>
      <c r="XBB22" s="88"/>
      <c r="XBC22" s="90"/>
      <c r="XBD22" s="148"/>
      <c r="XBE22" s="88"/>
      <c r="XBF22" s="88"/>
      <c r="XBG22" s="90"/>
      <c r="XBH22" s="93"/>
      <c r="XBI22" s="88"/>
      <c r="XBJ22" s="88"/>
      <c r="XBK22" s="91"/>
      <c r="XBL22" s="93"/>
      <c r="XBM22" s="93"/>
      <c r="XBN22" s="88"/>
      <c r="XBO22" s="88"/>
      <c r="XBP22" s="90"/>
      <c r="XBQ22" s="148"/>
      <c r="XBR22" s="88"/>
      <c r="XBS22" s="88"/>
      <c r="XBT22" s="90"/>
      <c r="XBU22" s="93"/>
      <c r="XBV22" s="88"/>
      <c r="XBW22" s="88"/>
      <c r="XBX22" s="91"/>
      <c r="XBY22" s="93"/>
      <c r="XBZ22" s="93"/>
      <c r="XCA22" s="88"/>
      <c r="XCB22" s="88"/>
      <c r="XCC22" s="90"/>
      <c r="XCD22" s="148"/>
      <c r="XCE22" s="88"/>
      <c r="XCF22" s="88"/>
      <c r="XCG22" s="90"/>
      <c r="XCH22" s="93"/>
      <c r="XCI22" s="88"/>
      <c r="XCJ22" s="88"/>
      <c r="XCK22" s="91"/>
      <c r="XCL22" s="93"/>
      <c r="XCM22" s="93"/>
      <c r="XCN22" s="88"/>
      <c r="XCO22" s="88"/>
      <c r="XCP22" s="90"/>
      <c r="XCQ22" s="148"/>
      <c r="XCR22" s="88"/>
      <c r="XCS22" s="88"/>
      <c r="XCT22" s="90"/>
      <c r="XCU22" s="93"/>
      <c r="XCV22" s="88"/>
      <c r="XCW22" s="88"/>
      <c r="XCX22" s="91"/>
      <c r="XCY22" s="93"/>
      <c r="XCZ22" s="93"/>
      <c r="XDA22" s="88"/>
      <c r="XDB22" s="88"/>
      <c r="XDC22" s="90"/>
      <c r="XDD22" s="148"/>
      <c r="XDE22" s="88"/>
      <c r="XDF22" s="88"/>
      <c r="XDG22" s="90"/>
      <c r="XDH22" s="93"/>
      <c r="XDI22" s="88"/>
      <c r="XDJ22" s="88"/>
      <c r="XDK22" s="91"/>
      <c r="XDL22" s="93"/>
      <c r="XDM22" s="93"/>
      <c r="XDN22" s="88"/>
      <c r="XDO22" s="88"/>
      <c r="XDP22" s="90"/>
      <c r="XDQ22" s="148"/>
      <c r="XDR22" s="88"/>
      <c r="XDS22" s="88"/>
      <c r="XDT22" s="90"/>
      <c r="XDU22" s="93"/>
      <c r="XDV22" s="88"/>
      <c r="XDW22" s="88"/>
      <c r="XDX22" s="91"/>
      <c r="XDY22" s="93"/>
      <c r="XDZ22" s="93"/>
      <c r="XEA22" s="88"/>
      <c r="XEB22" s="88"/>
      <c r="XEC22" s="90"/>
      <c r="XED22" s="148"/>
      <c r="XEE22" s="88"/>
      <c r="XEF22" s="88"/>
      <c r="XEG22" s="90"/>
      <c r="XEH22" s="93"/>
      <c r="XEI22" s="88"/>
      <c r="XEJ22" s="88"/>
      <c r="XEK22" s="91"/>
      <c r="XEL22" s="93"/>
      <c r="XEM22" s="93"/>
      <c r="XEN22" s="88"/>
      <c r="XEO22" s="88"/>
      <c r="XEP22" s="90"/>
      <c r="XEQ22" s="148"/>
      <c r="XER22" s="88"/>
      <c r="XES22" s="88"/>
      <c r="XET22" s="90"/>
      <c r="XEU22" s="93"/>
      <c r="XEV22" s="88"/>
      <c r="XEW22" s="88"/>
      <c r="XEX22" s="91"/>
      <c r="XEY22" s="93"/>
      <c r="XEZ22" s="93"/>
      <c r="XFA22" s="88"/>
      <c r="XFB22" s="88"/>
      <c r="XFC22" s="90"/>
      <c r="XFD22" s="148"/>
    </row>
    <row r="23" spans="1:16384" ht="81.599999999999994" customHeight="1" x14ac:dyDescent="0.25">
      <c r="A23" s="88" t="s">
        <v>809</v>
      </c>
      <c r="B23" s="88" t="s">
        <v>823</v>
      </c>
      <c r="C23" s="90">
        <v>46235</v>
      </c>
      <c r="D23" s="148">
        <v>46279</v>
      </c>
      <c r="E23" s="88" t="s">
        <v>223</v>
      </c>
      <c r="F23" s="88" t="str">
        <f t="shared" ca="1" si="0"/>
        <v>-</v>
      </c>
      <c r="G23" s="90"/>
      <c r="H23" s="93" t="s">
        <v>824</v>
      </c>
      <c r="I23" s="88" t="s">
        <v>16</v>
      </c>
      <c r="J23" s="88" t="s">
        <v>74</v>
      </c>
      <c r="K23" s="91" t="s">
        <v>825</v>
      </c>
      <c r="L23" s="93"/>
      <c r="M23" s="93" t="s">
        <v>11</v>
      </c>
      <c r="O23" s="57"/>
      <c r="P23" s="57"/>
    </row>
    <row r="24" spans="1:16384" ht="57" customHeight="1" x14ac:dyDescent="0.25">
      <c r="A24" s="88" t="s">
        <v>810</v>
      </c>
      <c r="B24" s="88" t="s">
        <v>859</v>
      </c>
      <c r="C24" s="90">
        <v>46268</v>
      </c>
      <c r="D24" s="148"/>
      <c r="E24" s="88" t="s">
        <v>63</v>
      </c>
      <c r="F24" s="88">
        <f t="shared" ca="1" si="0"/>
        <v>22</v>
      </c>
      <c r="G24" s="90">
        <v>46297</v>
      </c>
      <c r="H24" s="93" t="s">
        <v>860</v>
      </c>
      <c r="I24" s="88" t="s">
        <v>27</v>
      </c>
      <c r="J24" s="88" t="s">
        <v>74</v>
      </c>
      <c r="K24" s="91" t="s">
        <v>891</v>
      </c>
      <c r="L24" s="93"/>
      <c r="M24" s="93" t="s">
        <v>11</v>
      </c>
      <c r="O24" s="57"/>
      <c r="P24" s="57"/>
    </row>
    <row r="25" spans="1:16384" ht="28.9" customHeight="1" x14ac:dyDescent="0.25">
      <c r="A25" s="88" t="s">
        <v>809</v>
      </c>
      <c r="B25" s="88" t="s">
        <v>856</v>
      </c>
      <c r="C25" s="90">
        <v>46260</v>
      </c>
      <c r="D25" s="90">
        <v>46281</v>
      </c>
      <c r="E25" s="88" t="s">
        <v>223</v>
      </c>
      <c r="F25" s="88" t="str">
        <f t="shared" ca="1" si="0"/>
        <v>-</v>
      </c>
      <c r="G25" s="90"/>
      <c r="H25" s="93" t="s">
        <v>718</v>
      </c>
      <c r="I25" s="88" t="s">
        <v>16</v>
      </c>
      <c r="J25" s="88" t="s">
        <v>75</v>
      </c>
      <c r="K25" s="91" t="s">
        <v>857</v>
      </c>
      <c r="L25" s="93"/>
      <c r="M25" s="93" t="s">
        <v>229</v>
      </c>
      <c r="N25" s="88"/>
      <c r="O25" s="88"/>
      <c r="P25" s="90"/>
      <c r="Q25" s="90"/>
      <c r="R25" s="88"/>
      <c r="S25" s="88"/>
      <c r="T25" s="90"/>
      <c r="U25" s="93"/>
      <c r="V25" s="88"/>
      <c r="W25" s="88"/>
      <c r="X25" s="91"/>
      <c r="Y25" s="93"/>
      <c r="Z25" s="93"/>
      <c r="AA25" s="88"/>
      <c r="AB25" s="88"/>
      <c r="AC25" s="90"/>
      <c r="AD25" s="90"/>
      <c r="AE25" s="88"/>
      <c r="AF25" s="88"/>
      <c r="AG25" s="90"/>
      <c r="AH25" s="93"/>
      <c r="AI25" s="88"/>
      <c r="AJ25" s="88"/>
      <c r="AK25" s="91"/>
      <c r="AL25" s="93"/>
      <c r="AM25" s="93"/>
      <c r="AN25" s="88"/>
      <c r="AO25" s="88"/>
      <c r="AP25" s="90"/>
      <c r="AQ25" s="90"/>
      <c r="AR25" s="88"/>
      <c r="AS25" s="88"/>
      <c r="AT25" s="90"/>
      <c r="AU25" s="93"/>
      <c r="AV25" s="88"/>
      <c r="AW25" s="88"/>
      <c r="AX25" s="91"/>
      <c r="AY25" s="93"/>
      <c r="AZ25" s="93"/>
      <c r="BA25" s="88"/>
      <c r="BB25" s="88"/>
      <c r="BC25" s="90"/>
      <c r="BD25" s="90"/>
      <c r="BE25" s="88"/>
      <c r="BF25" s="88"/>
      <c r="BG25" s="90"/>
      <c r="BH25" s="93"/>
      <c r="BI25" s="88"/>
      <c r="BJ25" s="88"/>
      <c r="BK25" s="91"/>
      <c r="BL25" s="93"/>
      <c r="BM25" s="93"/>
      <c r="BN25" s="88"/>
      <c r="BO25" s="88"/>
      <c r="BP25" s="90"/>
      <c r="BQ25" s="90"/>
      <c r="BR25" s="88"/>
      <c r="BS25" s="88"/>
      <c r="BT25" s="90"/>
      <c r="BU25" s="93"/>
      <c r="BV25" s="88"/>
      <c r="BW25" s="88"/>
      <c r="BX25" s="91"/>
      <c r="BY25" s="93"/>
      <c r="BZ25" s="93"/>
      <c r="CA25" s="88"/>
      <c r="CB25" s="88"/>
      <c r="CC25" s="90"/>
      <c r="CD25" s="90"/>
      <c r="CE25" s="88"/>
      <c r="CF25" s="88"/>
      <c r="CG25" s="90"/>
      <c r="CH25" s="93"/>
      <c r="CI25" s="88"/>
      <c r="CJ25" s="88"/>
      <c r="CK25" s="91"/>
      <c r="CL25" s="93"/>
      <c r="CM25" s="93"/>
      <c r="CN25" s="88"/>
      <c r="CO25" s="88"/>
      <c r="CP25" s="90"/>
      <c r="CQ25" s="90"/>
      <c r="CR25" s="88"/>
      <c r="CS25" s="88"/>
      <c r="CT25" s="90"/>
      <c r="CU25" s="93"/>
      <c r="CV25" s="88"/>
      <c r="CW25" s="88"/>
      <c r="CX25" s="91"/>
      <c r="CY25" s="93"/>
      <c r="CZ25" s="93"/>
      <c r="DA25" s="88"/>
      <c r="DB25" s="88"/>
      <c r="DC25" s="90"/>
      <c r="DD25" s="90"/>
      <c r="DE25" s="88"/>
      <c r="DF25" s="88"/>
      <c r="DG25" s="90"/>
      <c r="DH25" s="93"/>
      <c r="DI25" s="88"/>
      <c r="DJ25" s="88"/>
      <c r="DK25" s="91"/>
      <c r="DL25" s="93"/>
      <c r="DM25" s="93"/>
      <c r="DN25" s="88"/>
      <c r="DO25" s="88"/>
      <c r="DP25" s="90"/>
      <c r="DQ25" s="90"/>
      <c r="DR25" s="88"/>
      <c r="DS25" s="88"/>
      <c r="DT25" s="90"/>
      <c r="DU25" s="93"/>
      <c r="DV25" s="88"/>
      <c r="DW25" s="88"/>
      <c r="DX25" s="91"/>
      <c r="DY25" s="93"/>
      <c r="DZ25" s="93"/>
      <c r="EA25" s="88"/>
      <c r="EB25" s="88"/>
      <c r="EC25" s="90"/>
      <c r="ED25" s="90"/>
      <c r="EE25" s="88"/>
      <c r="EF25" s="88"/>
      <c r="EG25" s="90"/>
      <c r="EH25" s="93"/>
      <c r="EI25" s="88"/>
      <c r="EJ25" s="88"/>
      <c r="EK25" s="91"/>
      <c r="EL25" s="93"/>
      <c r="EM25" s="93"/>
      <c r="EN25" s="88"/>
      <c r="EO25" s="88"/>
      <c r="EP25" s="90"/>
      <c r="EQ25" s="90"/>
      <c r="ER25" s="88"/>
      <c r="ES25" s="88"/>
      <c r="ET25" s="90"/>
      <c r="EU25" s="93"/>
      <c r="EV25" s="88"/>
      <c r="EW25" s="88"/>
      <c r="EX25" s="91"/>
      <c r="EY25" s="93"/>
      <c r="EZ25" s="93"/>
      <c r="FA25" s="88"/>
      <c r="FB25" s="88"/>
      <c r="FC25" s="90"/>
      <c r="FD25" s="90"/>
      <c r="FE25" s="88"/>
      <c r="FF25" s="88"/>
      <c r="FG25" s="90"/>
      <c r="FH25" s="93"/>
      <c r="FI25" s="88"/>
      <c r="FJ25" s="88"/>
      <c r="FK25" s="91"/>
      <c r="FL25" s="93"/>
      <c r="FM25" s="93"/>
      <c r="FN25" s="88"/>
      <c r="FO25" s="88"/>
      <c r="FP25" s="90"/>
      <c r="FQ25" s="90"/>
      <c r="FR25" s="88"/>
      <c r="FS25" s="88"/>
      <c r="FT25" s="90"/>
      <c r="FU25" s="93"/>
      <c r="FV25" s="88"/>
      <c r="FW25" s="88"/>
      <c r="FX25" s="91"/>
      <c r="FY25" s="93"/>
      <c r="FZ25" s="93"/>
      <c r="GA25" s="88"/>
      <c r="GB25" s="88"/>
      <c r="GC25" s="90"/>
      <c r="GD25" s="90"/>
      <c r="GE25" s="88"/>
      <c r="GF25" s="88"/>
      <c r="GG25" s="90"/>
      <c r="GH25" s="93"/>
      <c r="GI25" s="88"/>
      <c r="GJ25" s="88"/>
      <c r="GK25" s="91"/>
      <c r="GL25" s="93"/>
      <c r="GM25" s="93"/>
      <c r="GN25" s="88"/>
      <c r="GO25" s="88"/>
      <c r="GP25" s="90"/>
      <c r="GQ25" s="90"/>
      <c r="GR25" s="88"/>
      <c r="GS25" s="88"/>
      <c r="GT25" s="90"/>
      <c r="GU25" s="93"/>
      <c r="GV25" s="88"/>
      <c r="GW25" s="88"/>
      <c r="GX25" s="91"/>
      <c r="GY25" s="93"/>
      <c r="GZ25" s="93"/>
      <c r="HA25" s="88"/>
      <c r="HB25" s="88"/>
      <c r="HC25" s="90"/>
      <c r="HD25" s="90"/>
      <c r="HE25" s="88"/>
      <c r="HF25" s="88"/>
      <c r="HG25" s="90"/>
      <c r="HH25" s="93"/>
      <c r="HI25" s="88"/>
      <c r="HJ25" s="88"/>
      <c r="HK25" s="91"/>
      <c r="HL25" s="93"/>
      <c r="HM25" s="93"/>
      <c r="HN25" s="88"/>
      <c r="HO25" s="88"/>
      <c r="HP25" s="90"/>
      <c r="HQ25" s="90"/>
      <c r="HR25" s="88"/>
      <c r="HS25" s="88"/>
      <c r="HT25" s="90"/>
      <c r="HU25" s="93"/>
      <c r="HV25" s="88"/>
      <c r="HW25" s="88"/>
      <c r="HX25" s="91"/>
      <c r="HY25" s="93"/>
      <c r="HZ25" s="93"/>
      <c r="IA25" s="88"/>
      <c r="IB25" s="88"/>
      <c r="IC25" s="90"/>
      <c r="ID25" s="90"/>
      <c r="IE25" s="88"/>
      <c r="IF25" s="88"/>
      <c r="IG25" s="90"/>
      <c r="IH25" s="93"/>
      <c r="II25" s="88"/>
      <c r="IJ25" s="88"/>
      <c r="IK25" s="91"/>
      <c r="IL25" s="93"/>
      <c r="IM25" s="93"/>
      <c r="IN25" s="88"/>
      <c r="IO25" s="88"/>
      <c r="IP25" s="90"/>
      <c r="IQ25" s="90"/>
      <c r="IR25" s="88"/>
      <c r="IS25" s="88"/>
      <c r="IT25" s="90"/>
      <c r="IU25" s="93"/>
      <c r="IV25" s="88"/>
      <c r="IW25" s="88"/>
      <c r="IX25" s="91"/>
      <c r="IY25" s="93"/>
      <c r="IZ25" s="93"/>
      <c r="JA25" s="88"/>
      <c r="JB25" s="88"/>
      <c r="JC25" s="90"/>
      <c r="JD25" s="90"/>
      <c r="JE25" s="88"/>
      <c r="JF25" s="88"/>
      <c r="JG25" s="90"/>
      <c r="JH25" s="93"/>
      <c r="JI25" s="88"/>
      <c r="JJ25" s="88"/>
      <c r="JK25" s="91"/>
      <c r="JL25" s="93"/>
      <c r="JM25" s="93"/>
      <c r="JN25" s="88"/>
      <c r="JO25" s="88"/>
      <c r="JP25" s="90"/>
      <c r="JQ25" s="90"/>
      <c r="JR25" s="88"/>
      <c r="JS25" s="88"/>
      <c r="JT25" s="90"/>
      <c r="JU25" s="93"/>
      <c r="JV25" s="88"/>
      <c r="JW25" s="88"/>
      <c r="JX25" s="91"/>
      <c r="JY25" s="93"/>
      <c r="JZ25" s="93"/>
      <c r="KA25" s="88"/>
      <c r="KB25" s="88"/>
      <c r="KC25" s="90"/>
      <c r="KD25" s="90"/>
      <c r="KE25" s="88"/>
      <c r="KF25" s="88"/>
      <c r="KG25" s="90"/>
      <c r="KH25" s="93"/>
      <c r="KI25" s="88"/>
      <c r="KJ25" s="88"/>
      <c r="KK25" s="91"/>
      <c r="KL25" s="93"/>
      <c r="KM25" s="93"/>
      <c r="KN25" s="88"/>
      <c r="KO25" s="88"/>
      <c r="KP25" s="90"/>
      <c r="KQ25" s="90"/>
      <c r="KR25" s="88"/>
      <c r="KS25" s="88"/>
      <c r="KT25" s="90"/>
      <c r="KU25" s="93"/>
      <c r="KV25" s="88"/>
      <c r="KW25" s="88"/>
      <c r="KX25" s="91"/>
      <c r="KY25" s="93"/>
      <c r="KZ25" s="93"/>
      <c r="LA25" s="88"/>
      <c r="LB25" s="88"/>
      <c r="LC25" s="90"/>
      <c r="LD25" s="90"/>
      <c r="LE25" s="88"/>
      <c r="LF25" s="88"/>
      <c r="LG25" s="90"/>
      <c r="LH25" s="93"/>
      <c r="LI25" s="88"/>
      <c r="LJ25" s="88"/>
      <c r="LK25" s="91"/>
      <c r="LL25" s="93"/>
      <c r="LM25" s="93"/>
      <c r="LN25" s="88"/>
      <c r="LO25" s="88"/>
      <c r="LP25" s="90"/>
      <c r="LQ25" s="90"/>
      <c r="LR25" s="88"/>
      <c r="LS25" s="88"/>
      <c r="LT25" s="90"/>
      <c r="LU25" s="93"/>
      <c r="LV25" s="88"/>
      <c r="LW25" s="88"/>
      <c r="LX25" s="91"/>
      <c r="LY25" s="93"/>
      <c r="LZ25" s="93"/>
      <c r="MA25" s="88"/>
      <c r="MB25" s="88"/>
      <c r="MC25" s="90"/>
      <c r="MD25" s="90"/>
      <c r="ME25" s="88"/>
      <c r="MF25" s="88"/>
      <c r="MG25" s="90"/>
      <c r="MH25" s="93"/>
      <c r="MI25" s="88"/>
      <c r="MJ25" s="88"/>
      <c r="MK25" s="91"/>
      <c r="ML25" s="93"/>
      <c r="MM25" s="93"/>
      <c r="MN25" s="88"/>
      <c r="MO25" s="88"/>
      <c r="MP25" s="90"/>
      <c r="MQ25" s="90"/>
      <c r="MR25" s="88"/>
      <c r="MS25" s="88"/>
      <c r="MT25" s="90"/>
      <c r="MU25" s="93"/>
      <c r="MV25" s="88"/>
      <c r="MW25" s="88"/>
      <c r="MX25" s="91"/>
      <c r="MY25" s="93"/>
      <c r="MZ25" s="93"/>
      <c r="NA25" s="88"/>
      <c r="NB25" s="88"/>
      <c r="NC25" s="90"/>
      <c r="ND25" s="90"/>
      <c r="NE25" s="88"/>
      <c r="NF25" s="88"/>
      <c r="NG25" s="90"/>
      <c r="NH25" s="93"/>
      <c r="NI25" s="88"/>
      <c r="NJ25" s="88"/>
      <c r="NK25" s="91"/>
      <c r="NL25" s="93"/>
      <c r="NM25" s="93"/>
      <c r="NN25" s="88"/>
      <c r="NO25" s="88"/>
      <c r="NP25" s="90"/>
      <c r="NQ25" s="90"/>
      <c r="NR25" s="88"/>
      <c r="NS25" s="88"/>
      <c r="NT25" s="90"/>
      <c r="NU25" s="93"/>
      <c r="NV25" s="88"/>
      <c r="NW25" s="88"/>
      <c r="NX25" s="91"/>
      <c r="NY25" s="93"/>
      <c r="NZ25" s="93"/>
      <c r="OA25" s="88"/>
      <c r="OB25" s="88"/>
      <c r="OC25" s="90"/>
      <c r="OD25" s="90"/>
      <c r="OE25" s="88"/>
      <c r="OF25" s="88"/>
      <c r="OG25" s="90"/>
      <c r="OH25" s="93"/>
      <c r="OI25" s="88"/>
      <c r="OJ25" s="88"/>
      <c r="OK25" s="91"/>
      <c r="OL25" s="93"/>
      <c r="OM25" s="93"/>
      <c r="ON25" s="88"/>
      <c r="OO25" s="88"/>
      <c r="OP25" s="90"/>
      <c r="OQ25" s="90"/>
      <c r="OR25" s="88"/>
      <c r="OS25" s="88"/>
      <c r="OT25" s="90"/>
      <c r="OU25" s="93"/>
      <c r="OV25" s="88"/>
      <c r="OW25" s="88"/>
      <c r="OX25" s="91"/>
      <c r="OY25" s="93"/>
      <c r="OZ25" s="93"/>
      <c r="PA25" s="88"/>
      <c r="PB25" s="88"/>
      <c r="PC25" s="90"/>
      <c r="PD25" s="90"/>
      <c r="PE25" s="88"/>
      <c r="PF25" s="88"/>
      <c r="PG25" s="90"/>
      <c r="PH25" s="93"/>
      <c r="PI25" s="88"/>
      <c r="PJ25" s="88"/>
      <c r="PK25" s="91"/>
      <c r="PL25" s="93"/>
      <c r="PM25" s="93"/>
      <c r="PN25" s="88"/>
      <c r="PO25" s="88"/>
      <c r="PP25" s="90"/>
      <c r="PQ25" s="90"/>
      <c r="PR25" s="88"/>
      <c r="PS25" s="88"/>
      <c r="PT25" s="90"/>
      <c r="PU25" s="93"/>
      <c r="PV25" s="88"/>
      <c r="PW25" s="88"/>
      <c r="PX25" s="91"/>
      <c r="PY25" s="93"/>
      <c r="PZ25" s="93"/>
      <c r="QA25" s="88"/>
      <c r="QB25" s="88"/>
      <c r="QC25" s="90"/>
      <c r="QD25" s="90"/>
      <c r="QE25" s="88"/>
      <c r="QF25" s="88"/>
      <c r="QG25" s="90"/>
      <c r="QH25" s="93"/>
      <c r="QI25" s="88"/>
      <c r="QJ25" s="88"/>
      <c r="QK25" s="91"/>
      <c r="QL25" s="93"/>
      <c r="QM25" s="93"/>
      <c r="QN25" s="88"/>
      <c r="QO25" s="88"/>
      <c r="QP25" s="90"/>
      <c r="QQ25" s="90"/>
      <c r="QR25" s="88"/>
      <c r="QS25" s="88"/>
      <c r="QT25" s="90"/>
      <c r="QU25" s="93"/>
      <c r="QV25" s="88"/>
      <c r="QW25" s="88"/>
      <c r="QX25" s="91"/>
      <c r="QY25" s="93"/>
      <c r="QZ25" s="93"/>
      <c r="RA25" s="88"/>
      <c r="RB25" s="88"/>
      <c r="RC25" s="90"/>
      <c r="RD25" s="90"/>
      <c r="RE25" s="88"/>
      <c r="RF25" s="88"/>
      <c r="RG25" s="90"/>
      <c r="RH25" s="93"/>
      <c r="RI25" s="88"/>
      <c r="RJ25" s="88"/>
      <c r="RK25" s="91"/>
      <c r="RL25" s="93"/>
      <c r="RM25" s="93"/>
      <c r="RN25" s="88"/>
      <c r="RO25" s="88"/>
      <c r="RP25" s="90"/>
      <c r="RQ25" s="90"/>
      <c r="RR25" s="88"/>
      <c r="RS25" s="88"/>
      <c r="RT25" s="90"/>
      <c r="RU25" s="93"/>
      <c r="RV25" s="88"/>
      <c r="RW25" s="88"/>
      <c r="RX25" s="91"/>
      <c r="RY25" s="93"/>
      <c r="RZ25" s="93"/>
      <c r="SA25" s="88"/>
      <c r="SB25" s="88"/>
      <c r="SC25" s="90"/>
      <c r="SD25" s="90"/>
      <c r="SE25" s="88"/>
      <c r="SF25" s="88"/>
      <c r="SG25" s="90"/>
      <c r="SH25" s="93"/>
      <c r="SI25" s="88"/>
      <c r="SJ25" s="88"/>
      <c r="SK25" s="91"/>
      <c r="SL25" s="93"/>
      <c r="SM25" s="93"/>
      <c r="SN25" s="88"/>
      <c r="SO25" s="88"/>
      <c r="SP25" s="90"/>
      <c r="SQ25" s="90"/>
      <c r="SR25" s="88"/>
      <c r="SS25" s="88"/>
      <c r="ST25" s="90"/>
      <c r="SU25" s="93"/>
      <c r="SV25" s="88"/>
      <c r="SW25" s="88"/>
      <c r="SX25" s="91"/>
      <c r="SY25" s="93"/>
      <c r="SZ25" s="93"/>
      <c r="TA25" s="88"/>
      <c r="TB25" s="88"/>
      <c r="TC25" s="90"/>
      <c r="TD25" s="90"/>
      <c r="TE25" s="88"/>
      <c r="TF25" s="88"/>
      <c r="TG25" s="90"/>
      <c r="TH25" s="93"/>
      <c r="TI25" s="88"/>
      <c r="TJ25" s="88"/>
      <c r="TK25" s="91"/>
      <c r="TL25" s="93"/>
      <c r="TM25" s="93"/>
      <c r="TN25" s="88"/>
      <c r="TO25" s="88"/>
      <c r="TP25" s="90"/>
      <c r="TQ25" s="90"/>
      <c r="TR25" s="88"/>
      <c r="TS25" s="88"/>
      <c r="TT25" s="90"/>
      <c r="TU25" s="93"/>
      <c r="TV25" s="88"/>
      <c r="TW25" s="88"/>
      <c r="TX25" s="91"/>
      <c r="TY25" s="93"/>
      <c r="TZ25" s="93"/>
      <c r="UA25" s="88"/>
      <c r="UB25" s="88"/>
      <c r="UC25" s="90"/>
      <c r="UD25" s="90"/>
      <c r="UE25" s="88"/>
      <c r="UF25" s="88"/>
      <c r="UG25" s="90"/>
      <c r="UH25" s="93"/>
      <c r="UI25" s="88"/>
      <c r="UJ25" s="88"/>
      <c r="UK25" s="91"/>
      <c r="UL25" s="93"/>
      <c r="UM25" s="93"/>
      <c r="UN25" s="88"/>
      <c r="UO25" s="88"/>
      <c r="UP25" s="90"/>
      <c r="UQ25" s="90"/>
      <c r="UR25" s="88"/>
      <c r="US25" s="88"/>
      <c r="UT25" s="90"/>
      <c r="UU25" s="93"/>
      <c r="UV25" s="88"/>
      <c r="UW25" s="88"/>
      <c r="UX25" s="91"/>
      <c r="UY25" s="93"/>
      <c r="UZ25" s="93"/>
      <c r="VA25" s="88"/>
      <c r="VB25" s="88"/>
      <c r="VC25" s="90"/>
      <c r="VD25" s="90"/>
      <c r="VE25" s="88"/>
      <c r="VF25" s="88"/>
      <c r="VG25" s="90"/>
      <c r="VH25" s="93"/>
      <c r="VI25" s="88"/>
      <c r="VJ25" s="88"/>
      <c r="VK25" s="91"/>
      <c r="VL25" s="93"/>
      <c r="VM25" s="93"/>
      <c r="VN25" s="88"/>
      <c r="VO25" s="88"/>
      <c r="VP25" s="90"/>
      <c r="VQ25" s="90"/>
      <c r="VR25" s="88"/>
      <c r="VS25" s="88"/>
      <c r="VT25" s="90"/>
      <c r="VU25" s="93"/>
      <c r="VV25" s="88"/>
      <c r="VW25" s="88"/>
      <c r="VX25" s="91"/>
      <c r="VY25" s="93"/>
      <c r="VZ25" s="93"/>
      <c r="WA25" s="88"/>
      <c r="WB25" s="88"/>
      <c r="WC25" s="90"/>
      <c r="WD25" s="90"/>
      <c r="WE25" s="88"/>
      <c r="WF25" s="88"/>
      <c r="WG25" s="90"/>
      <c r="WH25" s="93"/>
      <c r="WI25" s="88"/>
      <c r="WJ25" s="88"/>
      <c r="WK25" s="91"/>
      <c r="WL25" s="93"/>
      <c r="WM25" s="93"/>
      <c r="WN25" s="88"/>
      <c r="WO25" s="88"/>
      <c r="WP25" s="90"/>
      <c r="WQ25" s="90"/>
      <c r="WR25" s="88"/>
      <c r="WS25" s="88"/>
      <c r="WT25" s="90"/>
      <c r="WU25" s="93"/>
      <c r="WV25" s="88"/>
      <c r="WW25" s="88"/>
      <c r="WX25" s="91"/>
      <c r="WY25" s="93"/>
      <c r="WZ25" s="93"/>
      <c r="XA25" s="88"/>
      <c r="XB25" s="88"/>
      <c r="XC25" s="90"/>
      <c r="XD25" s="90"/>
      <c r="XE25" s="88"/>
      <c r="XF25" s="88"/>
      <c r="XG25" s="90"/>
      <c r="XH25" s="93"/>
      <c r="XI25" s="88"/>
      <c r="XJ25" s="88"/>
      <c r="XK25" s="91"/>
      <c r="XL25" s="93"/>
      <c r="XM25" s="93"/>
      <c r="XN25" s="88"/>
      <c r="XO25" s="88"/>
      <c r="XP25" s="90"/>
      <c r="XQ25" s="90"/>
      <c r="XR25" s="88"/>
      <c r="XS25" s="88"/>
      <c r="XT25" s="90"/>
      <c r="XU25" s="93"/>
      <c r="XV25" s="88"/>
      <c r="XW25" s="88"/>
      <c r="XX25" s="91"/>
      <c r="XY25" s="93"/>
      <c r="XZ25" s="93"/>
      <c r="YA25" s="88"/>
      <c r="YB25" s="88"/>
      <c r="YC25" s="90"/>
      <c r="YD25" s="90"/>
      <c r="YE25" s="88"/>
      <c r="YF25" s="88"/>
      <c r="YG25" s="90"/>
      <c r="YH25" s="93"/>
      <c r="YI25" s="88"/>
      <c r="YJ25" s="88"/>
      <c r="YK25" s="91"/>
      <c r="YL25" s="93"/>
      <c r="YM25" s="93"/>
      <c r="YN25" s="88"/>
      <c r="YO25" s="88"/>
      <c r="YP25" s="90"/>
      <c r="YQ25" s="90"/>
      <c r="YR25" s="88"/>
      <c r="YS25" s="88"/>
      <c r="YT25" s="90"/>
      <c r="YU25" s="93"/>
      <c r="YV25" s="88"/>
      <c r="YW25" s="88"/>
      <c r="YX25" s="91"/>
      <c r="YY25" s="93"/>
      <c r="YZ25" s="93"/>
      <c r="ZA25" s="88"/>
      <c r="ZB25" s="88"/>
      <c r="ZC25" s="90"/>
      <c r="ZD25" s="90"/>
      <c r="ZE25" s="88"/>
      <c r="ZF25" s="88"/>
      <c r="ZG25" s="90"/>
      <c r="ZH25" s="93"/>
      <c r="ZI25" s="88"/>
      <c r="ZJ25" s="88"/>
      <c r="ZK25" s="91"/>
      <c r="ZL25" s="93"/>
      <c r="ZM25" s="93"/>
      <c r="ZN25" s="88"/>
      <c r="ZO25" s="88"/>
      <c r="ZP25" s="90"/>
      <c r="ZQ25" s="90"/>
      <c r="ZR25" s="88"/>
      <c r="ZS25" s="88"/>
      <c r="ZT25" s="90"/>
      <c r="ZU25" s="93"/>
      <c r="ZV25" s="88"/>
      <c r="ZW25" s="88"/>
      <c r="ZX25" s="91"/>
      <c r="ZY25" s="93"/>
      <c r="ZZ25" s="93"/>
      <c r="AAA25" s="88"/>
      <c r="AAB25" s="88"/>
      <c r="AAC25" s="90"/>
      <c r="AAD25" s="90"/>
      <c r="AAE25" s="88"/>
      <c r="AAF25" s="88"/>
      <c r="AAG25" s="90"/>
      <c r="AAH25" s="93"/>
      <c r="AAI25" s="88"/>
      <c r="AAJ25" s="88"/>
      <c r="AAK25" s="91"/>
      <c r="AAL25" s="93"/>
      <c r="AAM25" s="93"/>
      <c r="AAN25" s="88"/>
      <c r="AAO25" s="88"/>
      <c r="AAP25" s="90"/>
      <c r="AAQ25" s="90"/>
      <c r="AAR25" s="88"/>
      <c r="AAS25" s="88"/>
      <c r="AAT25" s="90"/>
      <c r="AAU25" s="93"/>
      <c r="AAV25" s="88"/>
      <c r="AAW25" s="88"/>
      <c r="AAX25" s="91"/>
      <c r="AAY25" s="93"/>
      <c r="AAZ25" s="93"/>
      <c r="ABA25" s="88"/>
      <c r="ABB25" s="88"/>
      <c r="ABC25" s="90"/>
      <c r="ABD25" s="90"/>
      <c r="ABE25" s="88"/>
      <c r="ABF25" s="88"/>
      <c r="ABG25" s="90"/>
      <c r="ABH25" s="93"/>
      <c r="ABI25" s="88"/>
      <c r="ABJ25" s="88"/>
      <c r="ABK25" s="91"/>
      <c r="ABL25" s="93"/>
      <c r="ABM25" s="93"/>
      <c r="ABN25" s="88"/>
      <c r="ABO25" s="88"/>
      <c r="ABP25" s="90"/>
      <c r="ABQ25" s="90"/>
      <c r="ABR25" s="88"/>
      <c r="ABS25" s="88"/>
      <c r="ABT25" s="90"/>
      <c r="ABU25" s="93"/>
      <c r="ABV25" s="88"/>
      <c r="ABW25" s="88"/>
      <c r="ABX25" s="91"/>
      <c r="ABY25" s="93"/>
      <c r="ABZ25" s="93"/>
      <c r="ACA25" s="88"/>
      <c r="ACB25" s="88"/>
      <c r="ACC25" s="90"/>
      <c r="ACD25" s="90"/>
      <c r="ACE25" s="88"/>
      <c r="ACF25" s="88"/>
      <c r="ACG25" s="90"/>
      <c r="ACH25" s="93"/>
      <c r="ACI25" s="88"/>
      <c r="ACJ25" s="88"/>
      <c r="ACK25" s="91"/>
      <c r="ACL25" s="93"/>
      <c r="ACM25" s="93"/>
      <c r="ACN25" s="88"/>
      <c r="ACO25" s="88"/>
      <c r="ACP25" s="90"/>
      <c r="ACQ25" s="90"/>
      <c r="ACR25" s="88"/>
      <c r="ACS25" s="88"/>
      <c r="ACT25" s="90"/>
      <c r="ACU25" s="93"/>
      <c r="ACV25" s="88"/>
      <c r="ACW25" s="88"/>
      <c r="ACX25" s="91"/>
      <c r="ACY25" s="93"/>
      <c r="ACZ25" s="93"/>
      <c r="ADA25" s="88"/>
      <c r="ADB25" s="88"/>
      <c r="ADC25" s="90"/>
      <c r="ADD25" s="90"/>
      <c r="ADE25" s="88"/>
      <c r="ADF25" s="88"/>
      <c r="ADG25" s="90"/>
      <c r="ADH25" s="93"/>
      <c r="ADI25" s="88"/>
      <c r="ADJ25" s="88"/>
      <c r="ADK25" s="91"/>
      <c r="ADL25" s="93"/>
      <c r="ADM25" s="93"/>
      <c r="ADN25" s="88"/>
      <c r="ADO25" s="88"/>
      <c r="ADP25" s="90"/>
      <c r="ADQ25" s="90"/>
      <c r="ADR25" s="88"/>
      <c r="ADS25" s="88"/>
      <c r="ADT25" s="90"/>
      <c r="ADU25" s="93"/>
      <c r="ADV25" s="88"/>
      <c r="ADW25" s="88"/>
      <c r="ADX25" s="91"/>
      <c r="ADY25" s="93"/>
      <c r="ADZ25" s="93"/>
      <c r="AEA25" s="88"/>
      <c r="AEB25" s="88"/>
      <c r="AEC25" s="90"/>
      <c r="AED25" s="90"/>
      <c r="AEE25" s="88"/>
      <c r="AEF25" s="88"/>
      <c r="AEG25" s="90"/>
      <c r="AEH25" s="93"/>
      <c r="AEI25" s="88"/>
      <c r="AEJ25" s="88"/>
      <c r="AEK25" s="91"/>
      <c r="AEL25" s="93"/>
      <c r="AEM25" s="93"/>
      <c r="AEN25" s="88"/>
      <c r="AEO25" s="88"/>
      <c r="AEP25" s="90"/>
      <c r="AEQ25" s="90"/>
      <c r="AER25" s="88"/>
      <c r="AES25" s="88"/>
      <c r="AET25" s="90"/>
      <c r="AEU25" s="93"/>
      <c r="AEV25" s="88"/>
      <c r="AEW25" s="88"/>
      <c r="AEX25" s="91"/>
      <c r="AEY25" s="93"/>
      <c r="AEZ25" s="93"/>
      <c r="AFA25" s="88"/>
      <c r="AFB25" s="88"/>
      <c r="AFC25" s="90"/>
      <c r="AFD25" s="90"/>
      <c r="AFE25" s="88"/>
      <c r="AFF25" s="88"/>
      <c r="AFG25" s="90"/>
      <c r="AFH25" s="93"/>
      <c r="AFI25" s="88"/>
      <c r="AFJ25" s="88"/>
      <c r="AFK25" s="91"/>
      <c r="AFL25" s="93"/>
      <c r="AFM25" s="93"/>
      <c r="AFN25" s="88"/>
      <c r="AFO25" s="88"/>
      <c r="AFP25" s="90"/>
      <c r="AFQ25" s="90"/>
      <c r="AFR25" s="88"/>
      <c r="AFS25" s="88"/>
      <c r="AFT25" s="90"/>
      <c r="AFU25" s="93"/>
      <c r="AFV25" s="88"/>
      <c r="AFW25" s="88"/>
      <c r="AFX25" s="91"/>
      <c r="AFY25" s="93"/>
      <c r="AFZ25" s="93"/>
      <c r="AGA25" s="88"/>
      <c r="AGB25" s="88"/>
      <c r="AGC25" s="90"/>
      <c r="AGD25" s="90"/>
      <c r="AGE25" s="88"/>
      <c r="AGF25" s="88"/>
      <c r="AGG25" s="90"/>
      <c r="AGH25" s="93"/>
      <c r="AGI25" s="88"/>
      <c r="AGJ25" s="88"/>
      <c r="AGK25" s="91"/>
      <c r="AGL25" s="93"/>
      <c r="AGM25" s="93"/>
      <c r="AGN25" s="88"/>
      <c r="AGO25" s="88"/>
      <c r="AGP25" s="90"/>
      <c r="AGQ25" s="90"/>
      <c r="AGR25" s="88"/>
      <c r="AGS25" s="88"/>
      <c r="AGT25" s="90"/>
      <c r="AGU25" s="93"/>
      <c r="AGV25" s="88"/>
      <c r="AGW25" s="88"/>
      <c r="AGX25" s="91"/>
      <c r="AGY25" s="93"/>
      <c r="AGZ25" s="93"/>
      <c r="AHA25" s="88"/>
      <c r="AHB25" s="88"/>
      <c r="AHC25" s="90"/>
      <c r="AHD25" s="90"/>
      <c r="AHE25" s="88"/>
      <c r="AHF25" s="88"/>
      <c r="AHG25" s="90"/>
      <c r="AHH25" s="93"/>
      <c r="AHI25" s="88"/>
      <c r="AHJ25" s="88"/>
      <c r="AHK25" s="91"/>
      <c r="AHL25" s="93"/>
      <c r="AHM25" s="93"/>
      <c r="AHN25" s="88"/>
      <c r="AHO25" s="88"/>
      <c r="AHP25" s="90"/>
      <c r="AHQ25" s="90"/>
      <c r="AHR25" s="88"/>
      <c r="AHS25" s="88"/>
      <c r="AHT25" s="90"/>
      <c r="AHU25" s="93"/>
      <c r="AHV25" s="88"/>
      <c r="AHW25" s="88"/>
      <c r="AHX25" s="91"/>
      <c r="AHY25" s="93"/>
      <c r="AHZ25" s="93"/>
      <c r="AIA25" s="88"/>
      <c r="AIB25" s="88"/>
      <c r="AIC25" s="90"/>
      <c r="AID25" s="90"/>
      <c r="AIE25" s="88"/>
      <c r="AIF25" s="88"/>
      <c r="AIG25" s="90"/>
      <c r="AIH25" s="93"/>
      <c r="AII25" s="88"/>
      <c r="AIJ25" s="88"/>
      <c r="AIK25" s="91"/>
      <c r="AIL25" s="93"/>
      <c r="AIM25" s="93"/>
      <c r="AIN25" s="88"/>
      <c r="AIO25" s="88"/>
      <c r="AIP25" s="90"/>
      <c r="AIQ25" s="90"/>
      <c r="AIR25" s="88"/>
      <c r="AIS25" s="88"/>
      <c r="AIT25" s="90"/>
      <c r="AIU25" s="93"/>
      <c r="AIV25" s="88"/>
      <c r="AIW25" s="88"/>
      <c r="AIX25" s="91"/>
      <c r="AIY25" s="93"/>
      <c r="AIZ25" s="93"/>
      <c r="AJA25" s="88"/>
      <c r="AJB25" s="88"/>
      <c r="AJC25" s="90"/>
      <c r="AJD25" s="90"/>
      <c r="AJE25" s="88"/>
      <c r="AJF25" s="88"/>
      <c r="AJG25" s="90"/>
      <c r="AJH25" s="93"/>
      <c r="AJI25" s="88"/>
      <c r="AJJ25" s="88"/>
      <c r="AJK25" s="91"/>
      <c r="AJL25" s="93"/>
      <c r="AJM25" s="93"/>
      <c r="AJN25" s="88"/>
      <c r="AJO25" s="88"/>
      <c r="AJP25" s="90"/>
      <c r="AJQ25" s="90"/>
      <c r="AJR25" s="88"/>
      <c r="AJS25" s="88"/>
      <c r="AJT25" s="90"/>
      <c r="AJU25" s="93"/>
      <c r="AJV25" s="88"/>
      <c r="AJW25" s="88"/>
      <c r="AJX25" s="91"/>
      <c r="AJY25" s="93"/>
      <c r="AJZ25" s="93"/>
      <c r="AKA25" s="88"/>
      <c r="AKB25" s="88"/>
      <c r="AKC25" s="90"/>
      <c r="AKD25" s="90"/>
      <c r="AKE25" s="88"/>
      <c r="AKF25" s="88"/>
      <c r="AKG25" s="90"/>
      <c r="AKH25" s="93"/>
      <c r="AKI25" s="88"/>
      <c r="AKJ25" s="88"/>
      <c r="AKK25" s="91"/>
      <c r="AKL25" s="93"/>
      <c r="AKM25" s="93"/>
      <c r="AKN25" s="88"/>
      <c r="AKO25" s="88"/>
      <c r="AKP25" s="90"/>
      <c r="AKQ25" s="90"/>
      <c r="AKR25" s="88"/>
      <c r="AKS25" s="88"/>
      <c r="AKT25" s="90"/>
      <c r="AKU25" s="93"/>
      <c r="AKV25" s="88"/>
      <c r="AKW25" s="88"/>
      <c r="AKX25" s="91"/>
      <c r="AKY25" s="93"/>
      <c r="AKZ25" s="93"/>
      <c r="ALA25" s="88"/>
      <c r="ALB25" s="88"/>
      <c r="ALC25" s="90"/>
      <c r="ALD25" s="90"/>
      <c r="ALE25" s="88"/>
      <c r="ALF25" s="88"/>
      <c r="ALG25" s="90"/>
      <c r="ALH25" s="93"/>
      <c r="ALI25" s="88"/>
      <c r="ALJ25" s="88"/>
      <c r="ALK25" s="91"/>
      <c r="ALL25" s="93"/>
      <c r="ALM25" s="93"/>
      <c r="ALN25" s="88"/>
      <c r="ALO25" s="88"/>
      <c r="ALP25" s="90"/>
      <c r="ALQ25" s="90"/>
      <c r="ALR25" s="88"/>
      <c r="ALS25" s="88"/>
      <c r="ALT25" s="90"/>
      <c r="ALU25" s="93"/>
      <c r="ALV25" s="88"/>
      <c r="ALW25" s="88"/>
      <c r="ALX25" s="91"/>
      <c r="ALY25" s="93"/>
      <c r="ALZ25" s="93"/>
      <c r="AMA25" s="88"/>
      <c r="AMB25" s="88"/>
      <c r="AMC25" s="90"/>
      <c r="AMD25" s="90"/>
      <c r="AME25" s="88"/>
      <c r="AMF25" s="88"/>
      <c r="AMG25" s="90"/>
      <c r="AMH25" s="93"/>
      <c r="AMI25" s="88"/>
      <c r="AMJ25" s="88"/>
      <c r="AMK25" s="91"/>
      <c r="AML25" s="93"/>
      <c r="AMM25" s="93"/>
      <c r="AMN25" s="88"/>
      <c r="AMO25" s="88"/>
      <c r="AMP25" s="90"/>
      <c r="AMQ25" s="90"/>
      <c r="AMR25" s="88"/>
      <c r="AMS25" s="88"/>
      <c r="AMT25" s="90"/>
      <c r="AMU25" s="93"/>
      <c r="AMV25" s="88"/>
      <c r="AMW25" s="88"/>
      <c r="AMX25" s="91"/>
      <c r="AMY25" s="93"/>
      <c r="AMZ25" s="93"/>
      <c r="ANA25" s="88"/>
      <c r="ANB25" s="88"/>
      <c r="ANC25" s="90"/>
      <c r="AND25" s="90"/>
      <c r="ANE25" s="88"/>
      <c r="ANF25" s="88"/>
      <c r="ANG25" s="90"/>
      <c r="ANH25" s="93"/>
      <c r="ANI25" s="88"/>
      <c r="ANJ25" s="88"/>
      <c r="ANK25" s="91"/>
      <c r="ANL25" s="93"/>
      <c r="ANM25" s="93"/>
      <c r="ANN25" s="88"/>
      <c r="ANO25" s="88"/>
      <c r="ANP25" s="90"/>
      <c r="ANQ25" s="90"/>
      <c r="ANR25" s="88"/>
      <c r="ANS25" s="88"/>
      <c r="ANT25" s="90"/>
      <c r="ANU25" s="93"/>
      <c r="ANV25" s="88"/>
      <c r="ANW25" s="88"/>
      <c r="ANX25" s="91"/>
      <c r="ANY25" s="93"/>
      <c r="ANZ25" s="93"/>
      <c r="AOA25" s="88"/>
      <c r="AOB25" s="88"/>
      <c r="AOC25" s="90"/>
      <c r="AOD25" s="90"/>
      <c r="AOE25" s="88"/>
      <c r="AOF25" s="88"/>
      <c r="AOG25" s="90"/>
      <c r="AOH25" s="93"/>
      <c r="AOI25" s="88"/>
      <c r="AOJ25" s="88"/>
      <c r="AOK25" s="91"/>
      <c r="AOL25" s="93"/>
      <c r="AOM25" s="93"/>
      <c r="AON25" s="88"/>
      <c r="AOO25" s="88"/>
      <c r="AOP25" s="90"/>
      <c r="AOQ25" s="90"/>
      <c r="AOR25" s="88"/>
      <c r="AOS25" s="88"/>
      <c r="AOT25" s="90"/>
      <c r="AOU25" s="93"/>
      <c r="AOV25" s="88"/>
      <c r="AOW25" s="88"/>
      <c r="AOX25" s="91"/>
      <c r="AOY25" s="93"/>
      <c r="AOZ25" s="93"/>
      <c r="APA25" s="88"/>
      <c r="APB25" s="88"/>
      <c r="APC25" s="90"/>
      <c r="APD25" s="90"/>
      <c r="APE25" s="88"/>
      <c r="APF25" s="88"/>
      <c r="APG25" s="90"/>
      <c r="APH25" s="93"/>
      <c r="API25" s="88"/>
      <c r="APJ25" s="88"/>
      <c r="APK25" s="91"/>
      <c r="APL25" s="93"/>
      <c r="APM25" s="93"/>
      <c r="APN25" s="88"/>
      <c r="APO25" s="88"/>
      <c r="APP25" s="90"/>
      <c r="APQ25" s="90"/>
      <c r="APR25" s="88"/>
      <c r="APS25" s="88"/>
      <c r="APT25" s="90"/>
      <c r="APU25" s="93"/>
      <c r="APV25" s="88"/>
      <c r="APW25" s="88"/>
      <c r="APX25" s="91"/>
      <c r="APY25" s="93"/>
      <c r="APZ25" s="93"/>
      <c r="AQA25" s="88"/>
      <c r="AQB25" s="88"/>
      <c r="AQC25" s="90"/>
      <c r="AQD25" s="90"/>
      <c r="AQE25" s="88"/>
      <c r="AQF25" s="88"/>
      <c r="AQG25" s="90"/>
      <c r="AQH25" s="93"/>
      <c r="AQI25" s="88"/>
      <c r="AQJ25" s="88"/>
      <c r="AQK25" s="91"/>
      <c r="AQL25" s="93"/>
      <c r="AQM25" s="93"/>
      <c r="AQN25" s="88"/>
      <c r="AQO25" s="88"/>
      <c r="AQP25" s="90"/>
      <c r="AQQ25" s="90"/>
      <c r="AQR25" s="88"/>
      <c r="AQS25" s="88"/>
      <c r="AQT25" s="90"/>
      <c r="AQU25" s="93"/>
      <c r="AQV25" s="88"/>
      <c r="AQW25" s="88"/>
      <c r="AQX25" s="91"/>
      <c r="AQY25" s="93"/>
      <c r="AQZ25" s="93"/>
      <c r="ARA25" s="88"/>
      <c r="ARB25" s="88"/>
      <c r="ARC25" s="90"/>
      <c r="ARD25" s="90"/>
      <c r="ARE25" s="88"/>
      <c r="ARF25" s="88"/>
      <c r="ARG25" s="90"/>
      <c r="ARH25" s="93"/>
      <c r="ARI25" s="88"/>
      <c r="ARJ25" s="88"/>
      <c r="ARK25" s="91"/>
      <c r="ARL25" s="93"/>
      <c r="ARM25" s="93"/>
      <c r="ARN25" s="88"/>
      <c r="ARO25" s="88"/>
      <c r="ARP25" s="90"/>
      <c r="ARQ25" s="90"/>
      <c r="ARR25" s="88"/>
      <c r="ARS25" s="88"/>
      <c r="ART25" s="90"/>
      <c r="ARU25" s="93"/>
      <c r="ARV25" s="88"/>
      <c r="ARW25" s="88"/>
      <c r="ARX25" s="91"/>
      <c r="ARY25" s="93"/>
      <c r="ARZ25" s="93"/>
      <c r="ASA25" s="88"/>
      <c r="ASB25" s="88"/>
      <c r="ASC25" s="90"/>
      <c r="ASD25" s="90"/>
      <c r="ASE25" s="88"/>
      <c r="ASF25" s="88"/>
      <c r="ASG25" s="90"/>
      <c r="ASH25" s="93"/>
      <c r="ASI25" s="88"/>
      <c r="ASJ25" s="88"/>
      <c r="ASK25" s="91"/>
      <c r="ASL25" s="93"/>
      <c r="ASM25" s="93"/>
      <c r="ASN25" s="88"/>
      <c r="ASO25" s="88"/>
      <c r="ASP25" s="90"/>
      <c r="ASQ25" s="90"/>
      <c r="ASR25" s="88"/>
      <c r="ASS25" s="88"/>
      <c r="AST25" s="90"/>
      <c r="ASU25" s="93"/>
      <c r="ASV25" s="88"/>
      <c r="ASW25" s="88"/>
      <c r="ASX25" s="91"/>
      <c r="ASY25" s="93"/>
      <c r="ASZ25" s="93"/>
      <c r="ATA25" s="88"/>
      <c r="ATB25" s="88"/>
      <c r="ATC25" s="90"/>
      <c r="ATD25" s="90"/>
      <c r="ATE25" s="88"/>
      <c r="ATF25" s="88"/>
      <c r="ATG25" s="90"/>
      <c r="ATH25" s="93"/>
      <c r="ATI25" s="88"/>
      <c r="ATJ25" s="88"/>
      <c r="ATK25" s="91"/>
      <c r="ATL25" s="93"/>
      <c r="ATM25" s="93"/>
      <c r="ATN25" s="88"/>
      <c r="ATO25" s="88"/>
      <c r="ATP25" s="90"/>
      <c r="ATQ25" s="90"/>
      <c r="ATR25" s="88"/>
      <c r="ATS25" s="88"/>
      <c r="ATT25" s="90"/>
      <c r="ATU25" s="93"/>
      <c r="ATV25" s="88"/>
      <c r="ATW25" s="88"/>
      <c r="ATX25" s="91"/>
      <c r="ATY25" s="93"/>
      <c r="ATZ25" s="93"/>
      <c r="AUA25" s="88"/>
      <c r="AUB25" s="88"/>
      <c r="AUC25" s="90"/>
      <c r="AUD25" s="90"/>
      <c r="AUE25" s="88"/>
      <c r="AUF25" s="88"/>
      <c r="AUG25" s="90"/>
      <c r="AUH25" s="93"/>
      <c r="AUI25" s="88"/>
      <c r="AUJ25" s="88"/>
      <c r="AUK25" s="91"/>
      <c r="AUL25" s="93"/>
      <c r="AUM25" s="93"/>
      <c r="AUN25" s="88"/>
      <c r="AUO25" s="88"/>
      <c r="AUP25" s="90"/>
      <c r="AUQ25" s="90"/>
      <c r="AUR25" s="88"/>
      <c r="AUS25" s="88"/>
      <c r="AUT25" s="90"/>
      <c r="AUU25" s="93"/>
      <c r="AUV25" s="88"/>
      <c r="AUW25" s="88"/>
      <c r="AUX25" s="91"/>
      <c r="AUY25" s="93"/>
      <c r="AUZ25" s="93"/>
      <c r="AVA25" s="88"/>
      <c r="AVB25" s="88"/>
      <c r="AVC25" s="90"/>
      <c r="AVD25" s="90"/>
      <c r="AVE25" s="88"/>
      <c r="AVF25" s="88"/>
      <c r="AVG25" s="90"/>
      <c r="AVH25" s="93"/>
      <c r="AVI25" s="88"/>
      <c r="AVJ25" s="88"/>
      <c r="AVK25" s="91"/>
      <c r="AVL25" s="93"/>
      <c r="AVM25" s="93"/>
      <c r="AVN25" s="88"/>
      <c r="AVO25" s="88"/>
      <c r="AVP25" s="90"/>
      <c r="AVQ25" s="90"/>
      <c r="AVR25" s="88"/>
      <c r="AVS25" s="88"/>
      <c r="AVT25" s="90"/>
      <c r="AVU25" s="93"/>
      <c r="AVV25" s="88"/>
      <c r="AVW25" s="88"/>
      <c r="AVX25" s="91"/>
      <c r="AVY25" s="93"/>
      <c r="AVZ25" s="93"/>
      <c r="AWA25" s="88"/>
      <c r="AWB25" s="88"/>
      <c r="AWC25" s="90"/>
      <c r="AWD25" s="90"/>
      <c r="AWE25" s="88"/>
      <c r="AWF25" s="88"/>
      <c r="AWG25" s="90"/>
      <c r="AWH25" s="93"/>
      <c r="AWI25" s="88"/>
      <c r="AWJ25" s="88"/>
      <c r="AWK25" s="91"/>
      <c r="AWL25" s="93"/>
      <c r="AWM25" s="93"/>
      <c r="AWN25" s="88"/>
      <c r="AWO25" s="88"/>
      <c r="AWP25" s="90"/>
      <c r="AWQ25" s="90"/>
      <c r="AWR25" s="88"/>
      <c r="AWS25" s="88"/>
      <c r="AWT25" s="90"/>
      <c r="AWU25" s="93"/>
      <c r="AWV25" s="88"/>
      <c r="AWW25" s="88"/>
      <c r="AWX25" s="91"/>
      <c r="AWY25" s="93"/>
      <c r="AWZ25" s="93"/>
      <c r="AXA25" s="88"/>
      <c r="AXB25" s="88"/>
      <c r="AXC25" s="90"/>
      <c r="AXD25" s="90"/>
      <c r="AXE25" s="88"/>
      <c r="AXF25" s="88"/>
      <c r="AXG25" s="90"/>
      <c r="AXH25" s="93"/>
      <c r="AXI25" s="88"/>
      <c r="AXJ25" s="88"/>
      <c r="AXK25" s="91"/>
      <c r="AXL25" s="93"/>
      <c r="AXM25" s="93"/>
      <c r="AXN25" s="88"/>
      <c r="AXO25" s="88"/>
      <c r="AXP25" s="90"/>
      <c r="AXQ25" s="90"/>
      <c r="AXR25" s="88"/>
      <c r="AXS25" s="88"/>
      <c r="AXT25" s="90"/>
      <c r="AXU25" s="93"/>
      <c r="AXV25" s="88"/>
      <c r="AXW25" s="88"/>
      <c r="AXX25" s="91"/>
      <c r="AXY25" s="93"/>
      <c r="AXZ25" s="93"/>
      <c r="AYA25" s="88"/>
      <c r="AYB25" s="88"/>
      <c r="AYC25" s="90"/>
      <c r="AYD25" s="90"/>
      <c r="AYE25" s="88"/>
      <c r="AYF25" s="88"/>
      <c r="AYG25" s="90"/>
      <c r="AYH25" s="93"/>
      <c r="AYI25" s="88"/>
      <c r="AYJ25" s="88"/>
      <c r="AYK25" s="91"/>
      <c r="AYL25" s="93"/>
      <c r="AYM25" s="93"/>
      <c r="AYN25" s="88"/>
      <c r="AYO25" s="88"/>
      <c r="AYP25" s="90"/>
      <c r="AYQ25" s="90"/>
      <c r="AYR25" s="88"/>
      <c r="AYS25" s="88"/>
      <c r="AYT25" s="90"/>
      <c r="AYU25" s="93"/>
      <c r="AYV25" s="88"/>
      <c r="AYW25" s="88"/>
      <c r="AYX25" s="91"/>
      <c r="AYY25" s="93"/>
      <c r="AYZ25" s="93"/>
      <c r="AZA25" s="88"/>
      <c r="AZB25" s="88"/>
      <c r="AZC25" s="90"/>
      <c r="AZD25" s="90"/>
      <c r="AZE25" s="88"/>
      <c r="AZF25" s="88"/>
      <c r="AZG25" s="90"/>
      <c r="AZH25" s="93"/>
      <c r="AZI25" s="88"/>
      <c r="AZJ25" s="88"/>
      <c r="AZK25" s="91"/>
      <c r="AZL25" s="93"/>
      <c r="AZM25" s="93"/>
      <c r="AZN25" s="88"/>
      <c r="AZO25" s="88"/>
      <c r="AZP25" s="90"/>
      <c r="AZQ25" s="90"/>
      <c r="AZR25" s="88"/>
      <c r="AZS25" s="88"/>
      <c r="AZT25" s="90"/>
      <c r="AZU25" s="93"/>
      <c r="AZV25" s="88"/>
      <c r="AZW25" s="88"/>
      <c r="AZX25" s="91"/>
      <c r="AZY25" s="93"/>
      <c r="AZZ25" s="93"/>
      <c r="BAA25" s="88"/>
      <c r="BAB25" s="88"/>
      <c r="BAC25" s="90"/>
      <c r="BAD25" s="90"/>
      <c r="BAE25" s="88"/>
      <c r="BAF25" s="88"/>
      <c r="BAG25" s="90"/>
      <c r="BAH25" s="93"/>
      <c r="BAI25" s="88"/>
      <c r="BAJ25" s="88"/>
      <c r="BAK25" s="91"/>
      <c r="BAL25" s="93"/>
      <c r="BAM25" s="93"/>
      <c r="BAN25" s="88"/>
      <c r="BAO25" s="88"/>
      <c r="BAP25" s="90"/>
      <c r="BAQ25" s="90"/>
      <c r="BAR25" s="88"/>
      <c r="BAS25" s="88"/>
      <c r="BAT25" s="90"/>
      <c r="BAU25" s="93"/>
      <c r="BAV25" s="88"/>
      <c r="BAW25" s="88"/>
      <c r="BAX25" s="91"/>
      <c r="BAY25" s="93"/>
      <c r="BAZ25" s="93"/>
      <c r="BBA25" s="88"/>
      <c r="BBB25" s="88"/>
      <c r="BBC25" s="90"/>
      <c r="BBD25" s="90"/>
      <c r="BBE25" s="88"/>
      <c r="BBF25" s="88"/>
      <c r="BBG25" s="90"/>
      <c r="BBH25" s="93"/>
      <c r="BBI25" s="88"/>
      <c r="BBJ25" s="88"/>
      <c r="BBK25" s="91"/>
      <c r="BBL25" s="93"/>
      <c r="BBM25" s="93"/>
      <c r="BBN25" s="88"/>
      <c r="BBO25" s="88"/>
      <c r="BBP25" s="90"/>
      <c r="BBQ25" s="90"/>
      <c r="BBR25" s="88"/>
      <c r="BBS25" s="88"/>
      <c r="BBT25" s="90"/>
      <c r="BBU25" s="93"/>
      <c r="BBV25" s="88"/>
      <c r="BBW25" s="88"/>
      <c r="BBX25" s="91"/>
      <c r="BBY25" s="93"/>
      <c r="BBZ25" s="93"/>
      <c r="BCA25" s="88"/>
      <c r="BCB25" s="88"/>
      <c r="BCC25" s="90"/>
      <c r="BCD25" s="90"/>
      <c r="BCE25" s="88"/>
      <c r="BCF25" s="88"/>
      <c r="BCG25" s="90"/>
      <c r="BCH25" s="93"/>
      <c r="BCI25" s="88"/>
      <c r="BCJ25" s="88"/>
      <c r="BCK25" s="91"/>
      <c r="BCL25" s="93"/>
      <c r="BCM25" s="93"/>
      <c r="BCN25" s="88"/>
      <c r="BCO25" s="88"/>
      <c r="BCP25" s="90"/>
      <c r="BCQ25" s="90"/>
      <c r="BCR25" s="88"/>
      <c r="BCS25" s="88"/>
      <c r="BCT25" s="90"/>
      <c r="BCU25" s="93"/>
      <c r="BCV25" s="88"/>
      <c r="BCW25" s="88"/>
      <c r="BCX25" s="91"/>
      <c r="BCY25" s="93"/>
      <c r="BCZ25" s="93"/>
      <c r="BDA25" s="88"/>
      <c r="BDB25" s="88"/>
      <c r="BDC25" s="90"/>
      <c r="BDD25" s="90"/>
      <c r="BDE25" s="88"/>
      <c r="BDF25" s="88"/>
      <c r="BDG25" s="90"/>
      <c r="BDH25" s="93"/>
      <c r="BDI25" s="88"/>
      <c r="BDJ25" s="88"/>
      <c r="BDK25" s="91"/>
      <c r="BDL25" s="93"/>
      <c r="BDM25" s="93"/>
      <c r="BDN25" s="88"/>
      <c r="BDO25" s="88"/>
      <c r="BDP25" s="90"/>
      <c r="BDQ25" s="90"/>
      <c r="BDR25" s="88"/>
      <c r="BDS25" s="88"/>
      <c r="BDT25" s="90"/>
      <c r="BDU25" s="93"/>
      <c r="BDV25" s="88"/>
      <c r="BDW25" s="88"/>
      <c r="BDX25" s="91"/>
      <c r="BDY25" s="93"/>
      <c r="BDZ25" s="93"/>
      <c r="BEA25" s="88"/>
      <c r="BEB25" s="88"/>
      <c r="BEC25" s="90"/>
      <c r="BED25" s="90"/>
      <c r="BEE25" s="88"/>
      <c r="BEF25" s="88"/>
      <c r="BEG25" s="90"/>
      <c r="BEH25" s="93"/>
      <c r="BEI25" s="88"/>
      <c r="BEJ25" s="88"/>
      <c r="BEK25" s="91"/>
      <c r="BEL25" s="93"/>
      <c r="BEM25" s="93"/>
      <c r="BEN25" s="88"/>
      <c r="BEO25" s="88"/>
      <c r="BEP25" s="90"/>
      <c r="BEQ25" s="90"/>
      <c r="BER25" s="88"/>
      <c r="BES25" s="88"/>
      <c r="BET25" s="90"/>
      <c r="BEU25" s="93"/>
      <c r="BEV25" s="88"/>
      <c r="BEW25" s="88"/>
      <c r="BEX25" s="91"/>
      <c r="BEY25" s="93"/>
      <c r="BEZ25" s="93"/>
      <c r="BFA25" s="88"/>
      <c r="BFB25" s="88"/>
      <c r="BFC25" s="90"/>
      <c r="BFD25" s="90"/>
      <c r="BFE25" s="88"/>
      <c r="BFF25" s="88"/>
      <c r="BFG25" s="90"/>
      <c r="BFH25" s="93"/>
      <c r="BFI25" s="88"/>
      <c r="BFJ25" s="88"/>
      <c r="BFK25" s="91"/>
      <c r="BFL25" s="93"/>
      <c r="BFM25" s="93"/>
      <c r="BFN25" s="88"/>
      <c r="BFO25" s="88"/>
      <c r="BFP25" s="90"/>
      <c r="BFQ25" s="90"/>
      <c r="BFR25" s="88"/>
      <c r="BFS25" s="88"/>
      <c r="BFT25" s="90"/>
      <c r="BFU25" s="93"/>
      <c r="BFV25" s="88"/>
      <c r="BFW25" s="88"/>
      <c r="BFX25" s="91"/>
      <c r="BFY25" s="93"/>
      <c r="BFZ25" s="93"/>
      <c r="BGA25" s="88"/>
      <c r="BGB25" s="88"/>
      <c r="BGC25" s="90"/>
      <c r="BGD25" s="90"/>
      <c r="BGE25" s="88"/>
      <c r="BGF25" s="88"/>
      <c r="BGG25" s="90"/>
      <c r="BGH25" s="93"/>
      <c r="BGI25" s="88"/>
      <c r="BGJ25" s="88"/>
      <c r="BGK25" s="91"/>
      <c r="BGL25" s="93"/>
      <c r="BGM25" s="93"/>
      <c r="BGN25" s="88"/>
      <c r="BGO25" s="88"/>
      <c r="BGP25" s="90"/>
      <c r="BGQ25" s="90"/>
      <c r="BGR25" s="88"/>
      <c r="BGS25" s="88"/>
      <c r="BGT25" s="90"/>
      <c r="BGU25" s="93"/>
      <c r="BGV25" s="88"/>
      <c r="BGW25" s="88"/>
      <c r="BGX25" s="91"/>
      <c r="BGY25" s="93"/>
      <c r="BGZ25" s="93"/>
      <c r="BHA25" s="88"/>
      <c r="BHB25" s="88"/>
      <c r="BHC25" s="90"/>
      <c r="BHD25" s="90"/>
      <c r="BHE25" s="88"/>
      <c r="BHF25" s="88"/>
      <c r="BHG25" s="90"/>
      <c r="BHH25" s="93"/>
      <c r="BHI25" s="88"/>
      <c r="BHJ25" s="88"/>
      <c r="BHK25" s="91"/>
      <c r="BHL25" s="93"/>
      <c r="BHM25" s="93"/>
      <c r="BHN25" s="88"/>
      <c r="BHO25" s="88"/>
      <c r="BHP25" s="90"/>
      <c r="BHQ25" s="90"/>
      <c r="BHR25" s="88"/>
      <c r="BHS25" s="88"/>
      <c r="BHT25" s="90"/>
      <c r="BHU25" s="93"/>
      <c r="BHV25" s="88"/>
      <c r="BHW25" s="88"/>
      <c r="BHX25" s="91"/>
      <c r="BHY25" s="93"/>
      <c r="BHZ25" s="93"/>
      <c r="BIA25" s="88"/>
      <c r="BIB25" s="88"/>
      <c r="BIC25" s="90"/>
      <c r="BID25" s="90"/>
      <c r="BIE25" s="88"/>
      <c r="BIF25" s="88"/>
      <c r="BIG25" s="90"/>
      <c r="BIH25" s="93"/>
      <c r="BII25" s="88"/>
      <c r="BIJ25" s="88"/>
      <c r="BIK25" s="91"/>
      <c r="BIL25" s="93"/>
      <c r="BIM25" s="93"/>
      <c r="BIN25" s="88"/>
      <c r="BIO25" s="88"/>
      <c r="BIP25" s="90"/>
      <c r="BIQ25" s="90"/>
      <c r="BIR25" s="88"/>
      <c r="BIS25" s="88"/>
      <c r="BIT25" s="90"/>
      <c r="BIU25" s="93"/>
      <c r="BIV25" s="88"/>
      <c r="BIW25" s="88"/>
      <c r="BIX25" s="91"/>
      <c r="BIY25" s="93"/>
      <c r="BIZ25" s="93"/>
      <c r="BJA25" s="88"/>
      <c r="BJB25" s="88"/>
      <c r="BJC25" s="90"/>
      <c r="BJD25" s="90"/>
      <c r="BJE25" s="88"/>
      <c r="BJF25" s="88"/>
      <c r="BJG25" s="90"/>
      <c r="BJH25" s="93"/>
      <c r="BJI25" s="88"/>
      <c r="BJJ25" s="88"/>
      <c r="BJK25" s="91"/>
      <c r="BJL25" s="93"/>
      <c r="BJM25" s="93"/>
      <c r="BJN25" s="88"/>
      <c r="BJO25" s="88"/>
      <c r="BJP25" s="90"/>
      <c r="BJQ25" s="90"/>
      <c r="BJR25" s="88"/>
      <c r="BJS25" s="88"/>
      <c r="BJT25" s="90"/>
      <c r="BJU25" s="93"/>
      <c r="BJV25" s="88"/>
      <c r="BJW25" s="88"/>
      <c r="BJX25" s="91"/>
      <c r="BJY25" s="93"/>
      <c r="BJZ25" s="93"/>
      <c r="BKA25" s="88"/>
      <c r="BKB25" s="88"/>
      <c r="BKC25" s="90"/>
      <c r="BKD25" s="90"/>
      <c r="BKE25" s="88"/>
      <c r="BKF25" s="88"/>
      <c r="BKG25" s="90"/>
      <c r="BKH25" s="93"/>
      <c r="BKI25" s="88"/>
      <c r="BKJ25" s="88"/>
      <c r="BKK25" s="91"/>
      <c r="BKL25" s="93"/>
      <c r="BKM25" s="93"/>
      <c r="BKN25" s="88"/>
      <c r="BKO25" s="88"/>
      <c r="BKP25" s="90"/>
      <c r="BKQ25" s="90"/>
      <c r="BKR25" s="88"/>
      <c r="BKS25" s="88"/>
      <c r="BKT25" s="90"/>
      <c r="BKU25" s="93"/>
      <c r="BKV25" s="88"/>
      <c r="BKW25" s="88"/>
      <c r="BKX25" s="91"/>
      <c r="BKY25" s="93"/>
      <c r="BKZ25" s="93"/>
      <c r="BLA25" s="88"/>
      <c r="BLB25" s="88"/>
      <c r="BLC25" s="90"/>
      <c r="BLD25" s="90"/>
      <c r="BLE25" s="88"/>
      <c r="BLF25" s="88"/>
      <c r="BLG25" s="90"/>
      <c r="BLH25" s="93"/>
      <c r="BLI25" s="88"/>
      <c r="BLJ25" s="88"/>
      <c r="BLK25" s="91"/>
      <c r="BLL25" s="93"/>
      <c r="BLM25" s="93"/>
      <c r="BLN25" s="88"/>
      <c r="BLO25" s="88"/>
      <c r="BLP25" s="90"/>
      <c r="BLQ25" s="90"/>
      <c r="BLR25" s="88"/>
      <c r="BLS25" s="88"/>
      <c r="BLT25" s="90"/>
      <c r="BLU25" s="93"/>
      <c r="BLV25" s="88"/>
      <c r="BLW25" s="88"/>
      <c r="BLX25" s="91"/>
      <c r="BLY25" s="93"/>
      <c r="BLZ25" s="93"/>
      <c r="BMA25" s="88"/>
      <c r="BMB25" s="88"/>
      <c r="BMC25" s="90"/>
      <c r="BMD25" s="90"/>
      <c r="BME25" s="88"/>
      <c r="BMF25" s="88"/>
      <c r="BMG25" s="90"/>
      <c r="BMH25" s="93"/>
      <c r="BMI25" s="88"/>
      <c r="BMJ25" s="88"/>
      <c r="BMK25" s="91"/>
      <c r="BML25" s="93"/>
      <c r="BMM25" s="93"/>
      <c r="BMN25" s="88"/>
      <c r="BMO25" s="88"/>
      <c r="BMP25" s="90"/>
      <c r="BMQ25" s="90"/>
      <c r="BMR25" s="88"/>
      <c r="BMS25" s="88"/>
      <c r="BMT25" s="90"/>
      <c r="BMU25" s="93"/>
      <c r="BMV25" s="88"/>
      <c r="BMW25" s="88"/>
      <c r="BMX25" s="91"/>
      <c r="BMY25" s="93"/>
      <c r="BMZ25" s="93"/>
      <c r="BNA25" s="88"/>
      <c r="BNB25" s="88"/>
      <c r="BNC25" s="90"/>
      <c r="BND25" s="90"/>
      <c r="BNE25" s="88"/>
      <c r="BNF25" s="88"/>
      <c r="BNG25" s="90"/>
      <c r="BNH25" s="93"/>
      <c r="BNI25" s="88"/>
      <c r="BNJ25" s="88"/>
      <c r="BNK25" s="91"/>
      <c r="BNL25" s="93"/>
      <c r="BNM25" s="93"/>
      <c r="BNN25" s="88"/>
      <c r="BNO25" s="88"/>
      <c r="BNP25" s="90"/>
      <c r="BNQ25" s="90"/>
      <c r="BNR25" s="88"/>
      <c r="BNS25" s="88"/>
      <c r="BNT25" s="90"/>
      <c r="BNU25" s="93"/>
      <c r="BNV25" s="88"/>
      <c r="BNW25" s="88"/>
      <c r="BNX25" s="91"/>
      <c r="BNY25" s="93"/>
      <c r="BNZ25" s="93"/>
      <c r="BOA25" s="88"/>
      <c r="BOB25" s="88"/>
      <c r="BOC25" s="90"/>
      <c r="BOD25" s="90"/>
      <c r="BOE25" s="88"/>
      <c r="BOF25" s="88"/>
      <c r="BOG25" s="90"/>
      <c r="BOH25" s="93"/>
      <c r="BOI25" s="88"/>
      <c r="BOJ25" s="88"/>
      <c r="BOK25" s="91"/>
      <c r="BOL25" s="93"/>
      <c r="BOM25" s="93"/>
      <c r="BON25" s="88"/>
      <c r="BOO25" s="88"/>
      <c r="BOP25" s="90"/>
      <c r="BOQ25" s="90"/>
      <c r="BOR25" s="88"/>
      <c r="BOS25" s="88"/>
      <c r="BOT25" s="90"/>
      <c r="BOU25" s="93"/>
      <c r="BOV25" s="88"/>
      <c r="BOW25" s="88"/>
      <c r="BOX25" s="91"/>
      <c r="BOY25" s="93"/>
      <c r="BOZ25" s="93"/>
      <c r="BPA25" s="88"/>
      <c r="BPB25" s="88"/>
      <c r="BPC25" s="90"/>
      <c r="BPD25" s="90"/>
      <c r="BPE25" s="88"/>
      <c r="BPF25" s="88"/>
      <c r="BPG25" s="90"/>
      <c r="BPH25" s="93"/>
      <c r="BPI25" s="88"/>
      <c r="BPJ25" s="88"/>
      <c r="BPK25" s="91"/>
      <c r="BPL25" s="93"/>
      <c r="BPM25" s="93"/>
      <c r="BPN25" s="88"/>
      <c r="BPO25" s="88"/>
      <c r="BPP25" s="90"/>
      <c r="BPQ25" s="90"/>
      <c r="BPR25" s="88"/>
      <c r="BPS25" s="88"/>
      <c r="BPT25" s="90"/>
      <c r="BPU25" s="93"/>
      <c r="BPV25" s="88"/>
      <c r="BPW25" s="88"/>
      <c r="BPX25" s="91"/>
      <c r="BPY25" s="93"/>
      <c r="BPZ25" s="93"/>
      <c r="BQA25" s="88"/>
      <c r="BQB25" s="88"/>
      <c r="BQC25" s="90"/>
      <c r="BQD25" s="90"/>
      <c r="BQE25" s="88"/>
      <c r="BQF25" s="88"/>
      <c r="BQG25" s="90"/>
      <c r="BQH25" s="93"/>
      <c r="BQI25" s="88"/>
      <c r="BQJ25" s="88"/>
      <c r="BQK25" s="91"/>
      <c r="BQL25" s="93"/>
      <c r="BQM25" s="93"/>
      <c r="BQN25" s="88"/>
      <c r="BQO25" s="88"/>
      <c r="BQP25" s="90"/>
      <c r="BQQ25" s="90"/>
      <c r="BQR25" s="88"/>
      <c r="BQS25" s="88"/>
      <c r="BQT25" s="90"/>
      <c r="BQU25" s="93"/>
      <c r="BQV25" s="88"/>
      <c r="BQW25" s="88"/>
      <c r="BQX25" s="91"/>
      <c r="BQY25" s="93"/>
      <c r="BQZ25" s="93"/>
      <c r="BRA25" s="88"/>
      <c r="BRB25" s="88"/>
      <c r="BRC25" s="90"/>
      <c r="BRD25" s="90"/>
      <c r="BRE25" s="88"/>
      <c r="BRF25" s="88"/>
      <c r="BRG25" s="90"/>
      <c r="BRH25" s="93"/>
      <c r="BRI25" s="88"/>
      <c r="BRJ25" s="88"/>
      <c r="BRK25" s="91"/>
      <c r="BRL25" s="93"/>
      <c r="BRM25" s="93"/>
      <c r="BRN25" s="88"/>
      <c r="BRO25" s="88"/>
      <c r="BRP25" s="90"/>
      <c r="BRQ25" s="90"/>
      <c r="BRR25" s="88"/>
      <c r="BRS25" s="88"/>
      <c r="BRT25" s="90"/>
      <c r="BRU25" s="93"/>
      <c r="BRV25" s="88"/>
      <c r="BRW25" s="88"/>
      <c r="BRX25" s="91"/>
      <c r="BRY25" s="93"/>
      <c r="BRZ25" s="93"/>
      <c r="BSA25" s="88"/>
      <c r="BSB25" s="88"/>
      <c r="BSC25" s="90"/>
      <c r="BSD25" s="90"/>
      <c r="BSE25" s="88"/>
      <c r="BSF25" s="88"/>
      <c r="BSG25" s="90"/>
      <c r="BSH25" s="93"/>
      <c r="BSI25" s="88"/>
      <c r="BSJ25" s="88"/>
      <c r="BSK25" s="91"/>
      <c r="BSL25" s="93"/>
      <c r="BSM25" s="93"/>
      <c r="BSN25" s="88"/>
      <c r="BSO25" s="88"/>
      <c r="BSP25" s="90"/>
      <c r="BSQ25" s="90"/>
      <c r="BSR25" s="88"/>
      <c r="BSS25" s="88"/>
      <c r="BST25" s="90"/>
      <c r="BSU25" s="93"/>
      <c r="BSV25" s="88"/>
      <c r="BSW25" s="88"/>
      <c r="BSX25" s="91"/>
      <c r="BSY25" s="93"/>
      <c r="BSZ25" s="93"/>
      <c r="BTA25" s="88"/>
      <c r="BTB25" s="88"/>
      <c r="BTC25" s="90"/>
      <c r="BTD25" s="90"/>
      <c r="BTE25" s="88"/>
      <c r="BTF25" s="88"/>
      <c r="BTG25" s="90"/>
      <c r="BTH25" s="93"/>
      <c r="BTI25" s="88"/>
      <c r="BTJ25" s="88"/>
      <c r="BTK25" s="91"/>
      <c r="BTL25" s="93"/>
      <c r="BTM25" s="93"/>
      <c r="BTN25" s="88"/>
      <c r="BTO25" s="88"/>
      <c r="BTP25" s="90"/>
      <c r="BTQ25" s="90"/>
      <c r="BTR25" s="88"/>
      <c r="BTS25" s="88"/>
      <c r="BTT25" s="90"/>
      <c r="BTU25" s="93"/>
      <c r="BTV25" s="88"/>
      <c r="BTW25" s="88"/>
      <c r="BTX25" s="91"/>
      <c r="BTY25" s="93"/>
      <c r="BTZ25" s="93"/>
      <c r="BUA25" s="88"/>
      <c r="BUB25" s="88"/>
      <c r="BUC25" s="90"/>
      <c r="BUD25" s="90"/>
      <c r="BUE25" s="88"/>
      <c r="BUF25" s="88"/>
      <c r="BUG25" s="90"/>
      <c r="BUH25" s="93"/>
      <c r="BUI25" s="88"/>
      <c r="BUJ25" s="88"/>
      <c r="BUK25" s="91"/>
      <c r="BUL25" s="93"/>
      <c r="BUM25" s="93"/>
      <c r="BUN25" s="88"/>
      <c r="BUO25" s="88"/>
      <c r="BUP25" s="90"/>
      <c r="BUQ25" s="90"/>
      <c r="BUR25" s="88"/>
      <c r="BUS25" s="88"/>
      <c r="BUT25" s="90"/>
      <c r="BUU25" s="93"/>
      <c r="BUV25" s="88"/>
      <c r="BUW25" s="88"/>
      <c r="BUX25" s="91"/>
      <c r="BUY25" s="93"/>
      <c r="BUZ25" s="93"/>
      <c r="BVA25" s="88"/>
      <c r="BVB25" s="88"/>
      <c r="BVC25" s="90"/>
      <c r="BVD25" s="90"/>
      <c r="BVE25" s="88"/>
      <c r="BVF25" s="88"/>
      <c r="BVG25" s="90"/>
      <c r="BVH25" s="93"/>
      <c r="BVI25" s="88"/>
      <c r="BVJ25" s="88"/>
      <c r="BVK25" s="91"/>
      <c r="BVL25" s="93"/>
      <c r="BVM25" s="93"/>
      <c r="BVN25" s="88"/>
      <c r="BVO25" s="88"/>
      <c r="BVP25" s="90"/>
      <c r="BVQ25" s="90"/>
      <c r="BVR25" s="88"/>
      <c r="BVS25" s="88"/>
      <c r="BVT25" s="90"/>
      <c r="BVU25" s="93"/>
      <c r="BVV25" s="88"/>
      <c r="BVW25" s="88"/>
      <c r="BVX25" s="91"/>
      <c r="BVY25" s="93"/>
      <c r="BVZ25" s="93"/>
      <c r="BWA25" s="88"/>
      <c r="BWB25" s="88"/>
      <c r="BWC25" s="90"/>
      <c r="BWD25" s="90"/>
      <c r="BWE25" s="88"/>
      <c r="BWF25" s="88"/>
      <c r="BWG25" s="90"/>
      <c r="BWH25" s="93"/>
      <c r="BWI25" s="88"/>
      <c r="BWJ25" s="88"/>
      <c r="BWK25" s="91"/>
      <c r="BWL25" s="93"/>
      <c r="BWM25" s="93"/>
      <c r="BWN25" s="88"/>
      <c r="BWO25" s="88"/>
      <c r="BWP25" s="90"/>
      <c r="BWQ25" s="90"/>
      <c r="BWR25" s="88"/>
      <c r="BWS25" s="88"/>
      <c r="BWT25" s="90"/>
      <c r="BWU25" s="93"/>
      <c r="BWV25" s="88"/>
      <c r="BWW25" s="88"/>
      <c r="BWX25" s="91"/>
      <c r="BWY25" s="93"/>
      <c r="BWZ25" s="93"/>
      <c r="BXA25" s="88"/>
      <c r="BXB25" s="88"/>
      <c r="BXC25" s="90"/>
      <c r="BXD25" s="90"/>
      <c r="BXE25" s="88"/>
      <c r="BXF25" s="88"/>
      <c r="BXG25" s="90"/>
      <c r="BXH25" s="93"/>
      <c r="BXI25" s="88"/>
      <c r="BXJ25" s="88"/>
      <c r="BXK25" s="91"/>
      <c r="BXL25" s="93"/>
      <c r="BXM25" s="93"/>
      <c r="BXN25" s="88"/>
      <c r="BXO25" s="88"/>
      <c r="BXP25" s="90"/>
      <c r="BXQ25" s="90"/>
      <c r="BXR25" s="88"/>
      <c r="BXS25" s="88"/>
      <c r="BXT25" s="90"/>
      <c r="BXU25" s="93"/>
      <c r="BXV25" s="88"/>
      <c r="BXW25" s="88"/>
      <c r="BXX25" s="91"/>
      <c r="BXY25" s="93"/>
      <c r="BXZ25" s="93"/>
      <c r="BYA25" s="88"/>
      <c r="BYB25" s="88"/>
      <c r="BYC25" s="90"/>
      <c r="BYD25" s="90"/>
      <c r="BYE25" s="88"/>
      <c r="BYF25" s="88"/>
      <c r="BYG25" s="90"/>
      <c r="BYH25" s="93"/>
      <c r="BYI25" s="88"/>
      <c r="BYJ25" s="88"/>
      <c r="BYK25" s="91"/>
      <c r="BYL25" s="93"/>
      <c r="BYM25" s="93"/>
      <c r="BYN25" s="88"/>
      <c r="BYO25" s="88"/>
      <c r="BYP25" s="90"/>
      <c r="BYQ25" s="90"/>
      <c r="BYR25" s="88"/>
      <c r="BYS25" s="88"/>
      <c r="BYT25" s="90"/>
      <c r="BYU25" s="93"/>
      <c r="BYV25" s="88"/>
      <c r="BYW25" s="88"/>
      <c r="BYX25" s="91"/>
      <c r="BYY25" s="93"/>
      <c r="BYZ25" s="93"/>
      <c r="BZA25" s="88"/>
      <c r="BZB25" s="88"/>
      <c r="BZC25" s="90"/>
      <c r="BZD25" s="90"/>
      <c r="BZE25" s="88"/>
      <c r="BZF25" s="88"/>
      <c r="BZG25" s="90"/>
      <c r="BZH25" s="93"/>
      <c r="BZI25" s="88"/>
      <c r="BZJ25" s="88"/>
      <c r="BZK25" s="91"/>
      <c r="BZL25" s="93"/>
      <c r="BZM25" s="93"/>
      <c r="BZN25" s="88"/>
      <c r="BZO25" s="88"/>
      <c r="BZP25" s="90"/>
      <c r="BZQ25" s="90"/>
      <c r="BZR25" s="88"/>
      <c r="BZS25" s="88"/>
      <c r="BZT25" s="90"/>
      <c r="BZU25" s="93"/>
      <c r="BZV25" s="88"/>
      <c r="BZW25" s="88"/>
      <c r="BZX25" s="91"/>
      <c r="BZY25" s="93"/>
      <c r="BZZ25" s="93"/>
      <c r="CAA25" s="88"/>
      <c r="CAB25" s="88"/>
      <c r="CAC25" s="90"/>
      <c r="CAD25" s="90"/>
      <c r="CAE25" s="88"/>
      <c r="CAF25" s="88"/>
      <c r="CAG25" s="90"/>
      <c r="CAH25" s="93"/>
      <c r="CAI25" s="88"/>
      <c r="CAJ25" s="88"/>
      <c r="CAK25" s="91"/>
      <c r="CAL25" s="93"/>
      <c r="CAM25" s="93"/>
      <c r="CAN25" s="88"/>
      <c r="CAO25" s="88"/>
      <c r="CAP25" s="90"/>
      <c r="CAQ25" s="90"/>
      <c r="CAR25" s="88"/>
      <c r="CAS25" s="88"/>
      <c r="CAT25" s="90"/>
      <c r="CAU25" s="93"/>
      <c r="CAV25" s="88"/>
      <c r="CAW25" s="88"/>
      <c r="CAX25" s="91"/>
      <c r="CAY25" s="93"/>
      <c r="CAZ25" s="93"/>
      <c r="CBA25" s="88"/>
      <c r="CBB25" s="88"/>
      <c r="CBC25" s="90"/>
      <c r="CBD25" s="90"/>
      <c r="CBE25" s="88"/>
      <c r="CBF25" s="88"/>
      <c r="CBG25" s="90"/>
      <c r="CBH25" s="93"/>
      <c r="CBI25" s="88"/>
      <c r="CBJ25" s="88"/>
      <c r="CBK25" s="91"/>
      <c r="CBL25" s="93"/>
      <c r="CBM25" s="93"/>
      <c r="CBN25" s="88"/>
      <c r="CBO25" s="88"/>
      <c r="CBP25" s="90"/>
      <c r="CBQ25" s="90"/>
      <c r="CBR25" s="88"/>
      <c r="CBS25" s="88"/>
      <c r="CBT25" s="90"/>
      <c r="CBU25" s="93"/>
      <c r="CBV25" s="88"/>
      <c r="CBW25" s="88"/>
      <c r="CBX25" s="91"/>
      <c r="CBY25" s="93"/>
      <c r="CBZ25" s="93"/>
      <c r="CCA25" s="88"/>
      <c r="CCB25" s="88"/>
      <c r="CCC25" s="90"/>
      <c r="CCD25" s="90"/>
      <c r="CCE25" s="88"/>
      <c r="CCF25" s="88"/>
      <c r="CCG25" s="90"/>
      <c r="CCH25" s="93"/>
      <c r="CCI25" s="88"/>
      <c r="CCJ25" s="88"/>
      <c r="CCK25" s="91"/>
      <c r="CCL25" s="93"/>
      <c r="CCM25" s="93"/>
      <c r="CCN25" s="88"/>
      <c r="CCO25" s="88"/>
      <c r="CCP25" s="90"/>
      <c r="CCQ25" s="90"/>
      <c r="CCR25" s="88"/>
      <c r="CCS25" s="88"/>
      <c r="CCT25" s="90"/>
      <c r="CCU25" s="93"/>
      <c r="CCV25" s="88"/>
      <c r="CCW25" s="88"/>
      <c r="CCX25" s="91"/>
      <c r="CCY25" s="93"/>
      <c r="CCZ25" s="93"/>
      <c r="CDA25" s="88"/>
      <c r="CDB25" s="88"/>
      <c r="CDC25" s="90"/>
      <c r="CDD25" s="90"/>
      <c r="CDE25" s="88"/>
      <c r="CDF25" s="88"/>
      <c r="CDG25" s="90"/>
      <c r="CDH25" s="93"/>
      <c r="CDI25" s="88"/>
      <c r="CDJ25" s="88"/>
      <c r="CDK25" s="91"/>
      <c r="CDL25" s="93"/>
      <c r="CDM25" s="93"/>
      <c r="CDN25" s="88"/>
      <c r="CDO25" s="88"/>
      <c r="CDP25" s="90"/>
      <c r="CDQ25" s="90"/>
      <c r="CDR25" s="88"/>
      <c r="CDS25" s="88"/>
      <c r="CDT25" s="90"/>
      <c r="CDU25" s="93"/>
      <c r="CDV25" s="88"/>
      <c r="CDW25" s="88"/>
      <c r="CDX25" s="91"/>
      <c r="CDY25" s="93"/>
      <c r="CDZ25" s="93"/>
      <c r="CEA25" s="88"/>
      <c r="CEB25" s="88"/>
      <c r="CEC25" s="90"/>
      <c r="CED25" s="90"/>
      <c r="CEE25" s="88"/>
      <c r="CEF25" s="88"/>
      <c r="CEG25" s="90"/>
      <c r="CEH25" s="93"/>
      <c r="CEI25" s="88"/>
      <c r="CEJ25" s="88"/>
      <c r="CEK25" s="91"/>
      <c r="CEL25" s="93"/>
      <c r="CEM25" s="93"/>
      <c r="CEN25" s="88"/>
      <c r="CEO25" s="88"/>
      <c r="CEP25" s="90"/>
      <c r="CEQ25" s="90"/>
      <c r="CER25" s="88"/>
      <c r="CES25" s="88"/>
      <c r="CET25" s="90"/>
      <c r="CEU25" s="93"/>
      <c r="CEV25" s="88"/>
      <c r="CEW25" s="88"/>
      <c r="CEX25" s="91"/>
      <c r="CEY25" s="93"/>
      <c r="CEZ25" s="93"/>
      <c r="CFA25" s="88"/>
      <c r="CFB25" s="88"/>
      <c r="CFC25" s="90"/>
      <c r="CFD25" s="90"/>
      <c r="CFE25" s="88"/>
      <c r="CFF25" s="88"/>
      <c r="CFG25" s="90"/>
      <c r="CFH25" s="93"/>
      <c r="CFI25" s="88"/>
      <c r="CFJ25" s="88"/>
      <c r="CFK25" s="91"/>
      <c r="CFL25" s="93"/>
      <c r="CFM25" s="93"/>
      <c r="CFN25" s="88"/>
      <c r="CFO25" s="88"/>
      <c r="CFP25" s="90"/>
      <c r="CFQ25" s="90"/>
      <c r="CFR25" s="88"/>
      <c r="CFS25" s="88"/>
      <c r="CFT25" s="90"/>
      <c r="CFU25" s="93"/>
      <c r="CFV25" s="88"/>
      <c r="CFW25" s="88"/>
      <c r="CFX25" s="91"/>
      <c r="CFY25" s="93"/>
      <c r="CFZ25" s="93"/>
      <c r="CGA25" s="88"/>
      <c r="CGB25" s="88"/>
      <c r="CGC25" s="90"/>
      <c r="CGD25" s="90"/>
      <c r="CGE25" s="88"/>
      <c r="CGF25" s="88"/>
      <c r="CGG25" s="90"/>
      <c r="CGH25" s="93"/>
      <c r="CGI25" s="88"/>
      <c r="CGJ25" s="88"/>
      <c r="CGK25" s="91"/>
      <c r="CGL25" s="93"/>
      <c r="CGM25" s="93"/>
      <c r="CGN25" s="88"/>
      <c r="CGO25" s="88"/>
      <c r="CGP25" s="90"/>
      <c r="CGQ25" s="90"/>
      <c r="CGR25" s="88"/>
      <c r="CGS25" s="88"/>
      <c r="CGT25" s="90"/>
      <c r="CGU25" s="93"/>
      <c r="CGV25" s="88"/>
      <c r="CGW25" s="88"/>
      <c r="CGX25" s="91"/>
      <c r="CGY25" s="93"/>
      <c r="CGZ25" s="93"/>
      <c r="CHA25" s="88"/>
      <c r="CHB25" s="88"/>
      <c r="CHC25" s="90"/>
      <c r="CHD25" s="90"/>
      <c r="CHE25" s="88"/>
      <c r="CHF25" s="88"/>
      <c r="CHG25" s="90"/>
      <c r="CHH25" s="93"/>
      <c r="CHI25" s="88"/>
      <c r="CHJ25" s="88"/>
      <c r="CHK25" s="91"/>
      <c r="CHL25" s="93"/>
      <c r="CHM25" s="93"/>
      <c r="CHN25" s="88"/>
      <c r="CHO25" s="88"/>
      <c r="CHP25" s="90"/>
      <c r="CHQ25" s="90"/>
      <c r="CHR25" s="88"/>
      <c r="CHS25" s="88"/>
      <c r="CHT25" s="90"/>
      <c r="CHU25" s="93"/>
      <c r="CHV25" s="88"/>
      <c r="CHW25" s="88"/>
      <c r="CHX25" s="91"/>
      <c r="CHY25" s="93"/>
      <c r="CHZ25" s="93"/>
      <c r="CIA25" s="88"/>
      <c r="CIB25" s="88"/>
      <c r="CIC25" s="90"/>
      <c r="CID25" s="90"/>
      <c r="CIE25" s="88"/>
      <c r="CIF25" s="88"/>
      <c r="CIG25" s="90"/>
      <c r="CIH25" s="93"/>
      <c r="CII25" s="88"/>
      <c r="CIJ25" s="88"/>
      <c r="CIK25" s="91"/>
      <c r="CIL25" s="93"/>
      <c r="CIM25" s="93"/>
      <c r="CIN25" s="88"/>
      <c r="CIO25" s="88"/>
      <c r="CIP25" s="90"/>
      <c r="CIQ25" s="90"/>
      <c r="CIR25" s="88"/>
      <c r="CIS25" s="88"/>
      <c r="CIT25" s="90"/>
      <c r="CIU25" s="93"/>
      <c r="CIV25" s="88"/>
      <c r="CIW25" s="88"/>
      <c r="CIX25" s="91"/>
      <c r="CIY25" s="93"/>
      <c r="CIZ25" s="93"/>
      <c r="CJA25" s="88"/>
      <c r="CJB25" s="88"/>
      <c r="CJC25" s="90"/>
      <c r="CJD25" s="90"/>
      <c r="CJE25" s="88"/>
      <c r="CJF25" s="88"/>
      <c r="CJG25" s="90"/>
      <c r="CJH25" s="93"/>
      <c r="CJI25" s="88"/>
      <c r="CJJ25" s="88"/>
      <c r="CJK25" s="91"/>
      <c r="CJL25" s="93"/>
      <c r="CJM25" s="93"/>
      <c r="CJN25" s="88"/>
      <c r="CJO25" s="88"/>
      <c r="CJP25" s="90"/>
      <c r="CJQ25" s="90"/>
      <c r="CJR25" s="88"/>
      <c r="CJS25" s="88"/>
      <c r="CJT25" s="90"/>
      <c r="CJU25" s="93"/>
      <c r="CJV25" s="88"/>
      <c r="CJW25" s="88"/>
      <c r="CJX25" s="91"/>
      <c r="CJY25" s="93"/>
      <c r="CJZ25" s="93"/>
      <c r="CKA25" s="88"/>
      <c r="CKB25" s="88"/>
      <c r="CKC25" s="90"/>
      <c r="CKD25" s="90"/>
      <c r="CKE25" s="88"/>
      <c r="CKF25" s="88"/>
      <c r="CKG25" s="90"/>
      <c r="CKH25" s="93"/>
      <c r="CKI25" s="88"/>
      <c r="CKJ25" s="88"/>
      <c r="CKK25" s="91"/>
      <c r="CKL25" s="93"/>
      <c r="CKM25" s="93"/>
      <c r="CKN25" s="88"/>
      <c r="CKO25" s="88"/>
      <c r="CKP25" s="90"/>
      <c r="CKQ25" s="90"/>
      <c r="CKR25" s="88"/>
      <c r="CKS25" s="88"/>
      <c r="CKT25" s="90"/>
      <c r="CKU25" s="93"/>
      <c r="CKV25" s="88"/>
      <c r="CKW25" s="88"/>
      <c r="CKX25" s="91"/>
      <c r="CKY25" s="93"/>
      <c r="CKZ25" s="93"/>
      <c r="CLA25" s="88"/>
      <c r="CLB25" s="88"/>
      <c r="CLC25" s="90"/>
      <c r="CLD25" s="90"/>
      <c r="CLE25" s="88"/>
      <c r="CLF25" s="88"/>
      <c r="CLG25" s="90"/>
      <c r="CLH25" s="93"/>
      <c r="CLI25" s="88"/>
      <c r="CLJ25" s="88"/>
      <c r="CLK25" s="91"/>
      <c r="CLL25" s="93"/>
      <c r="CLM25" s="93"/>
      <c r="CLN25" s="88"/>
      <c r="CLO25" s="88"/>
      <c r="CLP25" s="90"/>
      <c r="CLQ25" s="90"/>
      <c r="CLR25" s="88"/>
      <c r="CLS25" s="88"/>
      <c r="CLT25" s="90"/>
      <c r="CLU25" s="93"/>
      <c r="CLV25" s="88"/>
      <c r="CLW25" s="88"/>
      <c r="CLX25" s="91"/>
      <c r="CLY25" s="93"/>
      <c r="CLZ25" s="93"/>
      <c r="CMA25" s="88"/>
      <c r="CMB25" s="88"/>
      <c r="CMC25" s="90"/>
      <c r="CMD25" s="90"/>
      <c r="CME25" s="88"/>
      <c r="CMF25" s="88"/>
      <c r="CMG25" s="90"/>
      <c r="CMH25" s="93"/>
      <c r="CMI25" s="88"/>
      <c r="CMJ25" s="88"/>
      <c r="CMK25" s="91"/>
      <c r="CML25" s="93"/>
      <c r="CMM25" s="93"/>
      <c r="CMN25" s="88"/>
      <c r="CMO25" s="88"/>
      <c r="CMP25" s="90"/>
      <c r="CMQ25" s="90"/>
      <c r="CMR25" s="88"/>
      <c r="CMS25" s="88"/>
      <c r="CMT25" s="90"/>
      <c r="CMU25" s="93"/>
      <c r="CMV25" s="88"/>
      <c r="CMW25" s="88"/>
      <c r="CMX25" s="91"/>
      <c r="CMY25" s="93"/>
      <c r="CMZ25" s="93"/>
      <c r="CNA25" s="88"/>
      <c r="CNB25" s="88"/>
      <c r="CNC25" s="90"/>
      <c r="CND25" s="90"/>
      <c r="CNE25" s="88"/>
      <c r="CNF25" s="88"/>
      <c r="CNG25" s="90"/>
      <c r="CNH25" s="93"/>
      <c r="CNI25" s="88"/>
      <c r="CNJ25" s="88"/>
      <c r="CNK25" s="91"/>
      <c r="CNL25" s="93"/>
      <c r="CNM25" s="93"/>
      <c r="CNN25" s="88"/>
      <c r="CNO25" s="88"/>
      <c r="CNP25" s="90"/>
      <c r="CNQ25" s="90"/>
      <c r="CNR25" s="88"/>
      <c r="CNS25" s="88"/>
      <c r="CNT25" s="90"/>
      <c r="CNU25" s="93"/>
      <c r="CNV25" s="88"/>
      <c r="CNW25" s="88"/>
      <c r="CNX25" s="91"/>
      <c r="CNY25" s="93"/>
      <c r="CNZ25" s="93"/>
      <c r="COA25" s="88"/>
      <c r="COB25" s="88"/>
      <c r="COC25" s="90"/>
      <c r="COD25" s="90"/>
      <c r="COE25" s="88"/>
      <c r="COF25" s="88"/>
      <c r="COG25" s="90"/>
      <c r="COH25" s="93"/>
      <c r="COI25" s="88"/>
      <c r="COJ25" s="88"/>
      <c r="COK25" s="91"/>
      <c r="COL25" s="93"/>
      <c r="COM25" s="93"/>
      <c r="CON25" s="88"/>
      <c r="COO25" s="88"/>
      <c r="COP25" s="90"/>
      <c r="COQ25" s="90"/>
      <c r="COR25" s="88"/>
      <c r="COS25" s="88"/>
      <c r="COT25" s="90"/>
      <c r="COU25" s="93"/>
      <c r="COV25" s="88"/>
      <c r="COW25" s="88"/>
      <c r="COX25" s="91"/>
      <c r="COY25" s="93"/>
      <c r="COZ25" s="93"/>
      <c r="CPA25" s="88"/>
      <c r="CPB25" s="88"/>
      <c r="CPC25" s="90"/>
      <c r="CPD25" s="90"/>
      <c r="CPE25" s="88"/>
      <c r="CPF25" s="88"/>
      <c r="CPG25" s="90"/>
      <c r="CPH25" s="93"/>
      <c r="CPI25" s="88"/>
      <c r="CPJ25" s="88"/>
      <c r="CPK25" s="91"/>
      <c r="CPL25" s="93"/>
      <c r="CPM25" s="93"/>
      <c r="CPN25" s="88"/>
      <c r="CPO25" s="88"/>
      <c r="CPP25" s="90"/>
      <c r="CPQ25" s="90"/>
      <c r="CPR25" s="88"/>
      <c r="CPS25" s="88"/>
      <c r="CPT25" s="90"/>
      <c r="CPU25" s="93"/>
      <c r="CPV25" s="88"/>
      <c r="CPW25" s="88"/>
      <c r="CPX25" s="91"/>
      <c r="CPY25" s="93"/>
      <c r="CPZ25" s="93"/>
      <c r="CQA25" s="88"/>
      <c r="CQB25" s="88"/>
      <c r="CQC25" s="90"/>
      <c r="CQD25" s="90"/>
      <c r="CQE25" s="88"/>
      <c r="CQF25" s="88"/>
      <c r="CQG25" s="90"/>
      <c r="CQH25" s="93"/>
      <c r="CQI25" s="88"/>
      <c r="CQJ25" s="88"/>
      <c r="CQK25" s="91"/>
      <c r="CQL25" s="93"/>
      <c r="CQM25" s="93"/>
      <c r="CQN25" s="88"/>
      <c r="CQO25" s="88"/>
      <c r="CQP25" s="90"/>
      <c r="CQQ25" s="90"/>
      <c r="CQR25" s="88"/>
      <c r="CQS25" s="88"/>
      <c r="CQT25" s="90"/>
      <c r="CQU25" s="93"/>
      <c r="CQV25" s="88"/>
      <c r="CQW25" s="88"/>
      <c r="CQX25" s="91"/>
      <c r="CQY25" s="93"/>
      <c r="CQZ25" s="93"/>
      <c r="CRA25" s="88"/>
      <c r="CRB25" s="88"/>
      <c r="CRC25" s="90"/>
      <c r="CRD25" s="90"/>
      <c r="CRE25" s="88"/>
      <c r="CRF25" s="88"/>
      <c r="CRG25" s="90"/>
      <c r="CRH25" s="93"/>
      <c r="CRI25" s="88"/>
      <c r="CRJ25" s="88"/>
      <c r="CRK25" s="91"/>
      <c r="CRL25" s="93"/>
      <c r="CRM25" s="93"/>
      <c r="CRN25" s="88"/>
      <c r="CRO25" s="88"/>
      <c r="CRP25" s="90"/>
      <c r="CRQ25" s="90"/>
      <c r="CRR25" s="88"/>
      <c r="CRS25" s="88"/>
      <c r="CRT25" s="90"/>
      <c r="CRU25" s="93"/>
      <c r="CRV25" s="88"/>
      <c r="CRW25" s="88"/>
      <c r="CRX25" s="91"/>
      <c r="CRY25" s="93"/>
      <c r="CRZ25" s="93"/>
      <c r="CSA25" s="88"/>
      <c r="CSB25" s="88"/>
      <c r="CSC25" s="90"/>
      <c r="CSD25" s="90"/>
      <c r="CSE25" s="88"/>
      <c r="CSF25" s="88"/>
      <c r="CSG25" s="90"/>
      <c r="CSH25" s="93"/>
      <c r="CSI25" s="88"/>
      <c r="CSJ25" s="88"/>
      <c r="CSK25" s="91"/>
      <c r="CSL25" s="93"/>
      <c r="CSM25" s="93"/>
      <c r="CSN25" s="88"/>
      <c r="CSO25" s="88"/>
      <c r="CSP25" s="90"/>
      <c r="CSQ25" s="90"/>
      <c r="CSR25" s="88"/>
      <c r="CSS25" s="88"/>
      <c r="CST25" s="90"/>
      <c r="CSU25" s="93"/>
      <c r="CSV25" s="88"/>
      <c r="CSW25" s="88"/>
      <c r="CSX25" s="91"/>
      <c r="CSY25" s="93"/>
      <c r="CSZ25" s="93"/>
      <c r="CTA25" s="88"/>
      <c r="CTB25" s="88"/>
      <c r="CTC25" s="90"/>
      <c r="CTD25" s="90"/>
      <c r="CTE25" s="88"/>
      <c r="CTF25" s="88"/>
      <c r="CTG25" s="90"/>
      <c r="CTH25" s="93"/>
      <c r="CTI25" s="88"/>
      <c r="CTJ25" s="88"/>
      <c r="CTK25" s="91"/>
      <c r="CTL25" s="93"/>
      <c r="CTM25" s="93"/>
      <c r="CTN25" s="88"/>
      <c r="CTO25" s="88"/>
      <c r="CTP25" s="90"/>
      <c r="CTQ25" s="90"/>
      <c r="CTR25" s="88"/>
      <c r="CTS25" s="88"/>
      <c r="CTT25" s="90"/>
      <c r="CTU25" s="93"/>
      <c r="CTV25" s="88"/>
      <c r="CTW25" s="88"/>
      <c r="CTX25" s="91"/>
      <c r="CTY25" s="93"/>
      <c r="CTZ25" s="93"/>
      <c r="CUA25" s="88"/>
      <c r="CUB25" s="88"/>
      <c r="CUC25" s="90"/>
      <c r="CUD25" s="90"/>
      <c r="CUE25" s="88"/>
      <c r="CUF25" s="88"/>
      <c r="CUG25" s="90"/>
      <c r="CUH25" s="93"/>
      <c r="CUI25" s="88"/>
      <c r="CUJ25" s="88"/>
      <c r="CUK25" s="91"/>
      <c r="CUL25" s="93"/>
      <c r="CUM25" s="93"/>
      <c r="CUN25" s="88"/>
      <c r="CUO25" s="88"/>
      <c r="CUP25" s="90"/>
      <c r="CUQ25" s="90"/>
      <c r="CUR25" s="88"/>
      <c r="CUS25" s="88"/>
      <c r="CUT25" s="90"/>
      <c r="CUU25" s="93"/>
      <c r="CUV25" s="88"/>
      <c r="CUW25" s="88"/>
      <c r="CUX25" s="91"/>
      <c r="CUY25" s="93"/>
      <c r="CUZ25" s="93"/>
      <c r="CVA25" s="88"/>
      <c r="CVB25" s="88"/>
      <c r="CVC25" s="90"/>
      <c r="CVD25" s="90"/>
      <c r="CVE25" s="88"/>
      <c r="CVF25" s="88"/>
      <c r="CVG25" s="90"/>
      <c r="CVH25" s="93"/>
      <c r="CVI25" s="88"/>
      <c r="CVJ25" s="88"/>
      <c r="CVK25" s="91"/>
      <c r="CVL25" s="93"/>
      <c r="CVM25" s="93"/>
      <c r="CVN25" s="88"/>
      <c r="CVO25" s="88"/>
      <c r="CVP25" s="90"/>
      <c r="CVQ25" s="90"/>
      <c r="CVR25" s="88"/>
      <c r="CVS25" s="88"/>
      <c r="CVT25" s="90"/>
      <c r="CVU25" s="93"/>
      <c r="CVV25" s="88"/>
      <c r="CVW25" s="88"/>
      <c r="CVX25" s="91"/>
      <c r="CVY25" s="93"/>
      <c r="CVZ25" s="93"/>
      <c r="CWA25" s="88"/>
      <c r="CWB25" s="88"/>
      <c r="CWC25" s="90"/>
      <c r="CWD25" s="90"/>
      <c r="CWE25" s="88"/>
      <c r="CWF25" s="88"/>
      <c r="CWG25" s="90"/>
      <c r="CWH25" s="93"/>
      <c r="CWI25" s="88"/>
      <c r="CWJ25" s="88"/>
      <c r="CWK25" s="91"/>
      <c r="CWL25" s="93"/>
      <c r="CWM25" s="93"/>
      <c r="CWN25" s="88"/>
      <c r="CWO25" s="88"/>
      <c r="CWP25" s="90"/>
      <c r="CWQ25" s="90"/>
      <c r="CWR25" s="88"/>
      <c r="CWS25" s="88"/>
      <c r="CWT25" s="90"/>
      <c r="CWU25" s="93"/>
      <c r="CWV25" s="88"/>
      <c r="CWW25" s="88"/>
      <c r="CWX25" s="91"/>
      <c r="CWY25" s="93"/>
      <c r="CWZ25" s="93"/>
      <c r="CXA25" s="88"/>
      <c r="CXB25" s="88"/>
      <c r="CXC25" s="90"/>
      <c r="CXD25" s="90"/>
      <c r="CXE25" s="88"/>
      <c r="CXF25" s="88"/>
      <c r="CXG25" s="90"/>
      <c r="CXH25" s="93"/>
      <c r="CXI25" s="88"/>
      <c r="CXJ25" s="88"/>
      <c r="CXK25" s="91"/>
      <c r="CXL25" s="93"/>
      <c r="CXM25" s="93"/>
      <c r="CXN25" s="88"/>
      <c r="CXO25" s="88"/>
      <c r="CXP25" s="90"/>
      <c r="CXQ25" s="90"/>
      <c r="CXR25" s="88"/>
      <c r="CXS25" s="88"/>
      <c r="CXT25" s="90"/>
      <c r="CXU25" s="93"/>
      <c r="CXV25" s="88"/>
      <c r="CXW25" s="88"/>
      <c r="CXX25" s="91"/>
      <c r="CXY25" s="93"/>
      <c r="CXZ25" s="93"/>
      <c r="CYA25" s="88"/>
      <c r="CYB25" s="88"/>
      <c r="CYC25" s="90"/>
      <c r="CYD25" s="90"/>
      <c r="CYE25" s="88"/>
      <c r="CYF25" s="88"/>
      <c r="CYG25" s="90"/>
      <c r="CYH25" s="93"/>
      <c r="CYI25" s="88"/>
      <c r="CYJ25" s="88"/>
      <c r="CYK25" s="91"/>
      <c r="CYL25" s="93"/>
      <c r="CYM25" s="93"/>
      <c r="CYN25" s="88"/>
      <c r="CYO25" s="88"/>
      <c r="CYP25" s="90"/>
      <c r="CYQ25" s="90"/>
      <c r="CYR25" s="88"/>
      <c r="CYS25" s="88"/>
      <c r="CYT25" s="90"/>
      <c r="CYU25" s="93"/>
      <c r="CYV25" s="88"/>
      <c r="CYW25" s="88"/>
      <c r="CYX25" s="91"/>
      <c r="CYY25" s="93"/>
      <c r="CYZ25" s="93"/>
      <c r="CZA25" s="88"/>
      <c r="CZB25" s="88"/>
      <c r="CZC25" s="90"/>
      <c r="CZD25" s="90"/>
      <c r="CZE25" s="88"/>
      <c r="CZF25" s="88"/>
      <c r="CZG25" s="90"/>
      <c r="CZH25" s="93"/>
      <c r="CZI25" s="88"/>
      <c r="CZJ25" s="88"/>
      <c r="CZK25" s="91"/>
      <c r="CZL25" s="93"/>
      <c r="CZM25" s="93"/>
      <c r="CZN25" s="88"/>
      <c r="CZO25" s="88"/>
      <c r="CZP25" s="90"/>
      <c r="CZQ25" s="90"/>
      <c r="CZR25" s="88"/>
      <c r="CZS25" s="88"/>
      <c r="CZT25" s="90"/>
      <c r="CZU25" s="93"/>
      <c r="CZV25" s="88"/>
      <c r="CZW25" s="88"/>
      <c r="CZX25" s="91"/>
      <c r="CZY25" s="93"/>
      <c r="CZZ25" s="93"/>
      <c r="DAA25" s="88"/>
      <c r="DAB25" s="88"/>
      <c r="DAC25" s="90"/>
      <c r="DAD25" s="90"/>
      <c r="DAE25" s="88"/>
      <c r="DAF25" s="88"/>
      <c r="DAG25" s="90"/>
      <c r="DAH25" s="93"/>
      <c r="DAI25" s="88"/>
      <c r="DAJ25" s="88"/>
      <c r="DAK25" s="91"/>
      <c r="DAL25" s="93"/>
      <c r="DAM25" s="93"/>
      <c r="DAN25" s="88"/>
      <c r="DAO25" s="88"/>
      <c r="DAP25" s="90"/>
      <c r="DAQ25" s="90"/>
      <c r="DAR25" s="88"/>
      <c r="DAS25" s="88"/>
      <c r="DAT25" s="90"/>
      <c r="DAU25" s="93"/>
      <c r="DAV25" s="88"/>
      <c r="DAW25" s="88"/>
      <c r="DAX25" s="91"/>
      <c r="DAY25" s="93"/>
      <c r="DAZ25" s="93"/>
      <c r="DBA25" s="88"/>
      <c r="DBB25" s="88"/>
      <c r="DBC25" s="90"/>
      <c r="DBD25" s="90"/>
      <c r="DBE25" s="88"/>
      <c r="DBF25" s="88"/>
      <c r="DBG25" s="90"/>
      <c r="DBH25" s="93"/>
      <c r="DBI25" s="88"/>
      <c r="DBJ25" s="88"/>
      <c r="DBK25" s="91"/>
      <c r="DBL25" s="93"/>
      <c r="DBM25" s="93"/>
      <c r="DBN25" s="88"/>
      <c r="DBO25" s="88"/>
      <c r="DBP25" s="90"/>
      <c r="DBQ25" s="90"/>
      <c r="DBR25" s="88"/>
      <c r="DBS25" s="88"/>
      <c r="DBT25" s="90"/>
      <c r="DBU25" s="93"/>
      <c r="DBV25" s="88"/>
      <c r="DBW25" s="88"/>
      <c r="DBX25" s="91"/>
      <c r="DBY25" s="93"/>
      <c r="DBZ25" s="93"/>
      <c r="DCA25" s="88"/>
      <c r="DCB25" s="88"/>
      <c r="DCC25" s="90"/>
      <c r="DCD25" s="90"/>
      <c r="DCE25" s="88"/>
      <c r="DCF25" s="88"/>
      <c r="DCG25" s="90"/>
      <c r="DCH25" s="93"/>
      <c r="DCI25" s="88"/>
      <c r="DCJ25" s="88"/>
      <c r="DCK25" s="91"/>
      <c r="DCL25" s="93"/>
      <c r="DCM25" s="93"/>
      <c r="DCN25" s="88"/>
      <c r="DCO25" s="88"/>
      <c r="DCP25" s="90"/>
      <c r="DCQ25" s="90"/>
      <c r="DCR25" s="88"/>
      <c r="DCS25" s="88"/>
      <c r="DCT25" s="90"/>
      <c r="DCU25" s="93"/>
      <c r="DCV25" s="88"/>
      <c r="DCW25" s="88"/>
      <c r="DCX25" s="91"/>
      <c r="DCY25" s="93"/>
      <c r="DCZ25" s="93"/>
      <c r="DDA25" s="88"/>
      <c r="DDB25" s="88"/>
      <c r="DDC25" s="90"/>
      <c r="DDD25" s="90"/>
      <c r="DDE25" s="88"/>
      <c r="DDF25" s="88"/>
      <c r="DDG25" s="90"/>
      <c r="DDH25" s="93"/>
      <c r="DDI25" s="88"/>
      <c r="DDJ25" s="88"/>
      <c r="DDK25" s="91"/>
      <c r="DDL25" s="93"/>
      <c r="DDM25" s="93"/>
      <c r="DDN25" s="88"/>
      <c r="DDO25" s="88"/>
      <c r="DDP25" s="90"/>
      <c r="DDQ25" s="90"/>
      <c r="DDR25" s="88"/>
      <c r="DDS25" s="88"/>
      <c r="DDT25" s="90"/>
      <c r="DDU25" s="93"/>
      <c r="DDV25" s="88"/>
      <c r="DDW25" s="88"/>
      <c r="DDX25" s="91"/>
      <c r="DDY25" s="93"/>
      <c r="DDZ25" s="93"/>
      <c r="DEA25" s="88"/>
      <c r="DEB25" s="88"/>
      <c r="DEC25" s="90"/>
      <c r="DED25" s="90"/>
      <c r="DEE25" s="88"/>
      <c r="DEF25" s="88"/>
      <c r="DEG25" s="90"/>
      <c r="DEH25" s="93"/>
      <c r="DEI25" s="88"/>
      <c r="DEJ25" s="88"/>
      <c r="DEK25" s="91"/>
      <c r="DEL25" s="93"/>
      <c r="DEM25" s="93"/>
      <c r="DEN25" s="88"/>
      <c r="DEO25" s="88"/>
      <c r="DEP25" s="90"/>
      <c r="DEQ25" s="90"/>
      <c r="DER25" s="88"/>
      <c r="DES25" s="88"/>
      <c r="DET25" s="90"/>
      <c r="DEU25" s="93"/>
      <c r="DEV25" s="88"/>
      <c r="DEW25" s="88"/>
      <c r="DEX25" s="91"/>
      <c r="DEY25" s="93"/>
      <c r="DEZ25" s="93"/>
      <c r="DFA25" s="88"/>
      <c r="DFB25" s="88"/>
      <c r="DFC25" s="90"/>
      <c r="DFD25" s="90"/>
      <c r="DFE25" s="88"/>
      <c r="DFF25" s="88"/>
      <c r="DFG25" s="90"/>
      <c r="DFH25" s="93"/>
      <c r="DFI25" s="88"/>
      <c r="DFJ25" s="88"/>
      <c r="DFK25" s="91"/>
      <c r="DFL25" s="93"/>
      <c r="DFM25" s="93"/>
      <c r="DFN25" s="88"/>
      <c r="DFO25" s="88"/>
      <c r="DFP25" s="90"/>
      <c r="DFQ25" s="90"/>
      <c r="DFR25" s="88"/>
      <c r="DFS25" s="88"/>
      <c r="DFT25" s="90"/>
      <c r="DFU25" s="93"/>
      <c r="DFV25" s="88"/>
      <c r="DFW25" s="88"/>
      <c r="DFX25" s="91"/>
      <c r="DFY25" s="93"/>
      <c r="DFZ25" s="93"/>
      <c r="DGA25" s="88"/>
      <c r="DGB25" s="88"/>
      <c r="DGC25" s="90"/>
      <c r="DGD25" s="90"/>
      <c r="DGE25" s="88"/>
      <c r="DGF25" s="88"/>
      <c r="DGG25" s="90"/>
      <c r="DGH25" s="93"/>
      <c r="DGI25" s="88"/>
      <c r="DGJ25" s="88"/>
      <c r="DGK25" s="91"/>
      <c r="DGL25" s="93"/>
      <c r="DGM25" s="93"/>
      <c r="DGN25" s="88"/>
      <c r="DGO25" s="88"/>
      <c r="DGP25" s="90"/>
      <c r="DGQ25" s="90"/>
      <c r="DGR25" s="88"/>
      <c r="DGS25" s="88"/>
      <c r="DGT25" s="90"/>
      <c r="DGU25" s="93"/>
      <c r="DGV25" s="88"/>
      <c r="DGW25" s="88"/>
      <c r="DGX25" s="91"/>
      <c r="DGY25" s="93"/>
      <c r="DGZ25" s="93"/>
      <c r="DHA25" s="88"/>
      <c r="DHB25" s="88"/>
      <c r="DHC25" s="90"/>
      <c r="DHD25" s="90"/>
      <c r="DHE25" s="88"/>
      <c r="DHF25" s="88"/>
      <c r="DHG25" s="90"/>
      <c r="DHH25" s="93"/>
      <c r="DHI25" s="88"/>
      <c r="DHJ25" s="88"/>
      <c r="DHK25" s="91"/>
      <c r="DHL25" s="93"/>
      <c r="DHM25" s="93"/>
      <c r="DHN25" s="88"/>
      <c r="DHO25" s="88"/>
      <c r="DHP25" s="90"/>
      <c r="DHQ25" s="90"/>
      <c r="DHR25" s="88"/>
      <c r="DHS25" s="88"/>
      <c r="DHT25" s="90"/>
      <c r="DHU25" s="93"/>
      <c r="DHV25" s="88"/>
      <c r="DHW25" s="88"/>
      <c r="DHX25" s="91"/>
      <c r="DHY25" s="93"/>
      <c r="DHZ25" s="93"/>
      <c r="DIA25" s="88"/>
      <c r="DIB25" s="88"/>
      <c r="DIC25" s="90"/>
      <c r="DID25" s="90"/>
      <c r="DIE25" s="88"/>
      <c r="DIF25" s="88"/>
      <c r="DIG25" s="90"/>
      <c r="DIH25" s="93"/>
      <c r="DII25" s="88"/>
      <c r="DIJ25" s="88"/>
      <c r="DIK25" s="91"/>
      <c r="DIL25" s="93"/>
      <c r="DIM25" s="93"/>
      <c r="DIN25" s="88"/>
      <c r="DIO25" s="88"/>
      <c r="DIP25" s="90"/>
      <c r="DIQ25" s="90"/>
      <c r="DIR25" s="88"/>
      <c r="DIS25" s="88"/>
      <c r="DIT25" s="90"/>
      <c r="DIU25" s="93"/>
      <c r="DIV25" s="88"/>
      <c r="DIW25" s="88"/>
      <c r="DIX25" s="91"/>
      <c r="DIY25" s="93"/>
      <c r="DIZ25" s="93"/>
      <c r="DJA25" s="88"/>
      <c r="DJB25" s="88"/>
      <c r="DJC25" s="90"/>
      <c r="DJD25" s="90"/>
      <c r="DJE25" s="88"/>
      <c r="DJF25" s="88"/>
      <c r="DJG25" s="90"/>
      <c r="DJH25" s="93"/>
      <c r="DJI25" s="88"/>
      <c r="DJJ25" s="88"/>
      <c r="DJK25" s="91"/>
      <c r="DJL25" s="93"/>
      <c r="DJM25" s="93"/>
      <c r="DJN25" s="88"/>
      <c r="DJO25" s="88"/>
      <c r="DJP25" s="90"/>
      <c r="DJQ25" s="90"/>
      <c r="DJR25" s="88"/>
      <c r="DJS25" s="88"/>
      <c r="DJT25" s="90"/>
      <c r="DJU25" s="93"/>
      <c r="DJV25" s="88"/>
      <c r="DJW25" s="88"/>
      <c r="DJX25" s="91"/>
      <c r="DJY25" s="93"/>
      <c r="DJZ25" s="93"/>
      <c r="DKA25" s="88"/>
      <c r="DKB25" s="88"/>
      <c r="DKC25" s="90"/>
      <c r="DKD25" s="90"/>
      <c r="DKE25" s="88"/>
      <c r="DKF25" s="88"/>
      <c r="DKG25" s="90"/>
      <c r="DKH25" s="93"/>
      <c r="DKI25" s="88"/>
      <c r="DKJ25" s="88"/>
      <c r="DKK25" s="91"/>
      <c r="DKL25" s="93"/>
      <c r="DKM25" s="93"/>
      <c r="DKN25" s="88"/>
      <c r="DKO25" s="88"/>
      <c r="DKP25" s="90"/>
      <c r="DKQ25" s="90"/>
      <c r="DKR25" s="88"/>
      <c r="DKS25" s="88"/>
      <c r="DKT25" s="90"/>
      <c r="DKU25" s="93"/>
      <c r="DKV25" s="88"/>
      <c r="DKW25" s="88"/>
      <c r="DKX25" s="91"/>
      <c r="DKY25" s="93"/>
      <c r="DKZ25" s="93"/>
      <c r="DLA25" s="88"/>
      <c r="DLB25" s="88"/>
      <c r="DLC25" s="90"/>
      <c r="DLD25" s="90"/>
      <c r="DLE25" s="88"/>
      <c r="DLF25" s="88"/>
      <c r="DLG25" s="90"/>
      <c r="DLH25" s="93"/>
      <c r="DLI25" s="88"/>
      <c r="DLJ25" s="88"/>
      <c r="DLK25" s="91"/>
      <c r="DLL25" s="93"/>
      <c r="DLM25" s="93"/>
      <c r="DLN25" s="88"/>
      <c r="DLO25" s="88"/>
      <c r="DLP25" s="90"/>
      <c r="DLQ25" s="90"/>
      <c r="DLR25" s="88"/>
      <c r="DLS25" s="88"/>
      <c r="DLT25" s="90"/>
      <c r="DLU25" s="93"/>
      <c r="DLV25" s="88"/>
      <c r="DLW25" s="88"/>
      <c r="DLX25" s="91"/>
      <c r="DLY25" s="93"/>
      <c r="DLZ25" s="93"/>
      <c r="DMA25" s="88"/>
      <c r="DMB25" s="88"/>
      <c r="DMC25" s="90"/>
      <c r="DMD25" s="90"/>
      <c r="DME25" s="88"/>
      <c r="DMF25" s="88"/>
      <c r="DMG25" s="90"/>
      <c r="DMH25" s="93"/>
      <c r="DMI25" s="88"/>
      <c r="DMJ25" s="88"/>
      <c r="DMK25" s="91"/>
      <c r="DML25" s="93"/>
      <c r="DMM25" s="93"/>
      <c r="DMN25" s="88"/>
      <c r="DMO25" s="88"/>
      <c r="DMP25" s="90"/>
      <c r="DMQ25" s="90"/>
      <c r="DMR25" s="88"/>
      <c r="DMS25" s="88"/>
      <c r="DMT25" s="90"/>
      <c r="DMU25" s="93"/>
      <c r="DMV25" s="88"/>
      <c r="DMW25" s="88"/>
      <c r="DMX25" s="91"/>
      <c r="DMY25" s="93"/>
      <c r="DMZ25" s="93"/>
      <c r="DNA25" s="88"/>
      <c r="DNB25" s="88"/>
      <c r="DNC25" s="90"/>
      <c r="DND25" s="90"/>
      <c r="DNE25" s="88"/>
      <c r="DNF25" s="88"/>
      <c r="DNG25" s="90"/>
      <c r="DNH25" s="93"/>
      <c r="DNI25" s="88"/>
      <c r="DNJ25" s="88"/>
      <c r="DNK25" s="91"/>
      <c r="DNL25" s="93"/>
      <c r="DNM25" s="93"/>
      <c r="DNN25" s="88"/>
      <c r="DNO25" s="88"/>
      <c r="DNP25" s="90"/>
      <c r="DNQ25" s="90"/>
      <c r="DNR25" s="88"/>
      <c r="DNS25" s="88"/>
      <c r="DNT25" s="90"/>
      <c r="DNU25" s="93"/>
      <c r="DNV25" s="88"/>
      <c r="DNW25" s="88"/>
      <c r="DNX25" s="91"/>
      <c r="DNY25" s="93"/>
      <c r="DNZ25" s="93"/>
      <c r="DOA25" s="88"/>
      <c r="DOB25" s="88"/>
      <c r="DOC25" s="90"/>
      <c r="DOD25" s="90"/>
      <c r="DOE25" s="88"/>
      <c r="DOF25" s="88"/>
      <c r="DOG25" s="90"/>
      <c r="DOH25" s="93"/>
      <c r="DOI25" s="88"/>
      <c r="DOJ25" s="88"/>
      <c r="DOK25" s="91"/>
      <c r="DOL25" s="93"/>
      <c r="DOM25" s="93"/>
      <c r="DON25" s="88"/>
      <c r="DOO25" s="88"/>
      <c r="DOP25" s="90"/>
      <c r="DOQ25" s="90"/>
      <c r="DOR25" s="88"/>
      <c r="DOS25" s="88"/>
      <c r="DOT25" s="90"/>
      <c r="DOU25" s="93"/>
      <c r="DOV25" s="88"/>
      <c r="DOW25" s="88"/>
      <c r="DOX25" s="91"/>
      <c r="DOY25" s="93"/>
      <c r="DOZ25" s="93"/>
      <c r="DPA25" s="88"/>
      <c r="DPB25" s="88"/>
      <c r="DPC25" s="90"/>
      <c r="DPD25" s="90"/>
      <c r="DPE25" s="88"/>
      <c r="DPF25" s="88"/>
      <c r="DPG25" s="90"/>
      <c r="DPH25" s="93"/>
      <c r="DPI25" s="88"/>
      <c r="DPJ25" s="88"/>
      <c r="DPK25" s="91"/>
      <c r="DPL25" s="93"/>
      <c r="DPM25" s="93"/>
      <c r="DPN25" s="88"/>
      <c r="DPO25" s="88"/>
      <c r="DPP25" s="90"/>
      <c r="DPQ25" s="90"/>
      <c r="DPR25" s="88"/>
      <c r="DPS25" s="88"/>
      <c r="DPT25" s="90"/>
      <c r="DPU25" s="93"/>
      <c r="DPV25" s="88"/>
      <c r="DPW25" s="88"/>
      <c r="DPX25" s="91"/>
      <c r="DPY25" s="93"/>
      <c r="DPZ25" s="93"/>
      <c r="DQA25" s="88"/>
      <c r="DQB25" s="88"/>
      <c r="DQC25" s="90"/>
      <c r="DQD25" s="90"/>
      <c r="DQE25" s="88"/>
      <c r="DQF25" s="88"/>
      <c r="DQG25" s="90"/>
      <c r="DQH25" s="93"/>
      <c r="DQI25" s="88"/>
      <c r="DQJ25" s="88"/>
      <c r="DQK25" s="91"/>
      <c r="DQL25" s="93"/>
      <c r="DQM25" s="93"/>
      <c r="DQN25" s="88"/>
      <c r="DQO25" s="88"/>
      <c r="DQP25" s="90"/>
      <c r="DQQ25" s="90"/>
      <c r="DQR25" s="88"/>
      <c r="DQS25" s="88"/>
      <c r="DQT25" s="90"/>
      <c r="DQU25" s="93"/>
      <c r="DQV25" s="88"/>
      <c r="DQW25" s="88"/>
      <c r="DQX25" s="91"/>
      <c r="DQY25" s="93"/>
      <c r="DQZ25" s="93"/>
      <c r="DRA25" s="88"/>
      <c r="DRB25" s="88"/>
      <c r="DRC25" s="90"/>
      <c r="DRD25" s="90"/>
      <c r="DRE25" s="88"/>
      <c r="DRF25" s="88"/>
      <c r="DRG25" s="90"/>
      <c r="DRH25" s="93"/>
      <c r="DRI25" s="88"/>
      <c r="DRJ25" s="88"/>
      <c r="DRK25" s="91"/>
      <c r="DRL25" s="93"/>
      <c r="DRM25" s="93"/>
      <c r="DRN25" s="88"/>
      <c r="DRO25" s="88"/>
      <c r="DRP25" s="90"/>
      <c r="DRQ25" s="90"/>
      <c r="DRR25" s="88"/>
      <c r="DRS25" s="88"/>
      <c r="DRT25" s="90"/>
      <c r="DRU25" s="93"/>
      <c r="DRV25" s="88"/>
      <c r="DRW25" s="88"/>
      <c r="DRX25" s="91"/>
      <c r="DRY25" s="93"/>
      <c r="DRZ25" s="93"/>
      <c r="DSA25" s="88"/>
      <c r="DSB25" s="88"/>
      <c r="DSC25" s="90"/>
      <c r="DSD25" s="90"/>
      <c r="DSE25" s="88"/>
      <c r="DSF25" s="88"/>
      <c r="DSG25" s="90"/>
      <c r="DSH25" s="93"/>
      <c r="DSI25" s="88"/>
      <c r="DSJ25" s="88"/>
      <c r="DSK25" s="91"/>
      <c r="DSL25" s="93"/>
      <c r="DSM25" s="93"/>
      <c r="DSN25" s="88"/>
      <c r="DSO25" s="88"/>
      <c r="DSP25" s="90"/>
      <c r="DSQ25" s="90"/>
      <c r="DSR25" s="88"/>
      <c r="DSS25" s="88"/>
      <c r="DST25" s="90"/>
      <c r="DSU25" s="93"/>
      <c r="DSV25" s="88"/>
      <c r="DSW25" s="88"/>
      <c r="DSX25" s="91"/>
      <c r="DSY25" s="93"/>
      <c r="DSZ25" s="93"/>
      <c r="DTA25" s="88"/>
      <c r="DTB25" s="88"/>
      <c r="DTC25" s="90"/>
      <c r="DTD25" s="90"/>
      <c r="DTE25" s="88"/>
      <c r="DTF25" s="88"/>
      <c r="DTG25" s="90"/>
      <c r="DTH25" s="93"/>
      <c r="DTI25" s="88"/>
      <c r="DTJ25" s="88"/>
      <c r="DTK25" s="91"/>
      <c r="DTL25" s="93"/>
      <c r="DTM25" s="93"/>
      <c r="DTN25" s="88"/>
      <c r="DTO25" s="88"/>
      <c r="DTP25" s="90"/>
      <c r="DTQ25" s="90"/>
      <c r="DTR25" s="88"/>
      <c r="DTS25" s="88"/>
      <c r="DTT25" s="90"/>
      <c r="DTU25" s="93"/>
      <c r="DTV25" s="88"/>
      <c r="DTW25" s="88"/>
      <c r="DTX25" s="91"/>
      <c r="DTY25" s="93"/>
      <c r="DTZ25" s="93"/>
      <c r="DUA25" s="88"/>
      <c r="DUB25" s="88"/>
      <c r="DUC25" s="90"/>
      <c r="DUD25" s="90"/>
      <c r="DUE25" s="88"/>
      <c r="DUF25" s="88"/>
      <c r="DUG25" s="90"/>
      <c r="DUH25" s="93"/>
      <c r="DUI25" s="88"/>
      <c r="DUJ25" s="88"/>
      <c r="DUK25" s="91"/>
      <c r="DUL25" s="93"/>
      <c r="DUM25" s="93"/>
      <c r="DUN25" s="88"/>
      <c r="DUO25" s="88"/>
      <c r="DUP25" s="90"/>
      <c r="DUQ25" s="90"/>
      <c r="DUR25" s="88"/>
      <c r="DUS25" s="88"/>
      <c r="DUT25" s="90"/>
      <c r="DUU25" s="93"/>
      <c r="DUV25" s="88"/>
      <c r="DUW25" s="88"/>
      <c r="DUX25" s="91"/>
      <c r="DUY25" s="93"/>
      <c r="DUZ25" s="93"/>
      <c r="DVA25" s="88"/>
      <c r="DVB25" s="88"/>
      <c r="DVC25" s="90"/>
      <c r="DVD25" s="90"/>
      <c r="DVE25" s="88"/>
      <c r="DVF25" s="88"/>
      <c r="DVG25" s="90"/>
      <c r="DVH25" s="93"/>
      <c r="DVI25" s="88"/>
      <c r="DVJ25" s="88"/>
      <c r="DVK25" s="91"/>
      <c r="DVL25" s="93"/>
      <c r="DVM25" s="93"/>
      <c r="DVN25" s="88"/>
      <c r="DVO25" s="88"/>
      <c r="DVP25" s="90"/>
      <c r="DVQ25" s="90"/>
      <c r="DVR25" s="88"/>
      <c r="DVS25" s="88"/>
      <c r="DVT25" s="90"/>
      <c r="DVU25" s="93"/>
      <c r="DVV25" s="88"/>
      <c r="DVW25" s="88"/>
      <c r="DVX25" s="91"/>
      <c r="DVY25" s="93"/>
      <c r="DVZ25" s="93"/>
      <c r="DWA25" s="88"/>
      <c r="DWB25" s="88"/>
      <c r="DWC25" s="90"/>
      <c r="DWD25" s="90"/>
      <c r="DWE25" s="88"/>
      <c r="DWF25" s="88"/>
      <c r="DWG25" s="90"/>
      <c r="DWH25" s="93"/>
      <c r="DWI25" s="88"/>
      <c r="DWJ25" s="88"/>
      <c r="DWK25" s="91"/>
      <c r="DWL25" s="93"/>
      <c r="DWM25" s="93"/>
      <c r="DWN25" s="88"/>
      <c r="DWO25" s="88"/>
      <c r="DWP25" s="90"/>
      <c r="DWQ25" s="90"/>
      <c r="DWR25" s="88"/>
      <c r="DWS25" s="88"/>
      <c r="DWT25" s="90"/>
      <c r="DWU25" s="93"/>
      <c r="DWV25" s="88"/>
      <c r="DWW25" s="88"/>
      <c r="DWX25" s="91"/>
      <c r="DWY25" s="93"/>
      <c r="DWZ25" s="93"/>
      <c r="DXA25" s="88"/>
      <c r="DXB25" s="88"/>
      <c r="DXC25" s="90"/>
      <c r="DXD25" s="90"/>
      <c r="DXE25" s="88"/>
      <c r="DXF25" s="88"/>
      <c r="DXG25" s="90"/>
      <c r="DXH25" s="93"/>
      <c r="DXI25" s="88"/>
      <c r="DXJ25" s="88"/>
      <c r="DXK25" s="91"/>
      <c r="DXL25" s="93"/>
      <c r="DXM25" s="93"/>
      <c r="DXN25" s="88"/>
      <c r="DXO25" s="88"/>
      <c r="DXP25" s="90"/>
      <c r="DXQ25" s="90"/>
      <c r="DXR25" s="88"/>
      <c r="DXS25" s="88"/>
      <c r="DXT25" s="90"/>
      <c r="DXU25" s="93"/>
      <c r="DXV25" s="88"/>
      <c r="DXW25" s="88"/>
      <c r="DXX25" s="91"/>
      <c r="DXY25" s="93"/>
      <c r="DXZ25" s="93"/>
      <c r="DYA25" s="88"/>
      <c r="DYB25" s="88"/>
      <c r="DYC25" s="90"/>
      <c r="DYD25" s="90"/>
      <c r="DYE25" s="88"/>
      <c r="DYF25" s="88"/>
      <c r="DYG25" s="90"/>
      <c r="DYH25" s="93"/>
      <c r="DYI25" s="88"/>
      <c r="DYJ25" s="88"/>
      <c r="DYK25" s="91"/>
      <c r="DYL25" s="93"/>
      <c r="DYM25" s="93"/>
      <c r="DYN25" s="88"/>
      <c r="DYO25" s="88"/>
      <c r="DYP25" s="90"/>
      <c r="DYQ25" s="90"/>
      <c r="DYR25" s="88"/>
      <c r="DYS25" s="88"/>
      <c r="DYT25" s="90"/>
      <c r="DYU25" s="93"/>
      <c r="DYV25" s="88"/>
      <c r="DYW25" s="88"/>
      <c r="DYX25" s="91"/>
      <c r="DYY25" s="93"/>
      <c r="DYZ25" s="93"/>
      <c r="DZA25" s="88"/>
      <c r="DZB25" s="88"/>
      <c r="DZC25" s="90"/>
      <c r="DZD25" s="90"/>
      <c r="DZE25" s="88"/>
      <c r="DZF25" s="88"/>
      <c r="DZG25" s="90"/>
      <c r="DZH25" s="93"/>
      <c r="DZI25" s="88"/>
      <c r="DZJ25" s="88"/>
      <c r="DZK25" s="91"/>
      <c r="DZL25" s="93"/>
      <c r="DZM25" s="93"/>
      <c r="DZN25" s="88"/>
      <c r="DZO25" s="88"/>
      <c r="DZP25" s="90"/>
      <c r="DZQ25" s="90"/>
      <c r="DZR25" s="88"/>
      <c r="DZS25" s="88"/>
      <c r="DZT25" s="90"/>
      <c r="DZU25" s="93"/>
      <c r="DZV25" s="88"/>
      <c r="DZW25" s="88"/>
      <c r="DZX25" s="91"/>
      <c r="DZY25" s="93"/>
      <c r="DZZ25" s="93"/>
      <c r="EAA25" s="88"/>
      <c r="EAB25" s="88"/>
      <c r="EAC25" s="90"/>
      <c r="EAD25" s="90"/>
      <c r="EAE25" s="88"/>
      <c r="EAF25" s="88"/>
      <c r="EAG25" s="90"/>
      <c r="EAH25" s="93"/>
      <c r="EAI25" s="88"/>
      <c r="EAJ25" s="88"/>
      <c r="EAK25" s="91"/>
      <c r="EAL25" s="93"/>
      <c r="EAM25" s="93"/>
      <c r="EAN25" s="88"/>
      <c r="EAO25" s="88"/>
      <c r="EAP25" s="90"/>
      <c r="EAQ25" s="90"/>
      <c r="EAR25" s="88"/>
      <c r="EAS25" s="88"/>
      <c r="EAT25" s="90"/>
      <c r="EAU25" s="93"/>
      <c r="EAV25" s="88"/>
      <c r="EAW25" s="88"/>
      <c r="EAX25" s="91"/>
      <c r="EAY25" s="93"/>
      <c r="EAZ25" s="93"/>
      <c r="EBA25" s="88"/>
      <c r="EBB25" s="88"/>
      <c r="EBC25" s="90"/>
      <c r="EBD25" s="90"/>
      <c r="EBE25" s="88"/>
      <c r="EBF25" s="88"/>
      <c r="EBG25" s="90"/>
      <c r="EBH25" s="93"/>
      <c r="EBI25" s="88"/>
      <c r="EBJ25" s="88"/>
      <c r="EBK25" s="91"/>
      <c r="EBL25" s="93"/>
      <c r="EBM25" s="93"/>
      <c r="EBN25" s="88"/>
      <c r="EBO25" s="88"/>
      <c r="EBP25" s="90"/>
      <c r="EBQ25" s="90"/>
      <c r="EBR25" s="88"/>
      <c r="EBS25" s="88"/>
      <c r="EBT25" s="90"/>
      <c r="EBU25" s="93"/>
      <c r="EBV25" s="88"/>
      <c r="EBW25" s="88"/>
      <c r="EBX25" s="91"/>
      <c r="EBY25" s="93"/>
      <c r="EBZ25" s="93"/>
      <c r="ECA25" s="88"/>
      <c r="ECB25" s="88"/>
      <c r="ECC25" s="90"/>
      <c r="ECD25" s="90"/>
      <c r="ECE25" s="88"/>
      <c r="ECF25" s="88"/>
      <c r="ECG25" s="90"/>
      <c r="ECH25" s="93"/>
      <c r="ECI25" s="88"/>
      <c r="ECJ25" s="88"/>
      <c r="ECK25" s="91"/>
      <c r="ECL25" s="93"/>
      <c r="ECM25" s="93"/>
      <c r="ECN25" s="88"/>
      <c r="ECO25" s="88"/>
      <c r="ECP25" s="90"/>
      <c r="ECQ25" s="90"/>
      <c r="ECR25" s="88"/>
      <c r="ECS25" s="88"/>
      <c r="ECT25" s="90"/>
      <c r="ECU25" s="93"/>
      <c r="ECV25" s="88"/>
      <c r="ECW25" s="88"/>
      <c r="ECX25" s="91"/>
      <c r="ECY25" s="93"/>
      <c r="ECZ25" s="93"/>
      <c r="EDA25" s="88"/>
      <c r="EDB25" s="88"/>
      <c r="EDC25" s="90"/>
      <c r="EDD25" s="90"/>
      <c r="EDE25" s="88"/>
      <c r="EDF25" s="88"/>
      <c r="EDG25" s="90"/>
      <c r="EDH25" s="93"/>
      <c r="EDI25" s="88"/>
      <c r="EDJ25" s="88"/>
      <c r="EDK25" s="91"/>
      <c r="EDL25" s="93"/>
      <c r="EDM25" s="93"/>
      <c r="EDN25" s="88"/>
      <c r="EDO25" s="88"/>
      <c r="EDP25" s="90"/>
      <c r="EDQ25" s="90"/>
      <c r="EDR25" s="88"/>
      <c r="EDS25" s="88"/>
      <c r="EDT25" s="90"/>
      <c r="EDU25" s="93"/>
      <c r="EDV25" s="88"/>
      <c r="EDW25" s="88"/>
      <c r="EDX25" s="91"/>
      <c r="EDY25" s="93"/>
      <c r="EDZ25" s="93"/>
      <c r="EEA25" s="88"/>
      <c r="EEB25" s="88"/>
      <c r="EEC25" s="90"/>
      <c r="EED25" s="90"/>
      <c r="EEE25" s="88"/>
      <c r="EEF25" s="88"/>
      <c r="EEG25" s="90"/>
      <c r="EEH25" s="93"/>
      <c r="EEI25" s="88"/>
      <c r="EEJ25" s="88"/>
      <c r="EEK25" s="91"/>
      <c r="EEL25" s="93"/>
      <c r="EEM25" s="93"/>
      <c r="EEN25" s="88"/>
      <c r="EEO25" s="88"/>
      <c r="EEP25" s="90"/>
      <c r="EEQ25" s="90"/>
      <c r="EER25" s="88"/>
      <c r="EES25" s="88"/>
      <c r="EET25" s="90"/>
      <c r="EEU25" s="93"/>
      <c r="EEV25" s="88"/>
      <c r="EEW25" s="88"/>
      <c r="EEX25" s="91"/>
      <c r="EEY25" s="93"/>
      <c r="EEZ25" s="93"/>
      <c r="EFA25" s="88"/>
      <c r="EFB25" s="88"/>
      <c r="EFC25" s="90"/>
      <c r="EFD25" s="90"/>
      <c r="EFE25" s="88"/>
      <c r="EFF25" s="88"/>
      <c r="EFG25" s="90"/>
      <c r="EFH25" s="93"/>
      <c r="EFI25" s="88"/>
      <c r="EFJ25" s="88"/>
      <c r="EFK25" s="91"/>
      <c r="EFL25" s="93"/>
      <c r="EFM25" s="93"/>
      <c r="EFN25" s="88"/>
      <c r="EFO25" s="88"/>
      <c r="EFP25" s="90"/>
      <c r="EFQ25" s="90"/>
      <c r="EFR25" s="88"/>
      <c r="EFS25" s="88"/>
      <c r="EFT25" s="90"/>
      <c r="EFU25" s="93"/>
      <c r="EFV25" s="88"/>
      <c r="EFW25" s="88"/>
      <c r="EFX25" s="91"/>
      <c r="EFY25" s="93"/>
      <c r="EFZ25" s="93"/>
      <c r="EGA25" s="88"/>
      <c r="EGB25" s="88"/>
      <c r="EGC25" s="90"/>
      <c r="EGD25" s="90"/>
      <c r="EGE25" s="88"/>
      <c r="EGF25" s="88"/>
      <c r="EGG25" s="90"/>
      <c r="EGH25" s="93"/>
      <c r="EGI25" s="88"/>
      <c r="EGJ25" s="88"/>
      <c r="EGK25" s="91"/>
      <c r="EGL25" s="93"/>
      <c r="EGM25" s="93"/>
      <c r="EGN25" s="88"/>
      <c r="EGO25" s="88"/>
      <c r="EGP25" s="90"/>
      <c r="EGQ25" s="90"/>
      <c r="EGR25" s="88"/>
      <c r="EGS25" s="88"/>
      <c r="EGT25" s="90"/>
      <c r="EGU25" s="93"/>
      <c r="EGV25" s="88"/>
      <c r="EGW25" s="88"/>
      <c r="EGX25" s="91"/>
      <c r="EGY25" s="93"/>
      <c r="EGZ25" s="93"/>
      <c r="EHA25" s="88"/>
      <c r="EHB25" s="88"/>
      <c r="EHC25" s="90"/>
      <c r="EHD25" s="90"/>
      <c r="EHE25" s="88"/>
      <c r="EHF25" s="88"/>
      <c r="EHG25" s="90"/>
      <c r="EHH25" s="93"/>
      <c r="EHI25" s="88"/>
      <c r="EHJ25" s="88"/>
      <c r="EHK25" s="91"/>
      <c r="EHL25" s="93"/>
      <c r="EHM25" s="93"/>
      <c r="EHN25" s="88"/>
      <c r="EHO25" s="88"/>
      <c r="EHP25" s="90"/>
      <c r="EHQ25" s="90"/>
      <c r="EHR25" s="88"/>
      <c r="EHS25" s="88"/>
      <c r="EHT25" s="90"/>
      <c r="EHU25" s="93"/>
      <c r="EHV25" s="88"/>
      <c r="EHW25" s="88"/>
      <c r="EHX25" s="91"/>
      <c r="EHY25" s="93"/>
      <c r="EHZ25" s="93"/>
      <c r="EIA25" s="88"/>
      <c r="EIB25" s="88"/>
      <c r="EIC25" s="90"/>
      <c r="EID25" s="90"/>
      <c r="EIE25" s="88"/>
      <c r="EIF25" s="88"/>
      <c r="EIG25" s="90"/>
      <c r="EIH25" s="93"/>
      <c r="EII25" s="88"/>
      <c r="EIJ25" s="88"/>
      <c r="EIK25" s="91"/>
      <c r="EIL25" s="93"/>
      <c r="EIM25" s="93"/>
      <c r="EIN25" s="88"/>
      <c r="EIO25" s="88"/>
      <c r="EIP25" s="90"/>
      <c r="EIQ25" s="90"/>
      <c r="EIR25" s="88"/>
      <c r="EIS25" s="88"/>
      <c r="EIT25" s="90"/>
      <c r="EIU25" s="93"/>
      <c r="EIV25" s="88"/>
      <c r="EIW25" s="88"/>
      <c r="EIX25" s="91"/>
      <c r="EIY25" s="93"/>
      <c r="EIZ25" s="93"/>
      <c r="EJA25" s="88"/>
      <c r="EJB25" s="88"/>
      <c r="EJC25" s="90"/>
      <c r="EJD25" s="90"/>
      <c r="EJE25" s="88"/>
      <c r="EJF25" s="88"/>
      <c r="EJG25" s="90"/>
      <c r="EJH25" s="93"/>
      <c r="EJI25" s="88"/>
      <c r="EJJ25" s="88"/>
      <c r="EJK25" s="91"/>
      <c r="EJL25" s="93"/>
      <c r="EJM25" s="93"/>
      <c r="EJN25" s="88"/>
      <c r="EJO25" s="88"/>
      <c r="EJP25" s="90"/>
      <c r="EJQ25" s="90"/>
      <c r="EJR25" s="88"/>
      <c r="EJS25" s="88"/>
      <c r="EJT25" s="90"/>
      <c r="EJU25" s="93"/>
      <c r="EJV25" s="88"/>
      <c r="EJW25" s="88"/>
      <c r="EJX25" s="91"/>
      <c r="EJY25" s="93"/>
      <c r="EJZ25" s="93"/>
      <c r="EKA25" s="88"/>
      <c r="EKB25" s="88"/>
      <c r="EKC25" s="90"/>
      <c r="EKD25" s="90"/>
      <c r="EKE25" s="88"/>
      <c r="EKF25" s="88"/>
      <c r="EKG25" s="90"/>
      <c r="EKH25" s="93"/>
      <c r="EKI25" s="88"/>
      <c r="EKJ25" s="88"/>
      <c r="EKK25" s="91"/>
      <c r="EKL25" s="93"/>
      <c r="EKM25" s="93"/>
      <c r="EKN25" s="88"/>
      <c r="EKO25" s="88"/>
      <c r="EKP25" s="90"/>
      <c r="EKQ25" s="90"/>
      <c r="EKR25" s="88"/>
      <c r="EKS25" s="88"/>
      <c r="EKT25" s="90"/>
      <c r="EKU25" s="93"/>
      <c r="EKV25" s="88"/>
      <c r="EKW25" s="88"/>
      <c r="EKX25" s="91"/>
      <c r="EKY25" s="93"/>
      <c r="EKZ25" s="93"/>
      <c r="ELA25" s="88"/>
      <c r="ELB25" s="88"/>
      <c r="ELC25" s="90"/>
      <c r="ELD25" s="90"/>
      <c r="ELE25" s="88"/>
      <c r="ELF25" s="88"/>
      <c r="ELG25" s="90"/>
      <c r="ELH25" s="93"/>
      <c r="ELI25" s="88"/>
      <c r="ELJ25" s="88"/>
      <c r="ELK25" s="91"/>
      <c r="ELL25" s="93"/>
      <c r="ELM25" s="93"/>
      <c r="ELN25" s="88"/>
      <c r="ELO25" s="88"/>
      <c r="ELP25" s="90"/>
      <c r="ELQ25" s="90"/>
      <c r="ELR25" s="88"/>
      <c r="ELS25" s="88"/>
      <c r="ELT25" s="90"/>
      <c r="ELU25" s="93"/>
      <c r="ELV25" s="88"/>
      <c r="ELW25" s="88"/>
      <c r="ELX25" s="91"/>
      <c r="ELY25" s="93"/>
      <c r="ELZ25" s="93"/>
      <c r="EMA25" s="88"/>
      <c r="EMB25" s="88"/>
      <c r="EMC25" s="90"/>
      <c r="EMD25" s="90"/>
      <c r="EME25" s="88"/>
      <c r="EMF25" s="88"/>
      <c r="EMG25" s="90"/>
      <c r="EMH25" s="93"/>
      <c r="EMI25" s="88"/>
      <c r="EMJ25" s="88"/>
      <c r="EMK25" s="91"/>
      <c r="EML25" s="93"/>
      <c r="EMM25" s="93"/>
      <c r="EMN25" s="88"/>
      <c r="EMO25" s="88"/>
      <c r="EMP25" s="90"/>
      <c r="EMQ25" s="90"/>
      <c r="EMR25" s="88"/>
      <c r="EMS25" s="88"/>
      <c r="EMT25" s="90"/>
      <c r="EMU25" s="93"/>
      <c r="EMV25" s="88"/>
      <c r="EMW25" s="88"/>
      <c r="EMX25" s="91"/>
      <c r="EMY25" s="93"/>
      <c r="EMZ25" s="93"/>
      <c r="ENA25" s="88"/>
      <c r="ENB25" s="88"/>
      <c r="ENC25" s="90"/>
      <c r="END25" s="90"/>
      <c r="ENE25" s="88"/>
      <c r="ENF25" s="88"/>
      <c r="ENG25" s="90"/>
      <c r="ENH25" s="93"/>
      <c r="ENI25" s="88"/>
      <c r="ENJ25" s="88"/>
      <c r="ENK25" s="91"/>
      <c r="ENL25" s="93"/>
      <c r="ENM25" s="93"/>
      <c r="ENN25" s="88"/>
      <c r="ENO25" s="88"/>
      <c r="ENP25" s="90"/>
      <c r="ENQ25" s="90"/>
      <c r="ENR25" s="88"/>
      <c r="ENS25" s="88"/>
      <c r="ENT25" s="90"/>
      <c r="ENU25" s="93"/>
      <c r="ENV25" s="88"/>
      <c r="ENW25" s="88"/>
      <c r="ENX25" s="91"/>
      <c r="ENY25" s="93"/>
      <c r="ENZ25" s="93"/>
      <c r="EOA25" s="88"/>
      <c r="EOB25" s="88"/>
      <c r="EOC25" s="90"/>
      <c r="EOD25" s="90"/>
      <c r="EOE25" s="88"/>
      <c r="EOF25" s="88"/>
      <c r="EOG25" s="90"/>
      <c r="EOH25" s="93"/>
      <c r="EOI25" s="88"/>
      <c r="EOJ25" s="88"/>
      <c r="EOK25" s="91"/>
      <c r="EOL25" s="93"/>
      <c r="EOM25" s="93"/>
      <c r="EON25" s="88"/>
      <c r="EOO25" s="88"/>
      <c r="EOP25" s="90"/>
      <c r="EOQ25" s="90"/>
      <c r="EOR25" s="88"/>
      <c r="EOS25" s="88"/>
      <c r="EOT25" s="90"/>
      <c r="EOU25" s="93"/>
      <c r="EOV25" s="88"/>
      <c r="EOW25" s="88"/>
      <c r="EOX25" s="91"/>
      <c r="EOY25" s="93"/>
      <c r="EOZ25" s="93"/>
      <c r="EPA25" s="88"/>
      <c r="EPB25" s="88"/>
      <c r="EPC25" s="90"/>
      <c r="EPD25" s="90"/>
      <c r="EPE25" s="88"/>
      <c r="EPF25" s="88"/>
      <c r="EPG25" s="90"/>
      <c r="EPH25" s="93"/>
      <c r="EPI25" s="88"/>
      <c r="EPJ25" s="88"/>
      <c r="EPK25" s="91"/>
      <c r="EPL25" s="93"/>
      <c r="EPM25" s="93"/>
      <c r="EPN25" s="88"/>
      <c r="EPO25" s="88"/>
      <c r="EPP25" s="90"/>
      <c r="EPQ25" s="90"/>
      <c r="EPR25" s="88"/>
      <c r="EPS25" s="88"/>
      <c r="EPT25" s="90"/>
      <c r="EPU25" s="93"/>
      <c r="EPV25" s="88"/>
      <c r="EPW25" s="88"/>
      <c r="EPX25" s="91"/>
      <c r="EPY25" s="93"/>
      <c r="EPZ25" s="93"/>
      <c r="EQA25" s="88"/>
      <c r="EQB25" s="88"/>
      <c r="EQC25" s="90"/>
      <c r="EQD25" s="90"/>
      <c r="EQE25" s="88"/>
      <c r="EQF25" s="88"/>
      <c r="EQG25" s="90"/>
      <c r="EQH25" s="93"/>
      <c r="EQI25" s="88"/>
      <c r="EQJ25" s="88"/>
      <c r="EQK25" s="91"/>
      <c r="EQL25" s="93"/>
      <c r="EQM25" s="93"/>
      <c r="EQN25" s="88"/>
      <c r="EQO25" s="88"/>
      <c r="EQP25" s="90"/>
      <c r="EQQ25" s="90"/>
      <c r="EQR25" s="88"/>
      <c r="EQS25" s="88"/>
      <c r="EQT25" s="90"/>
      <c r="EQU25" s="93"/>
      <c r="EQV25" s="88"/>
      <c r="EQW25" s="88"/>
      <c r="EQX25" s="91"/>
      <c r="EQY25" s="93"/>
      <c r="EQZ25" s="93"/>
      <c r="ERA25" s="88"/>
      <c r="ERB25" s="88"/>
      <c r="ERC25" s="90"/>
      <c r="ERD25" s="90"/>
      <c r="ERE25" s="88"/>
      <c r="ERF25" s="88"/>
      <c r="ERG25" s="90"/>
      <c r="ERH25" s="93"/>
      <c r="ERI25" s="88"/>
      <c r="ERJ25" s="88"/>
      <c r="ERK25" s="91"/>
      <c r="ERL25" s="93"/>
      <c r="ERM25" s="93"/>
      <c r="ERN25" s="88"/>
      <c r="ERO25" s="88"/>
      <c r="ERP25" s="90"/>
      <c r="ERQ25" s="90"/>
      <c r="ERR25" s="88"/>
      <c r="ERS25" s="88"/>
      <c r="ERT25" s="90"/>
      <c r="ERU25" s="93"/>
      <c r="ERV25" s="88"/>
      <c r="ERW25" s="88"/>
      <c r="ERX25" s="91"/>
      <c r="ERY25" s="93"/>
      <c r="ERZ25" s="93"/>
      <c r="ESA25" s="88"/>
      <c r="ESB25" s="88"/>
      <c r="ESC25" s="90"/>
      <c r="ESD25" s="90"/>
      <c r="ESE25" s="88"/>
      <c r="ESF25" s="88"/>
      <c r="ESG25" s="90"/>
      <c r="ESH25" s="93"/>
      <c r="ESI25" s="88"/>
      <c r="ESJ25" s="88"/>
      <c r="ESK25" s="91"/>
      <c r="ESL25" s="93"/>
      <c r="ESM25" s="93"/>
      <c r="ESN25" s="88"/>
      <c r="ESO25" s="88"/>
      <c r="ESP25" s="90"/>
      <c r="ESQ25" s="90"/>
      <c r="ESR25" s="88"/>
      <c r="ESS25" s="88"/>
      <c r="EST25" s="90"/>
      <c r="ESU25" s="93"/>
      <c r="ESV25" s="88"/>
      <c r="ESW25" s="88"/>
      <c r="ESX25" s="91"/>
      <c r="ESY25" s="93"/>
      <c r="ESZ25" s="93"/>
      <c r="ETA25" s="88"/>
      <c r="ETB25" s="88"/>
      <c r="ETC25" s="90"/>
      <c r="ETD25" s="90"/>
      <c r="ETE25" s="88"/>
      <c r="ETF25" s="88"/>
      <c r="ETG25" s="90"/>
      <c r="ETH25" s="93"/>
      <c r="ETI25" s="88"/>
      <c r="ETJ25" s="88"/>
      <c r="ETK25" s="91"/>
      <c r="ETL25" s="93"/>
      <c r="ETM25" s="93"/>
      <c r="ETN25" s="88"/>
      <c r="ETO25" s="88"/>
      <c r="ETP25" s="90"/>
      <c r="ETQ25" s="90"/>
      <c r="ETR25" s="88"/>
      <c r="ETS25" s="88"/>
      <c r="ETT25" s="90"/>
      <c r="ETU25" s="93"/>
      <c r="ETV25" s="88"/>
      <c r="ETW25" s="88"/>
      <c r="ETX25" s="91"/>
      <c r="ETY25" s="93"/>
      <c r="ETZ25" s="93"/>
      <c r="EUA25" s="88"/>
      <c r="EUB25" s="88"/>
      <c r="EUC25" s="90"/>
      <c r="EUD25" s="90"/>
      <c r="EUE25" s="88"/>
      <c r="EUF25" s="88"/>
      <c r="EUG25" s="90"/>
      <c r="EUH25" s="93"/>
      <c r="EUI25" s="88"/>
      <c r="EUJ25" s="88"/>
      <c r="EUK25" s="91"/>
      <c r="EUL25" s="93"/>
      <c r="EUM25" s="93"/>
      <c r="EUN25" s="88"/>
      <c r="EUO25" s="88"/>
      <c r="EUP25" s="90"/>
      <c r="EUQ25" s="90"/>
      <c r="EUR25" s="88"/>
      <c r="EUS25" s="88"/>
      <c r="EUT25" s="90"/>
      <c r="EUU25" s="93"/>
      <c r="EUV25" s="88"/>
      <c r="EUW25" s="88"/>
      <c r="EUX25" s="91"/>
      <c r="EUY25" s="93"/>
      <c r="EUZ25" s="93"/>
      <c r="EVA25" s="88"/>
      <c r="EVB25" s="88"/>
      <c r="EVC25" s="90"/>
      <c r="EVD25" s="90"/>
      <c r="EVE25" s="88"/>
      <c r="EVF25" s="88"/>
      <c r="EVG25" s="90"/>
      <c r="EVH25" s="93"/>
      <c r="EVI25" s="88"/>
      <c r="EVJ25" s="88"/>
      <c r="EVK25" s="91"/>
      <c r="EVL25" s="93"/>
      <c r="EVM25" s="93"/>
      <c r="EVN25" s="88"/>
      <c r="EVO25" s="88"/>
      <c r="EVP25" s="90"/>
      <c r="EVQ25" s="90"/>
      <c r="EVR25" s="88"/>
      <c r="EVS25" s="88"/>
      <c r="EVT25" s="90"/>
      <c r="EVU25" s="93"/>
      <c r="EVV25" s="88"/>
      <c r="EVW25" s="88"/>
      <c r="EVX25" s="91"/>
      <c r="EVY25" s="93"/>
      <c r="EVZ25" s="93"/>
      <c r="EWA25" s="88"/>
      <c r="EWB25" s="88"/>
      <c r="EWC25" s="90"/>
      <c r="EWD25" s="90"/>
      <c r="EWE25" s="88"/>
      <c r="EWF25" s="88"/>
      <c r="EWG25" s="90"/>
      <c r="EWH25" s="93"/>
      <c r="EWI25" s="88"/>
      <c r="EWJ25" s="88"/>
      <c r="EWK25" s="91"/>
      <c r="EWL25" s="93"/>
      <c r="EWM25" s="93"/>
      <c r="EWN25" s="88"/>
      <c r="EWO25" s="88"/>
      <c r="EWP25" s="90"/>
      <c r="EWQ25" s="90"/>
      <c r="EWR25" s="88"/>
      <c r="EWS25" s="88"/>
      <c r="EWT25" s="90"/>
      <c r="EWU25" s="93"/>
      <c r="EWV25" s="88"/>
      <c r="EWW25" s="88"/>
      <c r="EWX25" s="91"/>
      <c r="EWY25" s="93"/>
      <c r="EWZ25" s="93"/>
      <c r="EXA25" s="88"/>
      <c r="EXB25" s="88"/>
      <c r="EXC25" s="90"/>
      <c r="EXD25" s="90"/>
      <c r="EXE25" s="88"/>
      <c r="EXF25" s="88"/>
      <c r="EXG25" s="90"/>
      <c r="EXH25" s="93"/>
      <c r="EXI25" s="88"/>
      <c r="EXJ25" s="88"/>
      <c r="EXK25" s="91"/>
      <c r="EXL25" s="93"/>
      <c r="EXM25" s="93"/>
      <c r="EXN25" s="88"/>
      <c r="EXO25" s="88"/>
      <c r="EXP25" s="90"/>
      <c r="EXQ25" s="90"/>
      <c r="EXR25" s="88"/>
      <c r="EXS25" s="88"/>
      <c r="EXT25" s="90"/>
      <c r="EXU25" s="93"/>
      <c r="EXV25" s="88"/>
      <c r="EXW25" s="88"/>
      <c r="EXX25" s="91"/>
      <c r="EXY25" s="93"/>
      <c r="EXZ25" s="93"/>
      <c r="EYA25" s="88"/>
      <c r="EYB25" s="88"/>
      <c r="EYC25" s="90"/>
      <c r="EYD25" s="90"/>
      <c r="EYE25" s="88"/>
      <c r="EYF25" s="88"/>
      <c r="EYG25" s="90"/>
      <c r="EYH25" s="93"/>
      <c r="EYI25" s="88"/>
      <c r="EYJ25" s="88"/>
      <c r="EYK25" s="91"/>
      <c r="EYL25" s="93"/>
      <c r="EYM25" s="93"/>
      <c r="EYN25" s="88"/>
      <c r="EYO25" s="88"/>
      <c r="EYP25" s="90"/>
      <c r="EYQ25" s="90"/>
      <c r="EYR25" s="88"/>
      <c r="EYS25" s="88"/>
      <c r="EYT25" s="90"/>
      <c r="EYU25" s="93"/>
      <c r="EYV25" s="88"/>
      <c r="EYW25" s="88"/>
      <c r="EYX25" s="91"/>
      <c r="EYY25" s="93"/>
      <c r="EYZ25" s="93"/>
      <c r="EZA25" s="88"/>
      <c r="EZB25" s="88"/>
      <c r="EZC25" s="90"/>
      <c r="EZD25" s="90"/>
      <c r="EZE25" s="88"/>
      <c r="EZF25" s="88"/>
      <c r="EZG25" s="90"/>
      <c r="EZH25" s="93"/>
      <c r="EZI25" s="88"/>
      <c r="EZJ25" s="88"/>
      <c r="EZK25" s="91"/>
      <c r="EZL25" s="93"/>
      <c r="EZM25" s="93"/>
      <c r="EZN25" s="88"/>
      <c r="EZO25" s="88"/>
      <c r="EZP25" s="90"/>
      <c r="EZQ25" s="90"/>
      <c r="EZR25" s="88"/>
      <c r="EZS25" s="88"/>
      <c r="EZT25" s="90"/>
      <c r="EZU25" s="93"/>
      <c r="EZV25" s="88"/>
      <c r="EZW25" s="88"/>
      <c r="EZX25" s="91"/>
      <c r="EZY25" s="93"/>
      <c r="EZZ25" s="93"/>
      <c r="FAA25" s="88"/>
      <c r="FAB25" s="88"/>
      <c r="FAC25" s="90"/>
      <c r="FAD25" s="90"/>
      <c r="FAE25" s="88"/>
      <c r="FAF25" s="88"/>
      <c r="FAG25" s="90"/>
      <c r="FAH25" s="93"/>
      <c r="FAI25" s="88"/>
      <c r="FAJ25" s="88"/>
      <c r="FAK25" s="91"/>
      <c r="FAL25" s="93"/>
      <c r="FAM25" s="93"/>
      <c r="FAN25" s="88"/>
      <c r="FAO25" s="88"/>
      <c r="FAP25" s="90"/>
      <c r="FAQ25" s="90"/>
      <c r="FAR25" s="88"/>
      <c r="FAS25" s="88"/>
      <c r="FAT25" s="90"/>
      <c r="FAU25" s="93"/>
      <c r="FAV25" s="88"/>
      <c r="FAW25" s="88"/>
      <c r="FAX25" s="91"/>
      <c r="FAY25" s="93"/>
      <c r="FAZ25" s="93"/>
      <c r="FBA25" s="88"/>
      <c r="FBB25" s="88"/>
      <c r="FBC25" s="90"/>
      <c r="FBD25" s="90"/>
      <c r="FBE25" s="88"/>
      <c r="FBF25" s="88"/>
      <c r="FBG25" s="90"/>
      <c r="FBH25" s="93"/>
      <c r="FBI25" s="88"/>
      <c r="FBJ25" s="88"/>
      <c r="FBK25" s="91"/>
      <c r="FBL25" s="93"/>
      <c r="FBM25" s="93"/>
      <c r="FBN25" s="88"/>
      <c r="FBO25" s="88"/>
      <c r="FBP25" s="90"/>
      <c r="FBQ25" s="90"/>
      <c r="FBR25" s="88"/>
      <c r="FBS25" s="88"/>
      <c r="FBT25" s="90"/>
      <c r="FBU25" s="93"/>
      <c r="FBV25" s="88"/>
      <c r="FBW25" s="88"/>
      <c r="FBX25" s="91"/>
      <c r="FBY25" s="93"/>
      <c r="FBZ25" s="93"/>
      <c r="FCA25" s="88"/>
      <c r="FCB25" s="88"/>
      <c r="FCC25" s="90"/>
      <c r="FCD25" s="90"/>
      <c r="FCE25" s="88"/>
      <c r="FCF25" s="88"/>
      <c r="FCG25" s="90"/>
      <c r="FCH25" s="93"/>
      <c r="FCI25" s="88"/>
      <c r="FCJ25" s="88"/>
      <c r="FCK25" s="91"/>
      <c r="FCL25" s="93"/>
      <c r="FCM25" s="93"/>
      <c r="FCN25" s="88"/>
      <c r="FCO25" s="88"/>
      <c r="FCP25" s="90"/>
      <c r="FCQ25" s="90"/>
      <c r="FCR25" s="88"/>
      <c r="FCS25" s="88"/>
      <c r="FCT25" s="90"/>
      <c r="FCU25" s="93"/>
      <c r="FCV25" s="88"/>
      <c r="FCW25" s="88"/>
      <c r="FCX25" s="91"/>
      <c r="FCY25" s="93"/>
      <c r="FCZ25" s="93"/>
      <c r="FDA25" s="88"/>
      <c r="FDB25" s="88"/>
      <c r="FDC25" s="90"/>
      <c r="FDD25" s="90"/>
      <c r="FDE25" s="88"/>
      <c r="FDF25" s="88"/>
      <c r="FDG25" s="90"/>
      <c r="FDH25" s="93"/>
      <c r="FDI25" s="88"/>
      <c r="FDJ25" s="88"/>
      <c r="FDK25" s="91"/>
      <c r="FDL25" s="93"/>
      <c r="FDM25" s="93"/>
      <c r="FDN25" s="88"/>
      <c r="FDO25" s="88"/>
      <c r="FDP25" s="90"/>
      <c r="FDQ25" s="90"/>
      <c r="FDR25" s="88"/>
      <c r="FDS25" s="88"/>
      <c r="FDT25" s="90"/>
      <c r="FDU25" s="93"/>
      <c r="FDV25" s="88"/>
      <c r="FDW25" s="88"/>
      <c r="FDX25" s="91"/>
      <c r="FDY25" s="93"/>
      <c r="FDZ25" s="93"/>
      <c r="FEA25" s="88"/>
      <c r="FEB25" s="88"/>
      <c r="FEC25" s="90"/>
      <c r="FED25" s="90"/>
      <c r="FEE25" s="88"/>
      <c r="FEF25" s="88"/>
      <c r="FEG25" s="90"/>
      <c r="FEH25" s="93"/>
      <c r="FEI25" s="88"/>
      <c r="FEJ25" s="88"/>
      <c r="FEK25" s="91"/>
      <c r="FEL25" s="93"/>
      <c r="FEM25" s="93"/>
      <c r="FEN25" s="88"/>
      <c r="FEO25" s="88"/>
      <c r="FEP25" s="90"/>
      <c r="FEQ25" s="90"/>
      <c r="FER25" s="88"/>
      <c r="FES25" s="88"/>
      <c r="FET25" s="90"/>
      <c r="FEU25" s="93"/>
      <c r="FEV25" s="88"/>
      <c r="FEW25" s="88"/>
      <c r="FEX25" s="91"/>
      <c r="FEY25" s="93"/>
      <c r="FEZ25" s="93"/>
      <c r="FFA25" s="88"/>
      <c r="FFB25" s="88"/>
      <c r="FFC25" s="90"/>
      <c r="FFD25" s="90"/>
      <c r="FFE25" s="88"/>
      <c r="FFF25" s="88"/>
      <c r="FFG25" s="90"/>
      <c r="FFH25" s="93"/>
      <c r="FFI25" s="88"/>
      <c r="FFJ25" s="88"/>
      <c r="FFK25" s="91"/>
      <c r="FFL25" s="93"/>
      <c r="FFM25" s="93"/>
      <c r="FFN25" s="88"/>
      <c r="FFO25" s="88"/>
      <c r="FFP25" s="90"/>
      <c r="FFQ25" s="90"/>
      <c r="FFR25" s="88"/>
      <c r="FFS25" s="88"/>
      <c r="FFT25" s="90"/>
      <c r="FFU25" s="93"/>
      <c r="FFV25" s="88"/>
      <c r="FFW25" s="88"/>
      <c r="FFX25" s="91"/>
      <c r="FFY25" s="93"/>
      <c r="FFZ25" s="93"/>
      <c r="FGA25" s="88"/>
      <c r="FGB25" s="88"/>
      <c r="FGC25" s="90"/>
      <c r="FGD25" s="90"/>
      <c r="FGE25" s="88"/>
      <c r="FGF25" s="88"/>
      <c r="FGG25" s="90"/>
      <c r="FGH25" s="93"/>
      <c r="FGI25" s="88"/>
      <c r="FGJ25" s="88"/>
      <c r="FGK25" s="91"/>
      <c r="FGL25" s="93"/>
      <c r="FGM25" s="93"/>
      <c r="FGN25" s="88"/>
      <c r="FGO25" s="88"/>
      <c r="FGP25" s="90"/>
      <c r="FGQ25" s="90"/>
      <c r="FGR25" s="88"/>
      <c r="FGS25" s="88"/>
      <c r="FGT25" s="90"/>
      <c r="FGU25" s="93"/>
      <c r="FGV25" s="88"/>
      <c r="FGW25" s="88"/>
      <c r="FGX25" s="91"/>
      <c r="FGY25" s="93"/>
      <c r="FGZ25" s="93"/>
      <c r="FHA25" s="88"/>
      <c r="FHB25" s="88"/>
      <c r="FHC25" s="90"/>
      <c r="FHD25" s="90"/>
      <c r="FHE25" s="88"/>
      <c r="FHF25" s="88"/>
      <c r="FHG25" s="90"/>
      <c r="FHH25" s="93"/>
      <c r="FHI25" s="88"/>
      <c r="FHJ25" s="88"/>
      <c r="FHK25" s="91"/>
      <c r="FHL25" s="93"/>
      <c r="FHM25" s="93"/>
      <c r="FHN25" s="88"/>
      <c r="FHO25" s="88"/>
      <c r="FHP25" s="90"/>
      <c r="FHQ25" s="90"/>
      <c r="FHR25" s="88"/>
      <c r="FHS25" s="88"/>
      <c r="FHT25" s="90"/>
      <c r="FHU25" s="93"/>
      <c r="FHV25" s="88"/>
      <c r="FHW25" s="88"/>
      <c r="FHX25" s="91"/>
      <c r="FHY25" s="93"/>
      <c r="FHZ25" s="93"/>
      <c r="FIA25" s="88"/>
      <c r="FIB25" s="88"/>
      <c r="FIC25" s="90"/>
      <c r="FID25" s="90"/>
      <c r="FIE25" s="88"/>
      <c r="FIF25" s="88"/>
      <c r="FIG25" s="90"/>
      <c r="FIH25" s="93"/>
      <c r="FII25" s="88"/>
      <c r="FIJ25" s="88"/>
      <c r="FIK25" s="91"/>
      <c r="FIL25" s="93"/>
      <c r="FIM25" s="93"/>
      <c r="FIN25" s="88"/>
      <c r="FIO25" s="88"/>
      <c r="FIP25" s="90"/>
      <c r="FIQ25" s="90"/>
      <c r="FIR25" s="88"/>
      <c r="FIS25" s="88"/>
      <c r="FIT25" s="90"/>
      <c r="FIU25" s="93"/>
      <c r="FIV25" s="88"/>
      <c r="FIW25" s="88"/>
      <c r="FIX25" s="91"/>
      <c r="FIY25" s="93"/>
      <c r="FIZ25" s="93"/>
      <c r="FJA25" s="88"/>
      <c r="FJB25" s="88"/>
      <c r="FJC25" s="90"/>
      <c r="FJD25" s="90"/>
      <c r="FJE25" s="88"/>
      <c r="FJF25" s="88"/>
      <c r="FJG25" s="90"/>
      <c r="FJH25" s="93"/>
      <c r="FJI25" s="88"/>
      <c r="FJJ25" s="88"/>
      <c r="FJK25" s="91"/>
      <c r="FJL25" s="93"/>
      <c r="FJM25" s="93"/>
      <c r="FJN25" s="88"/>
      <c r="FJO25" s="88"/>
      <c r="FJP25" s="90"/>
      <c r="FJQ25" s="90"/>
      <c r="FJR25" s="88"/>
      <c r="FJS25" s="88"/>
      <c r="FJT25" s="90"/>
      <c r="FJU25" s="93"/>
      <c r="FJV25" s="88"/>
      <c r="FJW25" s="88"/>
      <c r="FJX25" s="91"/>
      <c r="FJY25" s="93"/>
      <c r="FJZ25" s="93"/>
      <c r="FKA25" s="88"/>
      <c r="FKB25" s="88"/>
      <c r="FKC25" s="90"/>
      <c r="FKD25" s="90"/>
      <c r="FKE25" s="88"/>
      <c r="FKF25" s="88"/>
      <c r="FKG25" s="90"/>
      <c r="FKH25" s="93"/>
      <c r="FKI25" s="88"/>
      <c r="FKJ25" s="88"/>
      <c r="FKK25" s="91"/>
      <c r="FKL25" s="93"/>
      <c r="FKM25" s="93"/>
      <c r="FKN25" s="88"/>
      <c r="FKO25" s="88"/>
      <c r="FKP25" s="90"/>
      <c r="FKQ25" s="90"/>
      <c r="FKR25" s="88"/>
      <c r="FKS25" s="88"/>
      <c r="FKT25" s="90"/>
      <c r="FKU25" s="93"/>
      <c r="FKV25" s="88"/>
      <c r="FKW25" s="88"/>
      <c r="FKX25" s="91"/>
      <c r="FKY25" s="93"/>
      <c r="FKZ25" s="93"/>
      <c r="FLA25" s="88"/>
      <c r="FLB25" s="88"/>
      <c r="FLC25" s="90"/>
      <c r="FLD25" s="90"/>
      <c r="FLE25" s="88"/>
      <c r="FLF25" s="88"/>
      <c r="FLG25" s="90"/>
      <c r="FLH25" s="93"/>
      <c r="FLI25" s="88"/>
      <c r="FLJ25" s="88"/>
      <c r="FLK25" s="91"/>
      <c r="FLL25" s="93"/>
      <c r="FLM25" s="93"/>
      <c r="FLN25" s="88"/>
      <c r="FLO25" s="88"/>
      <c r="FLP25" s="90"/>
      <c r="FLQ25" s="90"/>
      <c r="FLR25" s="88"/>
      <c r="FLS25" s="88"/>
      <c r="FLT25" s="90"/>
      <c r="FLU25" s="93"/>
      <c r="FLV25" s="88"/>
      <c r="FLW25" s="88"/>
      <c r="FLX25" s="91"/>
      <c r="FLY25" s="93"/>
      <c r="FLZ25" s="93"/>
      <c r="FMA25" s="88"/>
      <c r="FMB25" s="88"/>
      <c r="FMC25" s="90"/>
      <c r="FMD25" s="90"/>
      <c r="FME25" s="88"/>
      <c r="FMF25" s="88"/>
      <c r="FMG25" s="90"/>
      <c r="FMH25" s="93"/>
      <c r="FMI25" s="88"/>
      <c r="FMJ25" s="88"/>
      <c r="FMK25" s="91"/>
      <c r="FML25" s="93"/>
      <c r="FMM25" s="93"/>
      <c r="FMN25" s="88"/>
      <c r="FMO25" s="88"/>
      <c r="FMP25" s="90"/>
      <c r="FMQ25" s="90"/>
      <c r="FMR25" s="88"/>
      <c r="FMS25" s="88"/>
      <c r="FMT25" s="90"/>
      <c r="FMU25" s="93"/>
      <c r="FMV25" s="88"/>
      <c r="FMW25" s="88"/>
      <c r="FMX25" s="91"/>
      <c r="FMY25" s="93"/>
      <c r="FMZ25" s="93"/>
      <c r="FNA25" s="88"/>
      <c r="FNB25" s="88"/>
      <c r="FNC25" s="90"/>
      <c r="FND25" s="90"/>
      <c r="FNE25" s="88"/>
      <c r="FNF25" s="88"/>
      <c r="FNG25" s="90"/>
      <c r="FNH25" s="93"/>
      <c r="FNI25" s="88"/>
      <c r="FNJ25" s="88"/>
      <c r="FNK25" s="91"/>
      <c r="FNL25" s="93"/>
      <c r="FNM25" s="93"/>
      <c r="FNN25" s="88"/>
      <c r="FNO25" s="88"/>
      <c r="FNP25" s="90"/>
      <c r="FNQ25" s="90"/>
      <c r="FNR25" s="88"/>
      <c r="FNS25" s="88"/>
      <c r="FNT25" s="90"/>
      <c r="FNU25" s="93"/>
      <c r="FNV25" s="88"/>
      <c r="FNW25" s="88"/>
      <c r="FNX25" s="91"/>
      <c r="FNY25" s="93"/>
      <c r="FNZ25" s="93"/>
      <c r="FOA25" s="88"/>
      <c r="FOB25" s="88"/>
      <c r="FOC25" s="90"/>
      <c r="FOD25" s="90"/>
      <c r="FOE25" s="88"/>
      <c r="FOF25" s="88"/>
      <c r="FOG25" s="90"/>
      <c r="FOH25" s="93"/>
      <c r="FOI25" s="88"/>
      <c r="FOJ25" s="88"/>
      <c r="FOK25" s="91"/>
      <c r="FOL25" s="93"/>
      <c r="FOM25" s="93"/>
      <c r="FON25" s="88"/>
      <c r="FOO25" s="88"/>
      <c r="FOP25" s="90"/>
      <c r="FOQ25" s="90"/>
      <c r="FOR25" s="88"/>
      <c r="FOS25" s="88"/>
      <c r="FOT25" s="90"/>
      <c r="FOU25" s="93"/>
      <c r="FOV25" s="88"/>
      <c r="FOW25" s="88"/>
      <c r="FOX25" s="91"/>
      <c r="FOY25" s="93"/>
      <c r="FOZ25" s="93"/>
      <c r="FPA25" s="88"/>
      <c r="FPB25" s="88"/>
      <c r="FPC25" s="90"/>
      <c r="FPD25" s="90"/>
      <c r="FPE25" s="88"/>
      <c r="FPF25" s="88"/>
      <c r="FPG25" s="90"/>
      <c r="FPH25" s="93"/>
      <c r="FPI25" s="88"/>
      <c r="FPJ25" s="88"/>
      <c r="FPK25" s="91"/>
      <c r="FPL25" s="93"/>
      <c r="FPM25" s="93"/>
      <c r="FPN25" s="88"/>
      <c r="FPO25" s="88"/>
      <c r="FPP25" s="90"/>
      <c r="FPQ25" s="90"/>
      <c r="FPR25" s="88"/>
      <c r="FPS25" s="88"/>
      <c r="FPT25" s="90"/>
      <c r="FPU25" s="93"/>
      <c r="FPV25" s="88"/>
      <c r="FPW25" s="88"/>
      <c r="FPX25" s="91"/>
      <c r="FPY25" s="93"/>
      <c r="FPZ25" s="93"/>
      <c r="FQA25" s="88"/>
      <c r="FQB25" s="88"/>
      <c r="FQC25" s="90"/>
      <c r="FQD25" s="90"/>
      <c r="FQE25" s="88"/>
      <c r="FQF25" s="88"/>
      <c r="FQG25" s="90"/>
      <c r="FQH25" s="93"/>
      <c r="FQI25" s="88"/>
      <c r="FQJ25" s="88"/>
      <c r="FQK25" s="91"/>
      <c r="FQL25" s="93"/>
      <c r="FQM25" s="93"/>
      <c r="FQN25" s="88"/>
      <c r="FQO25" s="88"/>
      <c r="FQP25" s="90"/>
      <c r="FQQ25" s="90"/>
      <c r="FQR25" s="88"/>
      <c r="FQS25" s="88"/>
      <c r="FQT25" s="90"/>
      <c r="FQU25" s="93"/>
      <c r="FQV25" s="88"/>
      <c r="FQW25" s="88"/>
      <c r="FQX25" s="91"/>
      <c r="FQY25" s="93"/>
      <c r="FQZ25" s="93"/>
      <c r="FRA25" s="88"/>
      <c r="FRB25" s="88"/>
      <c r="FRC25" s="90"/>
      <c r="FRD25" s="90"/>
      <c r="FRE25" s="88"/>
      <c r="FRF25" s="88"/>
      <c r="FRG25" s="90"/>
      <c r="FRH25" s="93"/>
      <c r="FRI25" s="88"/>
      <c r="FRJ25" s="88"/>
      <c r="FRK25" s="91"/>
      <c r="FRL25" s="93"/>
      <c r="FRM25" s="93"/>
      <c r="FRN25" s="88"/>
      <c r="FRO25" s="88"/>
      <c r="FRP25" s="90"/>
      <c r="FRQ25" s="90"/>
      <c r="FRR25" s="88"/>
      <c r="FRS25" s="88"/>
      <c r="FRT25" s="90"/>
      <c r="FRU25" s="93"/>
      <c r="FRV25" s="88"/>
      <c r="FRW25" s="88"/>
      <c r="FRX25" s="91"/>
      <c r="FRY25" s="93"/>
      <c r="FRZ25" s="93"/>
      <c r="FSA25" s="88"/>
      <c r="FSB25" s="88"/>
      <c r="FSC25" s="90"/>
      <c r="FSD25" s="90"/>
      <c r="FSE25" s="88"/>
      <c r="FSF25" s="88"/>
      <c r="FSG25" s="90"/>
      <c r="FSH25" s="93"/>
      <c r="FSI25" s="88"/>
      <c r="FSJ25" s="88"/>
      <c r="FSK25" s="91"/>
      <c r="FSL25" s="93"/>
      <c r="FSM25" s="93"/>
      <c r="FSN25" s="88"/>
      <c r="FSO25" s="88"/>
      <c r="FSP25" s="90"/>
      <c r="FSQ25" s="90"/>
      <c r="FSR25" s="88"/>
      <c r="FSS25" s="88"/>
      <c r="FST25" s="90"/>
      <c r="FSU25" s="93"/>
      <c r="FSV25" s="88"/>
      <c r="FSW25" s="88"/>
      <c r="FSX25" s="91"/>
      <c r="FSY25" s="93"/>
      <c r="FSZ25" s="93"/>
      <c r="FTA25" s="88"/>
      <c r="FTB25" s="88"/>
      <c r="FTC25" s="90"/>
      <c r="FTD25" s="90"/>
      <c r="FTE25" s="88"/>
      <c r="FTF25" s="88"/>
      <c r="FTG25" s="90"/>
      <c r="FTH25" s="93"/>
      <c r="FTI25" s="88"/>
      <c r="FTJ25" s="88"/>
      <c r="FTK25" s="91"/>
      <c r="FTL25" s="93"/>
      <c r="FTM25" s="93"/>
      <c r="FTN25" s="88"/>
      <c r="FTO25" s="88"/>
      <c r="FTP25" s="90"/>
      <c r="FTQ25" s="90"/>
      <c r="FTR25" s="88"/>
      <c r="FTS25" s="88"/>
      <c r="FTT25" s="90"/>
      <c r="FTU25" s="93"/>
      <c r="FTV25" s="88"/>
      <c r="FTW25" s="88"/>
      <c r="FTX25" s="91"/>
      <c r="FTY25" s="93"/>
      <c r="FTZ25" s="93"/>
      <c r="FUA25" s="88"/>
      <c r="FUB25" s="88"/>
      <c r="FUC25" s="90"/>
      <c r="FUD25" s="90"/>
      <c r="FUE25" s="88"/>
      <c r="FUF25" s="88"/>
      <c r="FUG25" s="90"/>
      <c r="FUH25" s="93"/>
      <c r="FUI25" s="88"/>
      <c r="FUJ25" s="88"/>
      <c r="FUK25" s="91"/>
      <c r="FUL25" s="93"/>
      <c r="FUM25" s="93"/>
      <c r="FUN25" s="88"/>
      <c r="FUO25" s="88"/>
      <c r="FUP25" s="90"/>
      <c r="FUQ25" s="90"/>
      <c r="FUR25" s="88"/>
      <c r="FUS25" s="88"/>
      <c r="FUT25" s="90"/>
      <c r="FUU25" s="93"/>
      <c r="FUV25" s="88"/>
      <c r="FUW25" s="88"/>
      <c r="FUX25" s="91"/>
      <c r="FUY25" s="93"/>
      <c r="FUZ25" s="93"/>
      <c r="FVA25" s="88"/>
      <c r="FVB25" s="88"/>
      <c r="FVC25" s="90"/>
      <c r="FVD25" s="90"/>
      <c r="FVE25" s="88"/>
      <c r="FVF25" s="88"/>
      <c r="FVG25" s="90"/>
      <c r="FVH25" s="93"/>
      <c r="FVI25" s="88"/>
      <c r="FVJ25" s="88"/>
      <c r="FVK25" s="91"/>
      <c r="FVL25" s="93"/>
      <c r="FVM25" s="93"/>
      <c r="FVN25" s="88"/>
      <c r="FVO25" s="88"/>
      <c r="FVP25" s="90"/>
      <c r="FVQ25" s="90"/>
      <c r="FVR25" s="88"/>
      <c r="FVS25" s="88"/>
      <c r="FVT25" s="90"/>
      <c r="FVU25" s="93"/>
      <c r="FVV25" s="88"/>
      <c r="FVW25" s="88"/>
      <c r="FVX25" s="91"/>
      <c r="FVY25" s="93"/>
      <c r="FVZ25" s="93"/>
      <c r="FWA25" s="88"/>
      <c r="FWB25" s="88"/>
      <c r="FWC25" s="90"/>
      <c r="FWD25" s="90"/>
      <c r="FWE25" s="88"/>
      <c r="FWF25" s="88"/>
      <c r="FWG25" s="90"/>
      <c r="FWH25" s="93"/>
      <c r="FWI25" s="88"/>
      <c r="FWJ25" s="88"/>
      <c r="FWK25" s="91"/>
      <c r="FWL25" s="93"/>
      <c r="FWM25" s="93"/>
      <c r="FWN25" s="88"/>
      <c r="FWO25" s="88"/>
      <c r="FWP25" s="90"/>
      <c r="FWQ25" s="90"/>
      <c r="FWR25" s="88"/>
      <c r="FWS25" s="88"/>
      <c r="FWT25" s="90"/>
      <c r="FWU25" s="93"/>
      <c r="FWV25" s="88"/>
      <c r="FWW25" s="88"/>
      <c r="FWX25" s="91"/>
      <c r="FWY25" s="93"/>
      <c r="FWZ25" s="93"/>
      <c r="FXA25" s="88"/>
      <c r="FXB25" s="88"/>
      <c r="FXC25" s="90"/>
      <c r="FXD25" s="90"/>
      <c r="FXE25" s="88"/>
      <c r="FXF25" s="88"/>
      <c r="FXG25" s="90"/>
      <c r="FXH25" s="93"/>
      <c r="FXI25" s="88"/>
      <c r="FXJ25" s="88"/>
      <c r="FXK25" s="91"/>
      <c r="FXL25" s="93"/>
      <c r="FXM25" s="93"/>
      <c r="FXN25" s="88"/>
      <c r="FXO25" s="88"/>
      <c r="FXP25" s="90"/>
      <c r="FXQ25" s="90"/>
      <c r="FXR25" s="88"/>
      <c r="FXS25" s="88"/>
      <c r="FXT25" s="90"/>
      <c r="FXU25" s="93"/>
      <c r="FXV25" s="88"/>
      <c r="FXW25" s="88"/>
      <c r="FXX25" s="91"/>
      <c r="FXY25" s="93"/>
      <c r="FXZ25" s="93"/>
      <c r="FYA25" s="88"/>
      <c r="FYB25" s="88"/>
      <c r="FYC25" s="90"/>
      <c r="FYD25" s="90"/>
      <c r="FYE25" s="88"/>
      <c r="FYF25" s="88"/>
      <c r="FYG25" s="90"/>
      <c r="FYH25" s="93"/>
      <c r="FYI25" s="88"/>
      <c r="FYJ25" s="88"/>
      <c r="FYK25" s="91"/>
      <c r="FYL25" s="93"/>
      <c r="FYM25" s="93"/>
      <c r="FYN25" s="88"/>
      <c r="FYO25" s="88"/>
      <c r="FYP25" s="90"/>
      <c r="FYQ25" s="90"/>
      <c r="FYR25" s="88"/>
      <c r="FYS25" s="88"/>
      <c r="FYT25" s="90"/>
      <c r="FYU25" s="93"/>
      <c r="FYV25" s="88"/>
      <c r="FYW25" s="88"/>
      <c r="FYX25" s="91"/>
      <c r="FYY25" s="93"/>
      <c r="FYZ25" s="93"/>
      <c r="FZA25" s="88"/>
      <c r="FZB25" s="88"/>
      <c r="FZC25" s="90"/>
      <c r="FZD25" s="90"/>
      <c r="FZE25" s="88"/>
      <c r="FZF25" s="88"/>
      <c r="FZG25" s="90"/>
      <c r="FZH25" s="93"/>
      <c r="FZI25" s="88"/>
      <c r="FZJ25" s="88"/>
      <c r="FZK25" s="91"/>
      <c r="FZL25" s="93"/>
      <c r="FZM25" s="93"/>
      <c r="FZN25" s="88"/>
      <c r="FZO25" s="88"/>
      <c r="FZP25" s="90"/>
      <c r="FZQ25" s="90"/>
      <c r="FZR25" s="88"/>
      <c r="FZS25" s="88"/>
      <c r="FZT25" s="90"/>
      <c r="FZU25" s="93"/>
      <c r="FZV25" s="88"/>
      <c r="FZW25" s="88"/>
      <c r="FZX25" s="91"/>
      <c r="FZY25" s="93"/>
      <c r="FZZ25" s="93"/>
      <c r="GAA25" s="88"/>
      <c r="GAB25" s="88"/>
      <c r="GAC25" s="90"/>
      <c r="GAD25" s="90"/>
      <c r="GAE25" s="88"/>
      <c r="GAF25" s="88"/>
      <c r="GAG25" s="90"/>
      <c r="GAH25" s="93"/>
      <c r="GAI25" s="88"/>
      <c r="GAJ25" s="88"/>
      <c r="GAK25" s="91"/>
      <c r="GAL25" s="93"/>
      <c r="GAM25" s="93"/>
      <c r="GAN25" s="88"/>
      <c r="GAO25" s="88"/>
      <c r="GAP25" s="90"/>
      <c r="GAQ25" s="90"/>
      <c r="GAR25" s="88"/>
      <c r="GAS25" s="88"/>
      <c r="GAT25" s="90"/>
      <c r="GAU25" s="93"/>
      <c r="GAV25" s="88"/>
      <c r="GAW25" s="88"/>
      <c r="GAX25" s="91"/>
      <c r="GAY25" s="93"/>
      <c r="GAZ25" s="93"/>
      <c r="GBA25" s="88"/>
      <c r="GBB25" s="88"/>
      <c r="GBC25" s="90"/>
      <c r="GBD25" s="90"/>
      <c r="GBE25" s="88"/>
      <c r="GBF25" s="88"/>
      <c r="GBG25" s="90"/>
      <c r="GBH25" s="93"/>
      <c r="GBI25" s="88"/>
      <c r="GBJ25" s="88"/>
      <c r="GBK25" s="91"/>
      <c r="GBL25" s="93"/>
      <c r="GBM25" s="93"/>
      <c r="GBN25" s="88"/>
      <c r="GBO25" s="88"/>
      <c r="GBP25" s="90"/>
      <c r="GBQ25" s="90"/>
      <c r="GBR25" s="88"/>
      <c r="GBS25" s="88"/>
      <c r="GBT25" s="90"/>
      <c r="GBU25" s="93"/>
      <c r="GBV25" s="88"/>
      <c r="GBW25" s="88"/>
      <c r="GBX25" s="91"/>
      <c r="GBY25" s="93"/>
      <c r="GBZ25" s="93"/>
      <c r="GCA25" s="88"/>
      <c r="GCB25" s="88"/>
      <c r="GCC25" s="90"/>
      <c r="GCD25" s="90"/>
      <c r="GCE25" s="88"/>
      <c r="GCF25" s="88"/>
      <c r="GCG25" s="90"/>
      <c r="GCH25" s="93"/>
      <c r="GCI25" s="88"/>
      <c r="GCJ25" s="88"/>
      <c r="GCK25" s="91"/>
      <c r="GCL25" s="93"/>
      <c r="GCM25" s="93"/>
      <c r="GCN25" s="88"/>
      <c r="GCO25" s="88"/>
      <c r="GCP25" s="90"/>
      <c r="GCQ25" s="90"/>
      <c r="GCR25" s="88"/>
      <c r="GCS25" s="88"/>
      <c r="GCT25" s="90"/>
      <c r="GCU25" s="93"/>
      <c r="GCV25" s="88"/>
      <c r="GCW25" s="88"/>
      <c r="GCX25" s="91"/>
      <c r="GCY25" s="93"/>
      <c r="GCZ25" s="93"/>
      <c r="GDA25" s="88"/>
      <c r="GDB25" s="88"/>
      <c r="GDC25" s="90"/>
      <c r="GDD25" s="90"/>
      <c r="GDE25" s="88"/>
      <c r="GDF25" s="88"/>
      <c r="GDG25" s="90"/>
      <c r="GDH25" s="93"/>
      <c r="GDI25" s="88"/>
      <c r="GDJ25" s="88"/>
      <c r="GDK25" s="91"/>
      <c r="GDL25" s="93"/>
      <c r="GDM25" s="93"/>
      <c r="GDN25" s="88"/>
      <c r="GDO25" s="88"/>
      <c r="GDP25" s="90"/>
      <c r="GDQ25" s="90"/>
      <c r="GDR25" s="88"/>
      <c r="GDS25" s="88"/>
      <c r="GDT25" s="90"/>
      <c r="GDU25" s="93"/>
      <c r="GDV25" s="88"/>
      <c r="GDW25" s="88"/>
      <c r="GDX25" s="91"/>
      <c r="GDY25" s="93"/>
      <c r="GDZ25" s="93"/>
      <c r="GEA25" s="88"/>
      <c r="GEB25" s="88"/>
      <c r="GEC25" s="90"/>
      <c r="GED25" s="90"/>
      <c r="GEE25" s="88"/>
      <c r="GEF25" s="88"/>
      <c r="GEG25" s="90"/>
      <c r="GEH25" s="93"/>
      <c r="GEI25" s="88"/>
      <c r="GEJ25" s="88"/>
      <c r="GEK25" s="91"/>
      <c r="GEL25" s="93"/>
      <c r="GEM25" s="93"/>
      <c r="GEN25" s="88"/>
      <c r="GEO25" s="88"/>
      <c r="GEP25" s="90"/>
      <c r="GEQ25" s="90"/>
      <c r="GER25" s="88"/>
      <c r="GES25" s="88"/>
      <c r="GET25" s="90"/>
      <c r="GEU25" s="93"/>
      <c r="GEV25" s="88"/>
      <c r="GEW25" s="88"/>
      <c r="GEX25" s="91"/>
      <c r="GEY25" s="93"/>
      <c r="GEZ25" s="93"/>
      <c r="GFA25" s="88"/>
      <c r="GFB25" s="88"/>
      <c r="GFC25" s="90"/>
      <c r="GFD25" s="90"/>
      <c r="GFE25" s="88"/>
      <c r="GFF25" s="88"/>
      <c r="GFG25" s="90"/>
      <c r="GFH25" s="93"/>
      <c r="GFI25" s="88"/>
      <c r="GFJ25" s="88"/>
      <c r="GFK25" s="91"/>
      <c r="GFL25" s="93"/>
      <c r="GFM25" s="93"/>
      <c r="GFN25" s="88"/>
      <c r="GFO25" s="88"/>
      <c r="GFP25" s="90"/>
      <c r="GFQ25" s="90"/>
      <c r="GFR25" s="88"/>
      <c r="GFS25" s="88"/>
      <c r="GFT25" s="90"/>
      <c r="GFU25" s="93"/>
      <c r="GFV25" s="88"/>
      <c r="GFW25" s="88"/>
      <c r="GFX25" s="91"/>
      <c r="GFY25" s="93"/>
      <c r="GFZ25" s="93"/>
      <c r="GGA25" s="88"/>
      <c r="GGB25" s="88"/>
      <c r="GGC25" s="90"/>
      <c r="GGD25" s="90"/>
      <c r="GGE25" s="88"/>
      <c r="GGF25" s="88"/>
      <c r="GGG25" s="90"/>
      <c r="GGH25" s="93"/>
      <c r="GGI25" s="88"/>
      <c r="GGJ25" s="88"/>
      <c r="GGK25" s="91"/>
      <c r="GGL25" s="93"/>
      <c r="GGM25" s="93"/>
      <c r="GGN25" s="88"/>
      <c r="GGO25" s="88"/>
      <c r="GGP25" s="90"/>
      <c r="GGQ25" s="90"/>
      <c r="GGR25" s="88"/>
      <c r="GGS25" s="88"/>
      <c r="GGT25" s="90"/>
      <c r="GGU25" s="93"/>
      <c r="GGV25" s="88"/>
      <c r="GGW25" s="88"/>
      <c r="GGX25" s="91"/>
      <c r="GGY25" s="93"/>
      <c r="GGZ25" s="93"/>
      <c r="GHA25" s="88"/>
      <c r="GHB25" s="88"/>
      <c r="GHC25" s="90"/>
      <c r="GHD25" s="90"/>
      <c r="GHE25" s="88"/>
      <c r="GHF25" s="88"/>
      <c r="GHG25" s="90"/>
      <c r="GHH25" s="93"/>
      <c r="GHI25" s="88"/>
      <c r="GHJ25" s="88"/>
      <c r="GHK25" s="91"/>
      <c r="GHL25" s="93"/>
      <c r="GHM25" s="93"/>
      <c r="GHN25" s="88"/>
      <c r="GHO25" s="88"/>
      <c r="GHP25" s="90"/>
      <c r="GHQ25" s="90"/>
      <c r="GHR25" s="88"/>
      <c r="GHS25" s="88"/>
      <c r="GHT25" s="90"/>
      <c r="GHU25" s="93"/>
      <c r="GHV25" s="88"/>
      <c r="GHW25" s="88"/>
      <c r="GHX25" s="91"/>
      <c r="GHY25" s="93"/>
      <c r="GHZ25" s="93"/>
      <c r="GIA25" s="88"/>
      <c r="GIB25" s="88"/>
      <c r="GIC25" s="90"/>
      <c r="GID25" s="90"/>
      <c r="GIE25" s="88"/>
      <c r="GIF25" s="88"/>
      <c r="GIG25" s="90"/>
      <c r="GIH25" s="93"/>
      <c r="GII25" s="88"/>
      <c r="GIJ25" s="88"/>
      <c r="GIK25" s="91"/>
      <c r="GIL25" s="93"/>
      <c r="GIM25" s="93"/>
      <c r="GIN25" s="88"/>
      <c r="GIO25" s="88"/>
      <c r="GIP25" s="90"/>
      <c r="GIQ25" s="90"/>
      <c r="GIR25" s="88"/>
      <c r="GIS25" s="88"/>
      <c r="GIT25" s="90"/>
      <c r="GIU25" s="93"/>
      <c r="GIV25" s="88"/>
      <c r="GIW25" s="88"/>
      <c r="GIX25" s="91"/>
      <c r="GIY25" s="93"/>
      <c r="GIZ25" s="93"/>
      <c r="GJA25" s="88"/>
      <c r="GJB25" s="88"/>
      <c r="GJC25" s="90"/>
      <c r="GJD25" s="90"/>
      <c r="GJE25" s="88"/>
      <c r="GJF25" s="88"/>
      <c r="GJG25" s="90"/>
      <c r="GJH25" s="93"/>
      <c r="GJI25" s="88"/>
      <c r="GJJ25" s="88"/>
      <c r="GJK25" s="91"/>
      <c r="GJL25" s="93"/>
      <c r="GJM25" s="93"/>
      <c r="GJN25" s="88"/>
      <c r="GJO25" s="88"/>
      <c r="GJP25" s="90"/>
      <c r="GJQ25" s="90"/>
      <c r="GJR25" s="88"/>
      <c r="GJS25" s="88"/>
      <c r="GJT25" s="90"/>
      <c r="GJU25" s="93"/>
      <c r="GJV25" s="88"/>
      <c r="GJW25" s="88"/>
      <c r="GJX25" s="91"/>
      <c r="GJY25" s="93"/>
      <c r="GJZ25" s="93"/>
      <c r="GKA25" s="88"/>
      <c r="GKB25" s="88"/>
      <c r="GKC25" s="90"/>
      <c r="GKD25" s="90"/>
      <c r="GKE25" s="88"/>
      <c r="GKF25" s="88"/>
      <c r="GKG25" s="90"/>
      <c r="GKH25" s="93"/>
      <c r="GKI25" s="88"/>
      <c r="GKJ25" s="88"/>
      <c r="GKK25" s="91"/>
      <c r="GKL25" s="93"/>
      <c r="GKM25" s="93"/>
      <c r="GKN25" s="88"/>
      <c r="GKO25" s="88"/>
      <c r="GKP25" s="90"/>
      <c r="GKQ25" s="90"/>
      <c r="GKR25" s="88"/>
      <c r="GKS25" s="88"/>
      <c r="GKT25" s="90"/>
      <c r="GKU25" s="93"/>
      <c r="GKV25" s="88"/>
      <c r="GKW25" s="88"/>
      <c r="GKX25" s="91"/>
      <c r="GKY25" s="93"/>
      <c r="GKZ25" s="93"/>
      <c r="GLA25" s="88"/>
      <c r="GLB25" s="88"/>
      <c r="GLC25" s="90"/>
      <c r="GLD25" s="90"/>
      <c r="GLE25" s="88"/>
      <c r="GLF25" s="88"/>
      <c r="GLG25" s="90"/>
      <c r="GLH25" s="93"/>
      <c r="GLI25" s="88"/>
      <c r="GLJ25" s="88"/>
      <c r="GLK25" s="91"/>
      <c r="GLL25" s="93"/>
      <c r="GLM25" s="93"/>
      <c r="GLN25" s="88"/>
      <c r="GLO25" s="88"/>
      <c r="GLP25" s="90"/>
      <c r="GLQ25" s="90"/>
      <c r="GLR25" s="88"/>
      <c r="GLS25" s="88"/>
      <c r="GLT25" s="90"/>
      <c r="GLU25" s="93"/>
      <c r="GLV25" s="88"/>
      <c r="GLW25" s="88"/>
      <c r="GLX25" s="91"/>
      <c r="GLY25" s="93"/>
      <c r="GLZ25" s="93"/>
      <c r="GMA25" s="88"/>
      <c r="GMB25" s="88"/>
      <c r="GMC25" s="90"/>
      <c r="GMD25" s="90"/>
      <c r="GME25" s="88"/>
      <c r="GMF25" s="88"/>
      <c r="GMG25" s="90"/>
      <c r="GMH25" s="93"/>
      <c r="GMI25" s="88"/>
      <c r="GMJ25" s="88"/>
      <c r="GMK25" s="91"/>
      <c r="GML25" s="93"/>
      <c r="GMM25" s="93"/>
      <c r="GMN25" s="88"/>
      <c r="GMO25" s="88"/>
      <c r="GMP25" s="90"/>
      <c r="GMQ25" s="90"/>
      <c r="GMR25" s="88"/>
      <c r="GMS25" s="88"/>
      <c r="GMT25" s="90"/>
      <c r="GMU25" s="93"/>
      <c r="GMV25" s="88"/>
      <c r="GMW25" s="88"/>
      <c r="GMX25" s="91"/>
      <c r="GMY25" s="93"/>
      <c r="GMZ25" s="93"/>
      <c r="GNA25" s="88"/>
      <c r="GNB25" s="88"/>
      <c r="GNC25" s="90"/>
      <c r="GND25" s="90"/>
      <c r="GNE25" s="88"/>
      <c r="GNF25" s="88"/>
      <c r="GNG25" s="90"/>
      <c r="GNH25" s="93"/>
      <c r="GNI25" s="88"/>
      <c r="GNJ25" s="88"/>
      <c r="GNK25" s="91"/>
      <c r="GNL25" s="93"/>
      <c r="GNM25" s="93"/>
      <c r="GNN25" s="88"/>
      <c r="GNO25" s="88"/>
      <c r="GNP25" s="90"/>
      <c r="GNQ25" s="90"/>
      <c r="GNR25" s="88"/>
      <c r="GNS25" s="88"/>
      <c r="GNT25" s="90"/>
      <c r="GNU25" s="93"/>
      <c r="GNV25" s="88"/>
      <c r="GNW25" s="88"/>
      <c r="GNX25" s="91"/>
      <c r="GNY25" s="93"/>
      <c r="GNZ25" s="93"/>
      <c r="GOA25" s="88"/>
      <c r="GOB25" s="88"/>
      <c r="GOC25" s="90"/>
      <c r="GOD25" s="90"/>
      <c r="GOE25" s="88"/>
      <c r="GOF25" s="88"/>
      <c r="GOG25" s="90"/>
      <c r="GOH25" s="93"/>
      <c r="GOI25" s="88"/>
      <c r="GOJ25" s="88"/>
      <c r="GOK25" s="91"/>
      <c r="GOL25" s="93"/>
      <c r="GOM25" s="93"/>
      <c r="GON25" s="88"/>
      <c r="GOO25" s="88"/>
      <c r="GOP25" s="90"/>
      <c r="GOQ25" s="90"/>
      <c r="GOR25" s="88"/>
      <c r="GOS25" s="88"/>
      <c r="GOT25" s="90"/>
      <c r="GOU25" s="93"/>
      <c r="GOV25" s="88"/>
      <c r="GOW25" s="88"/>
      <c r="GOX25" s="91"/>
      <c r="GOY25" s="93"/>
      <c r="GOZ25" s="93"/>
      <c r="GPA25" s="88"/>
      <c r="GPB25" s="88"/>
      <c r="GPC25" s="90"/>
      <c r="GPD25" s="90"/>
      <c r="GPE25" s="88"/>
      <c r="GPF25" s="88"/>
      <c r="GPG25" s="90"/>
      <c r="GPH25" s="93"/>
      <c r="GPI25" s="88"/>
      <c r="GPJ25" s="88"/>
      <c r="GPK25" s="91"/>
      <c r="GPL25" s="93"/>
      <c r="GPM25" s="93"/>
      <c r="GPN25" s="88"/>
      <c r="GPO25" s="88"/>
      <c r="GPP25" s="90"/>
      <c r="GPQ25" s="90"/>
      <c r="GPR25" s="88"/>
      <c r="GPS25" s="88"/>
      <c r="GPT25" s="90"/>
      <c r="GPU25" s="93"/>
      <c r="GPV25" s="88"/>
      <c r="GPW25" s="88"/>
      <c r="GPX25" s="91"/>
      <c r="GPY25" s="93"/>
      <c r="GPZ25" s="93"/>
      <c r="GQA25" s="88"/>
      <c r="GQB25" s="88"/>
      <c r="GQC25" s="90"/>
      <c r="GQD25" s="90"/>
      <c r="GQE25" s="88"/>
      <c r="GQF25" s="88"/>
      <c r="GQG25" s="90"/>
      <c r="GQH25" s="93"/>
      <c r="GQI25" s="88"/>
      <c r="GQJ25" s="88"/>
      <c r="GQK25" s="91"/>
      <c r="GQL25" s="93"/>
      <c r="GQM25" s="93"/>
      <c r="GQN25" s="88"/>
      <c r="GQO25" s="88"/>
      <c r="GQP25" s="90"/>
      <c r="GQQ25" s="90"/>
      <c r="GQR25" s="88"/>
      <c r="GQS25" s="88"/>
      <c r="GQT25" s="90"/>
      <c r="GQU25" s="93"/>
      <c r="GQV25" s="88"/>
      <c r="GQW25" s="88"/>
      <c r="GQX25" s="91"/>
      <c r="GQY25" s="93"/>
      <c r="GQZ25" s="93"/>
      <c r="GRA25" s="88"/>
      <c r="GRB25" s="88"/>
      <c r="GRC25" s="90"/>
      <c r="GRD25" s="90"/>
      <c r="GRE25" s="88"/>
      <c r="GRF25" s="88"/>
      <c r="GRG25" s="90"/>
      <c r="GRH25" s="93"/>
      <c r="GRI25" s="88"/>
      <c r="GRJ25" s="88"/>
      <c r="GRK25" s="91"/>
      <c r="GRL25" s="93"/>
      <c r="GRM25" s="93"/>
      <c r="GRN25" s="88"/>
      <c r="GRO25" s="88"/>
      <c r="GRP25" s="90"/>
      <c r="GRQ25" s="90"/>
      <c r="GRR25" s="88"/>
      <c r="GRS25" s="88"/>
      <c r="GRT25" s="90"/>
      <c r="GRU25" s="93"/>
      <c r="GRV25" s="88"/>
      <c r="GRW25" s="88"/>
      <c r="GRX25" s="91"/>
      <c r="GRY25" s="93"/>
      <c r="GRZ25" s="93"/>
      <c r="GSA25" s="88"/>
      <c r="GSB25" s="88"/>
      <c r="GSC25" s="90"/>
      <c r="GSD25" s="90"/>
      <c r="GSE25" s="88"/>
      <c r="GSF25" s="88"/>
      <c r="GSG25" s="90"/>
      <c r="GSH25" s="93"/>
      <c r="GSI25" s="88"/>
      <c r="GSJ25" s="88"/>
      <c r="GSK25" s="91"/>
      <c r="GSL25" s="93"/>
      <c r="GSM25" s="93"/>
      <c r="GSN25" s="88"/>
      <c r="GSO25" s="88"/>
      <c r="GSP25" s="90"/>
      <c r="GSQ25" s="90"/>
      <c r="GSR25" s="88"/>
      <c r="GSS25" s="88"/>
      <c r="GST25" s="90"/>
      <c r="GSU25" s="93"/>
      <c r="GSV25" s="88"/>
      <c r="GSW25" s="88"/>
      <c r="GSX25" s="91"/>
      <c r="GSY25" s="93"/>
      <c r="GSZ25" s="93"/>
      <c r="GTA25" s="88"/>
      <c r="GTB25" s="88"/>
      <c r="GTC25" s="90"/>
      <c r="GTD25" s="90"/>
      <c r="GTE25" s="88"/>
      <c r="GTF25" s="88"/>
      <c r="GTG25" s="90"/>
      <c r="GTH25" s="93"/>
      <c r="GTI25" s="88"/>
      <c r="GTJ25" s="88"/>
      <c r="GTK25" s="91"/>
      <c r="GTL25" s="93"/>
      <c r="GTM25" s="93"/>
      <c r="GTN25" s="88"/>
      <c r="GTO25" s="88"/>
      <c r="GTP25" s="90"/>
      <c r="GTQ25" s="90"/>
      <c r="GTR25" s="88"/>
      <c r="GTS25" s="88"/>
      <c r="GTT25" s="90"/>
      <c r="GTU25" s="93"/>
      <c r="GTV25" s="88"/>
      <c r="GTW25" s="88"/>
      <c r="GTX25" s="91"/>
      <c r="GTY25" s="93"/>
      <c r="GTZ25" s="93"/>
      <c r="GUA25" s="88"/>
      <c r="GUB25" s="88"/>
      <c r="GUC25" s="90"/>
      <c r="GUD25" s="90"/>
      <c r="GUE25" s="88"/>
      <c r="GUF25" s="88"/>
      <c r="GUG25" s="90"/>
      <c r="GUH25" s="93"/>
      <c r="GUI25" s="88"/>
      <c r="GUJ25" s="88"/>
      <c r="GUK25" s="91"/>
      <c r="GUL25" s="93"/>
      <c r="GUM25" s="93"/>
      <c r="GUN25" s="88"/>
      <c r="GUO25" s="88"/>
      <c r="GUP25" s="90"/>
      <c r="GUQ25" s="90"/>
      <c r="GUR25" s="88"/>
      <c r="GUS25" s="88"/>
      <c r="GUT25" s="90"/>
      <c r="GUU25" s="93"/>
      <c r="GUV25" s="88"/>
      <c r="GUW25" s="88"/>
      <c r="GUX25" s="91"/>
      <c r="GUY25" s="93"/>
      <c r="GUZ25" s="93"/>
      <c r="GVA25" s="88"/>
      <c r="GVB25" s="88"/>
      <c r="GVC25" s="90"/>
      <c r="GVD25" s="90"/>
      <c r="GVE25" s="88"/>
      <c r="GVF25" s="88"/>
      <c r="GVG25" s="90"/>
      <c r="GVH25" s="93"/>
      <c r="GVI25" s="88"/>
      <c r="GVJ25" s="88"/>
      <c r="GVK25" s="91"/>
      <c r="GVL25" s="93"/>
      <c r="GVM25" s="93"/>
      <c r="GVN25" s="88"/>
      <c r="GVO25" s="88"/>
      <c r="GVP25" s="90"/>
      <c r="GVQ25" s="90"/>
      <c r="GVR25" s="88"/>
      <c r="GVS25" s="88"/>
      <c r="GVT25" s="90"/>
      <c r="GVU25" s="93"/>
      <c r="GVV25" s="88"/>
      <c r="GVW25" s="88"/>
      <c r="GVX25" s="91"/>
      <c r="GVY25" s="93"/>
      <c r="GVZ25" s="93"/>
      <c r="GWA25" s="88"/>
      <c r="GWB25" s="88"/>
      <c r="GWC25" s="90"/>
      <c r="GWD25" s="90"/>
      <c r="GWE25" s="88"/>
      <c r="GWF25" s="88"/>
      <c r="GWG25" s="90"/>
      <c r="GWH25" s="93"/>
      <c r="GWI25" s="88"/>
      <c r="GWJ25" s="88"/>
      <c r="GWK25" s="91"/>
      <c r="GWL25" s="93"/>
      <c r="GWM25" s="93"/>
      <c r="GWN25" s="88"/>
      <c r="GWO25" s="88"/>
      <c r="GWP25" s="90"/>
      <c r="GWQ25" s="90"/>
      <c r="GWR25" s="88"/>
      <c r="GWS25" s="88"/>
      <c r="GWT25" s="90"/>
      <c r="GWU25" s="93"/>
      <c r="GWV25" s="88"/>
      <c r="GWW25" s="88"/>
      <c r="GWX25" s="91"/>
      <c r="GWY25" s="93"/>
      <c r="GWZ25" s="93"/>
      <c r="GXA25" s="88"/>
      <c r="GXB25" s="88"/>
      <c r="GXC25" s="90"/>
      <c r="GXD25" s="90"/>
      <c r="GXE25" s="88"/>
      <c r="GXF25" s="88"/>
      <c r="GXG25" s="90"/>
      <c r="GXH25" s="93"/>
      <c r="GXI25" s="88"/>
      <c r="GXJ25" s="88"/>
      <c r="GXK25" s="91"/>
      <c r="GXL25" s="93"/>
      <c r="GXM25" s="93"/>
      <c r="GXN25" s="88"/>
      <c r="GXO25" s="88"/>
      <c r="GXP25" s="90"/>
      <c r="GXQ25" s="90"/>
      <c r="GXR25" s="88"/>
      <c r="GXS25" s="88"/>
      <c r="GXT25" s="90"/>
      <c r="GXU25" s="93"/>
      <c r="GXV25" s="88"/>
      <c r="GXW25" s="88"/>
      <c r="GXX25" s="91"/>
      <c r="GXY25" s="93"/>
      <c r="GXZ25" s="93"/>
      <c r="GYA25" s="88"/>
      <c r="GYB25" s="88"/>
      <c r="GYC25" s="90"/>
      <c r="GYD25" s="90"/>
      <c r="GYE25" s="88"/>
      <c r="GYF25" s="88"/>
      <c r="GYG25" s="90"/>
      <c r="GYH25" s="93"/>
      <c r="GYI25" s="88"/>
      <c r="GYJ25" s="88"/>
      <c r="GYK25" s="91"/>
      <c r="GYL25" s="93"/>
      <c r="GYM25" s="93"/>
      <c r="GYN25" s="88"/>
      <c r="GYO25" s="88"/>
      <c r="GYP25" s="90"/>
      <c r="GYQ25" s="90"/>
      <c r="GYR25" s="88"/>
      <c r="GYS25" s="88"/>
      <c r="GYT25" s="90"/>
      <c r="GYU25" s="93"/>
      <c r="GYV25" s="88"/>
      <c r="GYW25" s="88"/>
      <c r="GYX25" s="91"/>
      <c r="GYY25" s="93"/>
      <c r="GYZ25" s="93"/>
      <c r="GZA25" s="88"/>
      <c r="GZB25" s="88"/>
      <c r="GZC25" s="90"/>
      <c r="GZD25" s="90"/>
      <c r="GZE25" s="88"/>
      <c r="GZF25" s="88"/>
      <c r="GZG25" s="90"/>
      <c r="GZH25" s="93"/>
      <c r="GZI25" s="88"/>
      <c r="GZJ25" s="88"/>
      <c r="GZK25" s="91"/>
      <c r="GZL25" s="93"/>
      <c r="GZM25" s="93"/>
      <c r="GZN25" s="88"/>
      <c r="GZO25" s="88"/>
      <c r="GZP25" s="90"/>
      <c r="GZQ25" s="90"/>
      <c r="GZR25" s="88"/>
      <c r="GZS25" s="88"/>
      <c r="GZT25" s="90"/>
      <c r="GZU25" s="93"/>
      <c r="GZV25" s="88"/>
      <c r="GZW25" s="88"/>
      <c r="GZX25" s="91"/>
      <c r="GZY25" s="93"/>
      <c r="GZZ25" s="93"/>
      <c r="HAA25" s="88"/>
      <c r="HAB25" s="88"/>
      <c r="HAC25" s="90"/>
      <c r="HAD25" s="90"/>
      <c r="HAE25" s="88"/>
      <c r="HAF25" s="88"/>
      <c r="HAG25" s="90"/>
      <c r="HAH25" s="93"/>
      <c r="HAI25" s="88"/>
      <c r="HAJ25" s="88"/>
      <c r="HAK25" s="91"/>
      <c r="HAL25" s="93"/>
      <c r="HAM25" s="93"/>
      <c r="HAN25" s="88"/>
      <c r="HAO25" s="88"/>
      <c r="HAP25" s="90"/>
      <c r="HAQ25" s="90"/>
      <c r="HAR25" s="88"/>
      <c r="HAS25" s="88"/>
      <c r="HAT25" s="90"/>
      <c r="HAU25" s="93"/>
      <c r="HAV25" s="88"/>
      <c r="HAW25" s="88"/>
      <c r="HAX25" s="91"/>
      <c r="HAY25" s="93"/>
      <c r="HAZ25" s="93"/>
      <c r="HBA25" s="88"/>
      <c r="HBB25" s="88"/>
      <c r="HBC25" s="90"/>
      <c r="HBD25" s="90"/>
      <c r="HBE25" s="88"/>
      <c r="HBF25" s="88"/>
      <c r="HBG25" s="90"/>
      <c r="HBH25" s="93"/>
      <c r="HBI25" s="88"/>
      <c r="HBJ25" s="88"/>
      <c r="HBK25" s="91"/>
      <c r="HBL25" s="93"/>
      <c r="HBM25" s="93"/>
      <c r="HBN25" s="88"/>
      <c r="HBO25" s="88"/>
      <c r="HBP25" s="90"/>
      <c r="HBQ25" s="90"/>
      <c r="HBR25" s="88"/>
      <c r="HBS25" s="88"/>
      <c r="HBT25" s="90"/>
      <c r="HBU25" s="93"/>
      <c r="HBV25" s="88"/>
      <c r="HBW25" s="88"/>
      <c r="HBX25" s="91"/>
      <c r="HBY25" s="93"/>
      <c r="HBZ25" s="93"/>
      <c r="HCA25" s="88"/>
      <c r="HCB25" s="88"/>
      <c r="HCC25" s="90"/>
      <c r="HCD25" s="90"/>
      <c r="HCE25" s="88"/>
      <c r="HCF25" s="88"/>
      <c r="HCG25" s="90"/>
      <c r="HCH25" s="93"/>
      <c r="HCI25" s="88"/>
      <c r="HCJ25" s="88"/>
      <c r="HCK25" s="91"/>
      <c r="HCL25" s="93"/>
      <c r="HCM25" s="93"/>
      <c r="HCN25" s="88"/>
      <c r="HCO25" s="88"/>
      <c r="HCP25" s="90"/>
      <c r="HCQ25" s="90"/>
      <c r="HCR25" s="88"/>
      <c r="HCS25" s="88"/>
      <c r="HCT25" s="90"/>
      <c r="HCU25" s="93"/>
      <c r="HCV25" s="88"/>
      <c r="HCW25" s="88"/>
      <c r="HCX25" s="91"/>
      <c r="HCY25" s="93"/>
      <c r="HCZ25" s="93"/>
      <c r="HDA25" s="88"/>
      <c r="HDB25" s="88"/>
      <c r="HDC25" s="90"/>
      <c r="HDD25" s="90"/>
      <c r="HDE25" s="88"/>
      <c r="HDF25" s="88"/>
      <c r="HDG25" s="90"/>
      <c r="HDH25" s="93"/>
      <c r="HDI25" s="88"/>
      <c r="HDJ25" s="88"/>
      <c r="HDK25" s="91"/>
      <c r="HDL25" s="93"/>
      <c r="HDM25" s="93"/>
      <c r="HDN25" s="88"/>
      <c r="HDO25" s="88"/>
      <c r="HDP25" s="90"/>
      <c r="HDQ25" s="90"/>
      <c r="HDR25" s="88"/>
      <c r="HDS25" s="88"/>
      <c r="HDT25" s="90"/>
      <c r="HDU25" s="93"/>
      <c r="HDV25" s="88"/>
      <c r="HDW25" s="88"/>
      <c r="HDX25" s="91"/>
      <c r="HDY25" s="93"/>
      <c r="HDZ25" s="93"/>
      <c r="HEA25" s="88"/>
      <c r="HEB25" s="88"/>
      <c r="HEC25" s="90"/>
      <c r="HED25" s="90"/>
      <c r="HEE25" s="88"/>
      <c r="HEF25" s="88"/>
      <c r="HEG25" s="90"/>
      <c r="HEH25" s="93"/>
      <c r="HEI25" s="88"/>
      <c r="HEJ25" s="88"/>
      <c r="HEK25" s="91"/>
      <c r="HEL25" s="93"/>
      <c r="HEM25" s="93"/>
      <c r="HEN25" s="88"/>
      <c r="HEO25" s="88"/>
      <c r="HEP25" s="90"/>
      <c r="HEQ25" s="90"/>
      <c r="HER25" s="88"/>
      <c r="HES25" s="88"/>
      <c r="HET25" s="90"/>
      <c r="HEU25" s="93"/>
      <c r="HEV25" s="88"/>
      <c r="HEW25" s="88"/>
      <c r="HEX25" s="91"/>
      <c r="HEY25" s="93"/>
      <c r="HEZ25" s="93"/>
      <c r="HFA25" s="88"/>
      <c r="HFB25" s="88"/>
      <c r="HFC25" s="90"/>
      <c r="HFD25" s="90"/>
      <c r="HFE25" s="88"/>
      <c r="HFF25" s="88"/>
      <c r="HFG25" s="90"/>
      <c r="HFH25" s="93"/>
      <c r="HFI25" s="88"/>
      <c r="HFJ25" s="88"/>
      <c r="HFK25" s="91"/>
      <c r="HFL25" s="93"/>
      <c r="HFM25" s="93"/>
      <c r="HFN25" s="88"/>
      <c r="HFO25" s="88"/>
      <c r="HFP25" s="90"/>
      <c r="HFQ25" s="90"/>
      <c r="HFR25" s="88"/>
      <c r="HFS25" s="88"/>
      <c r="HFT25" s="90"/>
      <c r="HFU25" s="93"/>
      <c r="HFV25" s="88"/>
      <c r="HFW25" s="88"/>
      <c r="HFX25" s="91"/>
      <c r="HFY25" s="93"/>
      <c r="HFZ25" s="93"/>
      <c r="HGA25" s="88"/>
      <c r="HGB25" s="88"/>
      <c r="HGC25" s="90"/>
      <c r="HGD25" s="90"/>
      <c r="HGE25" s="88"/>
      <c r="HGF25" s="88"/>
      <c r="HGG25" s="90"/>
      <c r="HGH25" s="93"/>
      <c r="HGI25" s="88"/>
      <c r="HGJ25" s="88"/>
      <c r="HGK25" s="91"/>
      <c r="HGL25" s="93"/>
      <c r="HGM25" s="93"/>
      <c r="HGN25" s="88"/>
      <c r="HGO25" s="88"/>
      <c r="HGP25" s="90"/>
      <c r="HGQ25" s="90"/>
      <c r="HGR25" s="88"/>
      <c r="HGS25" s="88"/>
      <c r="HGT25" s="90"/>
      <c r="HGU25" s="93"/>
      <c r="HGV25" s="88"/>
      <c r="HGW25" s="88"/>
      <c r="HGX25" s="91"/>
      <c r="HGY25" s="93"/>
      <c r="HGZ25" s="93"/>
      <c r="HHA25" s="88"/>
      <c r="HHB25" s="88"/>
      <c r="HHC25" s="90"/>
      <c r="HHD25" s="90"/>
      <c r="HHE25" s="88"/>
      <c r="HHF25" s="88"/>
      <c r="HHG25" s="90"/>
      <c r="HHH25" s="93"/>
      <c r="HHI25" s="88"/>
      <c r="HHJ25" s="88"/>
      <c r="HHK25" s="91"/>
      <c r="HHL25" s="93"/>
      <c r="HHM25" s="93"/>
      <c r="HHN25" s="88"/>
      <c r="HHO25" s="88"/>
      <c r="HHP25" s="90"/>
      <c r="HHQ25" s="90"/>
      <c r="HHR25" s="88"/>
      <c r="HHS25" s="88"/>
      <c r="HHT25" s="90"/>
      <c r="HHU25" s="93"/>
      <c r="HHV25" s="88"/>
      <c r="HHW25" s="88"/>
      <c r="HHX25" s="91"/>
      <c r="HHY25" s="93"/>
      <c r="HHZ25" s="93"/>
      <c r="HIA25" s="88"/>
      <c r="HIB25" s="88"/>
      <c r="HIC25" s="90"/>
      <c r="HID25" s="90"/>
      <c r="HIE25" s="88"/>
      <c r="HIF25" s="88"/>
      <c r="HIG25" s="90"/>
      <c r="HIH25" s="93"/>
      <c r="HII25" s="88"/>
      <c r="HIJ25" s="88"/>
      <c r="HIK25" s="91"/>
      <c r="HIL25" s="93"/>
      <c r="HIM25" s="93"/>
      <c r="HIN25" s="88"/>
      <c r="HIO25" s="88"/>
      <c r="HIP25" s="90"/>
      <c r="HIQ25" s="90"/>
      <c r="HIR25" s="88"/>
      <c r="HIS25" s="88"/>
      <c r="HIT25" s="90"/>
      <c r="HIU25" s="93"/>
      <c r="HIV25" s="88"/>
      <c r="HIW25" s="88"/>
      <c r="HIX25" s="91"/>
      <c r="HIY25" s="93"/>
      <c r="HIZ25" s="93"/>
      <c r="HJA25" s="88"/>
      <c r="HJB25" s="88"/>
      <c r="HJC25" s="90"/>
      <c r="HJD25" s="90"/>
      <c r="HJE25" s="88"/>
      <c r="HJF25" s="88"/>
      <c r="HJG25" s="90"/>
      <c r="HJH25" s="93"/>
      <c r="HJI25" s="88"/>
      <c r="HJJ25" s="88"/>
      <c r="HJK25" s="91"/>
      <c r="HJL25" s="93"/>
      <c r="HJM25" s="93"/>
      <c r="HJN25" s="88"/>
      <c r="HJO25" s="88"/>
      <c r="HJP25" s="90"/>
      <c r="HJQ25" s="90"/>
      <c r="HJR25" s="88"/>
      <c r="HJS25" s="88"/>
      <c r="HJT25" s="90"/>
      <c r="HJU25" s="93"/>
      <c r="HJV25" s="88"/>
      <c r="HJW25" s="88"/>
      <c r="HJX25" s="91"/>
      <c r="HJY25" s="93"/>
      <c r="HJZ25" s="93"/>
      <c r="HKA25" s="88"/>
      <c r="HKB25" s="88"/>
      <c r="HKC25" s="90"/>
      <c r="HKD25" s="90"/>
      <c r="HKE25" s="88"/>
      <c r="HKF25" s="88"/>
      <c r="HKG25" s="90"/>
      <c r="HKH25" s="93"/>
      <c r="HKI25" s="88"/>
      <c r="HKJ25" s="88"/>
      <c r="HKK25" s="91"/>
      <c r="HKL25" s="93"/>
      <c r="HKM25" s="93"/>
      <c r="HKN25" s="88"/>
      <c r="HKO25" s="88"/>
      <c r="HKP25" s="90"/>
      <c r="HKQ25" s="90"/>
      <c r="HKR25" s="88"/>
      <c r="HKS25" s="88"/>
      <c r="HKT25" s="90"/>
      <c r="HKU25" s="93"/>
      <c r="HKV25" s="88"/>
      <c r="HKW25" s="88"/>
      <c r="HKX25" s="91"/>
      <c r="HKY25" s="93"/>
      <c r="HKZ25" s="93"/>
      <c r="HLA25" s="88"/>
      <c r="HLB25" s="88"/>
      <c r="HLC25" s="90"/>
      <c r="HLD25" s="90"/>
      <c r="HLE25" s="88"/>
      <c r="HLF25" s="88"/>
      <c r="HLG25" s="90"/>
      <c r="HLH25" s="93"/>
      <c r="HLI25" s="88"/>
      <c r="HLJ25" s="88"/>
      <c r="HLK25" s="91"/>
      <c r="HLL25" s="93"/>
      <c r="HLM25" s="93"/>
      <c r="HLN25" s="88"/>
      <c r="HLO25" s="88"/>
      <c r="HLP25" s="90"/>
      <c r="HLQ25" s="90"/>
      <c r="HLR25" s="88"/>
      <c r="HLS25" s="88"/>
      <c r="HLT25" s="90"/>
      <c r="HLU25" s="93"/>
      <c r="HLV25" s="88"/>
      <c r="HLW25" s="88"/>
      <c r="HLX25" s="91"/>
      <c r="HLY25" s="93"/>
      <c r="HLZ25" s="93"/>
      <c r="HMA25" s="88"/>
      <c r="HMB25" s="88"/>
      <c r="HMC25" s="90"/>
      <c r="HMD25" s="90"/>
      <c r="HME25" s="88"/>
      <c r="HMF25" s="88"/>
      <c r="HMG25" s="90"/>
      <c r="HMH25" s="93"/>
      <c r="HMI25" s="88"/>
      <c r="HMJ25" s="88"/>
      <c r="HMK25" s="91"/>
      <c r="HML25" s="93"/>
      <c r="HMM25" s="93"/>
      <c r="HMN25" s="88"/>
      <c r="HMO25" s="88"/>
      <c r="HMP25" s="90"/>
      <c r="HMQ25" s="90"/>
      <c r="HMR25" s="88"/>
      <c r="HMS25" s="88"/>
      <c r="HMT25" s="90"/>
      <c r="HMU25" s="93"/>
      <c r="HMV25" s="88"/>
      <c r="HMW25" s="88"/>
      <c r="HMX25" s="91"/>
      <c r="HMY25" s="93"/>
      <c r="HMZ25" s="93"/>
      <c r="HNA25" s="88"/>
      <c r="HNB25" s="88"/>
      <c r="HNC25" s="90"/>
      <c r="HND25" s="90"/>
      <c r="HNE25" s="88"/>
      <c r="HNF25" s="88"/>
      <c r="HNG25" s="90"/>
      <c r="HNH25" s="93"/>
      <c r="HNI25" s="88"/>
      <c r="HNJ25" s="88"/>
      <c r="HNK25" s="91"/>
      <c r="HNL25" s="93"/>
      <c r="HNM25" s="93"/>
      <c r="HNN25" s="88"/>
      <c r="HNO25" s="88"/>
      <c r="HNP25" s="90"/>
      <c r="HNQ25" s="90"/>
      <c r="HNR25" s="88"/>
      <c r="HNS25" s="88"/>
      <c r="HNT25" s="90"/>
      <c r="HNU25" s="93"/>
      <c r="HNV25" s="88"/>
      <c r="HNW25" s="88"/>
      <c r="HNX25" s="91"/>
      <c r="HNY25" s="93"/>
      <c r="HNZ25" s="93"/>
      <c r="HOA25" s="88"/>
      <c r="HOB25" s="88"/>
      <c r="HOC25" s="90"/>
      <c r="HOD25" s="90"/>
      <c r="HOE25" s="88"/>
      <c r="HOF25" s="88"/>
      <c r="HOG25" s="90"/>
      <c r="HOH25" s="93"/>
      <c r="HOI25" s="88"/>
      <c r="HOJ25" s="88"/>
      <c r="HOK25" s="91"/>
      <c r="HOL25" s="93"/>
      <c r="HOM25" s="93"/>
      <c r="HON25" s="88"/>
      <c r="HOO25" s="88"/>
      <c r="HOP25" s="90"/>
      <c r="HOQ25" s="90"/>
      <c r="HOR25" s="88"/>
      <c r="HOS25" s="88"/>
      <c r="HOT25" s="90"/>
      <c r="HOU25" s="93"/>
      <c r="HOV25" s="88"/>
      <c r="HOW25" s="88"/>
      <c r="HOX25" s="91"/>
      <c r="HOY25" s="93"/>
      <c r="HOZ25" s="93"/>
      <c r="HPA25" s="88"/>
      <c r="HPB25" s="88"/>
      <c r="HPC25" s="90"/>
      <c r="HPD25" s="90"/>
      <c r="HPE25" s="88"/>
      <c r="HPF25" s="88"/>
      <c r="HPG25" s="90"/>
      <c r="HPH25" s="93"/>
      <c r="HPI25" s="88"/>
      <c r="HPJ25" s="88"/>
      <c r="HPK25" s="91"/>
      <c r="HPL25" s="93"/>
      <c r="HPM25" s="93"/>
      <c r="HPN25" s="88"/>
      <c r="HPO25" s="88"/>
      <c r="HPP25" s="90"/>
      <c r="HPQ25" s="90"/>
      <c r="HPR25" s="88"/>
      <c r="HPS25" s="88"/>
      <c r="HPT25" s="90"/>
      <c r="HPU25" s="93"/>
      <c r="HPV25" s="88"/>
      <c r="HPW25" s="88"/>
      <c r="HPX25" s="91"/>
      <c r="HPY25" s="93"/>
      <c r="HPZ25" s="93"/>
      <c r="HQA25" s="88"/>
      <c r="HQB25" s="88"/>
      <c r="HQC25" s="90"/>
      <c r="HQD25" s="90"/>
      <c r="HQE25" s="88"/>
      <c r="HQF25" s="88"/>
      <c r="HQG25" s="90"/>
      <c r="HQH25" s="93"/>
      <c r="HQI25" s="88"/>
      <c r="HQJ25" s="88"/>
      <c r="HQK25" s="91"/>
      <c r="HQL25" s="93"/>
      <c r="HQM25" s="93"/>
      <c r="HQN25" s="88"/>
      <c r="HQO25" s="88"/>
      <c r="HQP25" s="90"/>
      <c r="HQQ25" s="90"/>
      <c r="HQR25" s="88"/>
      <c r="HQS25" s="88"/>
      <c r="HQT25" s="90"/>
      <c r="HQU25" s="93"/>
      <c r="HQV25" s="88"/>
      <c r="HQW25" s="88"/>
      <c r="HQX25" s="91"/>
      <c r="HQY25" s="93"/>
      <c r="HQZ25" s="93"/>
      <c r="HRA25" s="88"/>
      <c r="HRB25" s="88"/>
      <c r="HRC25" s="90"/>
      <c r="HRD25" s="90"/>
      <c r="HRE25" s="88"/>
      <c r="HRF25" s="88"/>
      <c r="HRG25" s="90"/>
      <c r="HRH25" s="93"/>
      <c r="HRI25" s="88"/>
      <c r="HRJ25" s="88"/>
      <c r="HRK25" s="91"/>
      <c r="HRL25" s="93"/>
      <c r="HRM25" s="93"/>
      <c r="HRN25" s="88"/>
      <c r="HRO25" s="88"/>
      <c r="HRP25" s="90"/>
      <c r="HRQ25" s="90"/>
      <c r="HRR25" s="88"/>
      <c r="HRS25" s="88"/>
      <c r="HRT25" s="90"/>
      <c r="HRU25" s="93"/>
      <c r="HRV25" s="88"/>
      <c r="HRW25" s="88"/>
      <c r="HRX25" s="91"/>
      <c r="HRY25" s="93"/>
      <c r="HRZ25" s="93"/>
      <c r="HSA25" s="88"/>
      <c r="HSB25" s="88"/>
      <c r="HSC25" s="90"/>
      <c r="HSD25" s="90"/>
      <c r="HSE25" s="88"/>
      <c r="HSF25" s="88"/>
      <c r="HSG25" s="90"/>
      <c r="HSH25" s="93"/>
      <c r="HSI25" s="88"/>
      <c r="HSJ25" s="88"/>
      <c r="HSK25" s="91"/>
      <c r="HSL25" s="93"/>
      <c r="HSM25" s="93"/>
      <c r="HSN25" s="88"/>
      <c r="HSO25" s="88"/>
      <c r="HSP25" s="90"/>
      <c r="HSQ25" s="90"/>
      <c r="HSR25" s="88"/>
      <c r="HSS25" s="88"/>
      <c r="HST25" s="90"/>
      <c r="HSU25" s="93"/>
      <c r="HSV25" s="88"/>
      <c r="HSW25" s="88"/>
      <c r="HSX25" s="91"/>
      <c r="HSY25" s="93"/>
      <c r="HSZ25" s="93"/>
      <c r="HTA25" s="88"/>
      <c r="HTB25" s="88"/>
      <c r="HTC25" s="90"/>
      <c r="HTD25" s="90"/>
      <c r="HTE25" s="88"/>
      <c r="HTF25" s="88"/>
      <c r="HTG25" s="90"/>
      <c r="HTH25" s="93"/>
      <c r="HTI25" s="88"/>
      <c r="HTJ25" s="88"/>
      <c r="HTK25" s="91"/>
      <c r="HTL25" s="93"/>
      <c r="HTM25" s="93"/>
      <c r="HTN25" s="88"/>
      <c r="HTO25" s="88"/>
      <c r="HTP25" s="90"/>
      <c r="HTQ25" s="90"/>
      <c r="HTR25" s="88"/>
      <c r="HTS25" s="88"/>
      <c r="HTT25" s="90"/>
      <c r="HTU25" s="93"/>
      <c r="HTV25" s="88"/>
      <c r="HTW25" s="88"/>
      <c r="HTX25" s="91"/>
      <c r="HTY25" s="93"/>
      <c r="HTZ25" s="93"/>
      <c r="HUA25" s="88"/>
      <c r="HUB25" s="88"/>
      <c r="HUC25" s="90"/>
      <c r="HUD25" s="90"/>
      <c r="HUE25" s="88"/>
      <c r="HUF25" s="88"/>
      <c r="HUG25" s="90"/>
      <c r="HUH25" s="93"/>
      <c r="HUI25" s="88"/>
      <c r="HUJ25" s="88"/>
      <c r="HUK25" s="91"/>
      <c r="HUL25" s="93"/>
      <c r="HUM25" s="93"/>
      <c r="HUN25" s="88"/>
      <c r="HUO25" s="88"/>
      <c r="HUP25" s="90"/>
      <c r="HUQ25" s="90"/>
      <c r="HUR25" s="88"/>
      <c r="HUS25" s="88"/>
      <c r="HUT25" s="90"/>
      <c r="HUU25" s="93"/>
      <c r="HUV25" s="88"/>
      <c r="HUW25" s="88"/>
      <c r="HUX25" s="91"/>
      <c r="HUY25" s="93"/>
      <c r="HUZ25" s="93"/>
      <c r="HVA25" s="88"/>
      <c r="HVB25" s="88"/>
      <c r="HVC25" s="90"/>
      <c r="HVD25" s="90"/>
      <c r="HVE25" s="88"/>
      <c r="HVF25" s="88"/>
      <c r="HVG25" s="90"/>
      <c r="HVH25" s="93"/>
      <c r="HVI25" s="88"/>
      <c r="HVJ25" s="88"/>
      <c r="HVK25" s="91"/>
      <c r="HVL25" s="93"/>
      <c r="HVM25" s="93"/>
      <c r="HVN25" s="88"/>
      <c r="HVO25" s="88"/>
      <c r="HVP25" s="90"/>
      <c r="HVQ25" s="90"/>
      <c r="HVR25" s="88"/>
      <c r="HVS25" s="88"/>
      <c r="HVT25" s="90"/>
      <c r="HVU25" s="93"/>
      <c r="HVV25" s="88"/>
      <c r="HVW25" s="88"/>
      <c r="HVX25" s="91"/>
      <c r="HVY25" s="93"/>
      <c r="HVZ25" s="93"/>
      <c r="HWA25" s="88"/>
      <c r="HWB25" s="88"/>
      <c r="HWC25" s="90"/>
      <c r="HWD25" s="90"/>
      <c r="HWE25" s="88"/>
      <c r="HWF25" s="88"/>
      <c r="HWG25" s="90"/>
      <c r="HWH25" s="93"/>
      <c r="HWI25" s="88"/>
      <c r="HWJ25" s="88"/>
      <c r="HWK25" s="91"/>
      <c r="HWL25" s="93"/>
      <c r="HWM25" s="93"/>
      <c r="HWN25" s="88"/>
      <c r="HWO25" s="88"/>
      <c r="HWP25" s="90"/>
      <c r="HWQ25" s="90"/>
      <c r="HWR25" s="88"/>
      <c r="HWS25" s="88"/>
      <c r="HWT25" s="90"/>
      <c r="HWU25" s="93"/>
      <c r="HWV25" s="88"/>
      <c r="HWW25" s="88"/>
      <c r="HWX25" s="91"/>
      <c r="HWY25" s="93"/>
      <c r="HWZ25" s="93"/>
      <c r="HXA25" s="88"/>
      <c r="HXB25" s="88"/>
      <c r="HXC25" s="90"/>
      <c r="HXD25" s="90"/>
      <c r="HXE25" s="88"/>
      <c r="HXF25" s="88"/>
      <c r="HXG25" s="90"/>
      <c r="HXH25" s="93"/>
      <c r="HXI25" s="88"/>
      <c r="HXJ25" s="88"/>
      <c r="HXK25" s="91"/>
      <c r="HXL25" s="93"/>
      <c r="HXM25" s="93"/>
      <c r="HXN25" s="88"/>
      <c r="HXO25" s="88"/>
      <c r="HXP25" s="90"/>
      <c r="HXQ25" s="90"/>
      <c r="HXR25" s="88"/>
      <c r="HXS25" s="88"/>
      <c r="HXT25" s="90"/>
      <c r="HXU25" s="93"/>
      <c r="HXV25" s="88"/>
      <c r="HXW25" s="88"/>
      <c r="HXX25" s="91"/>
      <c r="HXY25" s="93"/>
      <c r="HXZ25" s="93"/>
      <c r="HYA25" s="88"/>
      <c r="HYB25" s="88"/>
      <c r="HYC25" s="90"/>
      <c r="HYD25" s="90"/>
      <c r="HYE25" s="88"/>
      <c r="HYF25" s="88"/>
      <c r="HYG25" s="90"/>
      <c r="HYH25" s="93"/>
      <c r="HYI25" s="88"/>
      <c r="HYJ25" s="88"/>
      <c r="HYK25" s="91"/>
      <c r="HYL25" s="93"/>
      <c r="HYM25" s="93"/>
      <c r="HYN25" s="88"/>
      <c r="HYO25" s="88"/>
      <c r="HYP25" s="90"/>
      <c r="HYQ25" s="90"/>
      <c r="HYR25" s="88"/>
      <c r="HYS25" s="88"/>
      <c r="HYT25" s="90"/>
      <c r="HYU25" s="93"/>
      <c r="HYV25" s="88"/>
      <c r="HYW25" s="88"/>
      <c r="HYX25" s="91"/>
      <c r="HYY25" s="93"/>
      <c r="HYZ25" s="93"/>
      <c r="HZA25" s="88"/>
      <c r="HZB25" s="88"/>
      <c r="HZC25" s="90"/>
      <c r="HZD25" s="90"/>
      <c r="HZE25" s="88"/>
      <c r="HZF25" s="88"/>
      <c r="HZG25" s="90"/>
      <c r="HZH25" s="93"/>
      <c r="HZI25" s="88"/>
      <c r="HZJ25" s="88"/>
      <c r="HZK25" s="91"/>
      <c r="HZL25" s="93"/>
      <c r="HZM25" s="93"/>
      <c r="HZN25" s="88"/>
      <c r="HZO25" s="88"/>
      <c r="HZP25" s="90"/>
      <c r="HZQ25" s="90"/>
      <c r="HZR25" s="88"/>
      <c r="HZS25" s="88"/>
      <c r="HZT25" s="90"/>
      <c r="HZU25" s="93"/>
      <c r="HZV25" s="88"/>
      <c r="HZW25" s="88"/>
      <c r="HZX25" s="91"/>
      <c r="HZY25" s="93"/>
      <c r="HZZ25" s="93"/>
      <c r="IAA25" s="88"/>
      <c r="IAB25" s="88"/>
      <c r="IAC25" s="90"/>
      <c r="IAD25" s="90"/>
      <c r="IAE25" s="88"/>
      <c r="IAF25" s="88"/>
      <c r="IAG25" s="90"/>
      <c r="IAH25" s="93"/>
      <c r="IAI25" s="88"/>
      <c r="IAJ25" s="88"/>
      <c r="IAK25" s="91"/>
      <c r="IAL25" s="93"/>
      <c r="IAM25" s="93"/>
      <c r="IAN25" s="88"/>
      <c r="IAO25" s="88"/>
      <c r="IAP25" s="90"/>
      <c r="IAQ25" s="90"/>
      <c r="IAR25" s="88"/>
      <c r="IAS25" s="88"/>
      <c r="IAT25" s="90"/>
      <c r="IAU25" s="93"/>
      <c r="IAV25" s="88"/>
      <c r="IAW25" s="88"/>
      <c r="IAX25" s="91"/>
      <c r="IAY25" s="93"/>
      <c r="IAZ25" s="93"/>
      <c r="IBA25" s="88"/>
      <c r="IBB25" s="88"/>
      <c r="IBC25" s="90"/>
      <c r="IBD25" s="90"/>
      <c r="IBE25" s="88"/>
      <c r="IBF25" s="88"/>
      <c r="IBG25" s="90"/>
      <c r="IBH25" s="93"/>
      <c r="IBI25" s="88"/>
      <c r="IBJ25" s="88"/>
      <c r="IBK25" s="91"/>
      <c r="IBL25" s="93"/>
      <c r="IBM25" s="93"/>
      <c r="IBN25" s="88"/>
      <c r="IBO25" s="88"/>
      <c r="IBP25" s="90"/>
      <c r="IBQ25" s="90"/>
      <c r="IBR25" s="88"/>
      <c r="IBS25" s="88"/>
      <c r="IBT25" s="90"/>
      <c r="IBU25" s="93"/>
      <c r="IBV25" s="88"/>
      <c r="IBW25" s="88"/>
      <c r="IBX25" s="91"/>
      <c r="IBY25" s="93"/>
      <c r="IBZ25" s="93"/>
      <c r="ICA25" s="88"/>
      <c r="ICB25" s="88"/>
      <c r="ICC25" s="90"/>
      <c r="ICD25" s="90"/>
      <c r="ICE25" s="88"/>
      <c r="ICF25" s="88"/>
      <c r="ICG25" s="90"/>
      <c r="ICH25" s="93"/>
      <c r="ICI25" s="88"/>
      <c r="ICJ25" s="88"/>
      <c r="ICK25" s="91"/>
      <c r="ICL25" s="93"/>
      <c r="ICM25" s="93"/>
      <c r="ICN25" s="88"/>
      <c r="ICO25" s="88"/>
      <c r="ICP25" s="90"/>
      <c r="ICQ25" s="90"/>
      <c r="ICR25" s="88"/>
      <c r="ICS25" s="88"/>
      <c r="ICT25" s="90"/>
      <c r="ICU25" s="93"/>
      <c r="ICV25" s="88"/>
      <c r="ICW25" s="88"/>
      <c r="ICX25" s="91"/>
      <c r="ICY25" s="93"/>
      <c r="ICZ25" s="93"/>
      <c r="IDA25" s="88"/>
      <c r="IDB25" s="88"/>
      <c r="IDC25" s="90"/>
      <c r="IDD25" s="90"/>
      <c r="IDE25" s="88"/>
      <c r="IDF25" s="88"/>
      <c r="IDG25" s="90"/>
      <c r="IDH25" s="93"/>
      <c r="IDI25" s="88"/>
      <c r="IDJ25" s="88"/>
      <c r="IDK25" s="91"/>
      <c r="IDL25" s="93"/>
      <c r="IDM25" s="93"/>
      <c r="IDN25" s="88"/>
      <c r="IDO25" s="88"/>
      <c r="IDP25" s="90"/>
      <c r="IDQ25" s="90"/>
      <c r="IDR25" s="88"/>
      <c r="IDS25" s="88"/>
      <c r="IDT25" s="90"/>
      <c r="IDU25" s="93"/>
      <c r="IDV25" s="88"/>
      <c r="IDW25" s="88"/>
      <c r="IDX25" s="91"/>
      <c r="IDY25" s="93"/>
      <c r="IDZ25" s="93"/>
      <c r="IEA25" s="88"/>
      <c r="IEB25" s="88"/>
      <c r="IEC25" s="90"/>
      <c r="IED25" s="90"/>
      <c r="IEE25" s="88"/>
      <c r="IEF25" s="88"/>
      <c r="IEG25" s="90"/>
      <c r="IEH25" s="93"/>
      <c r="IEI25" s="88"/>
      <c r="IEJ25" s="88"/>
      <c r="IEK25" s="91"/>
      <c r="IEL25" s="93"/>
      <c r="IEM25" s="93"/>
      <c r="IEN25" s="88"/>
      <c r="IEO25" s="88"/>
      <c r="IEP25" s="90"/>
      <c r="IEQ25" s="90"/>
      <c r="IER25" s="88"/>
      <c r="IES25" s="88"/>
      <c r="IET25" s="90"/>
      <c r="IEU25" s="93"/>
      <c r="IEV25" s="88"/>
      <c r="IEW25" s="88"/>
      <c r="IEX25" s="91"/>
      <c r="IEY25" s="93"/>
      <c r="IEZ25" s="93"/>
      <c r="IFA25" s="88"/>
      <c r="IFB25" s="88"/>
      <c r="IFC25" s="90"/>
      <c r="IFD25" s="90"/>
      <c r="IFE25" s="88"/>
      <c r="IFF25" s="88"/>
      <c r="IFG25" s="90"/>
      <c r="IFH25" s="93"/>
      <c r="IFI25" s="88"/>
      <c r="IFJ25" s="88"/>
      <c r="IFK25" s="91"/>
      <c r="IFL25" s="93"/>
      <c r="IFM25" s="93"/>
      <c r="IFN25" s="88"/>
      <c r="IFO25" s="88"/>
      <c r="IFP25" s="90"/>
      <c r="IFQ25" s="90"/>
      <c r="IFR25" s="88"/>
      <c r="IFS25" s="88"/>
      <c r="IFT25" s="90"/>
      <c r="IFU25" s="93"/>
      <c r="IFV25" s="88"/>
      <c r="IFW25" s="88"/>
      <c r="IFX25" s="91"/>
      <c r="IFY25" s="93"/>
      <c r="IFZ25" s="93"/>
      <c r="IGA25" s="88"/>
      <c r="IGB25" s="88"/>
      <c r="IGC25" s="90"/>
      <c r="IGD25" s="90"/>
      <c r="IGE25" s="88"/>
      <c r="IGF25" s="88"/>
      <c r="IGG25" s="90"/>
      <c r="IGH25" s="93"/>
      <c r="IGI25" s="88"/>
      <c r="IGJ25" s="88"/>
      <c r="IGK25" s="91"/>
      <c r="IGL25" s="93"/>
      <c r="IGM25" s="93"/>
      <c r="IGN25" s="88"/>
      <c r="IGO25" s="88"/>
      <c r="IGP25" s="90"/>
      <c r="IGQ25" s="90"/>
      <c r="IGR25" s="88"/>
      <c r="IGS25" s="88"/>
      <c r="IGT25" s="90"/>
      <c r="IGU25" s="93"/>
      <c r="IGV25" s="88"/>
      <c r="IGW25" s="88"/>
      <c r="IGX25" s="91"/>
      <c r="IGY25" s="93"/>
      <c r="IGZ25" s="93"/>
      <c r="IHA25" s="88"/>
      <c r="IHB25" s="88"/>
      <c r="IHC25" s="90"/>
      <c r="IHD25" s="90"/>
      <c r="IHE25" s="88"/>
      <c r="IHF25" s="88"/>
      <c r="IHG25" s="90"/>
      <c r="IHH25" s="93"/>
      <c r="IHI25" s="88"/>
      <c r="IHJ25" s="88"/>
      <c r="IHK25" s="91"/>
      <c r="IHL25" s="93"/>
      <c r="IHM25" s="93"/>
      <c r="IHN25" s="88"/>
      <c r="IHO25" s="88"/>
      <c r="IHP25" s="90"/>
      <c r="IHQ25" s="90"/>
      <c r="IHR25" s="88"/>
      <c r="IHS25" s="88"/>
      <c r="IHT25" s="90"/>
      <c r="IHU25" s="93"/>
      <c r="IHV25" s="88"/>
      <c r="IHW25" s="88"/>
      <c r="IHX25" s="91"/>
      <c r="IHY25" s="93"/>
      <c r="IHZ25" s="93"/>
      <c r="IIA25" s="88"/>
      <c r="IIB25" s="88"/>
      <c r="IIC25" s="90"/>
      <c r="IID25" s="90"/>
      <c r="IIE25" s="88"/>
      <c r="IIF25" s="88"/>
      <c r="IIG25" s="90"/>
      <c r="IIH25" s="93"/>
      <c r="III25" s="88"/>
      <c r="IIJ25" s="88"/>
      <c r="IIK25" s="91"/>
      <c r="IIL25" s="93"/>
      <c r="IIM25" s="93"/>
      <c r="IIN25" s="88"/>
      <c r="IIO25" s="88"/>
      <c r="IIP25" s="90"/>
      <c r="IIQ25" s="90"/>
      <c r="IIR25" s="88"/>
      <c r="IIS25" s="88"/>
      <c r="IIT25" s="90"/>
      <c r="IIU25" s="93"/>
      <c r="IIV25" s="88"/>
      <c r="IIW25" s="88"/>
      <c r="IIX25" s="91"/>
      <c r="IIY25" s="93"/>
      <c r="IIZ25" s="93"/>
      <c r="IJA25" s="88"/>
      <c r="IJB25" s="88"/>
      <c r="IJC25" s="90"/>
      <c r="IJD25" s="90"/>
      <c r="IJE25" s="88"/>
      <c r="IJF25" s="88"/>
      <c r="IJG25" s="90"/>
      <c r="IJH25" s="93"/>
      <c r="IJI25" s="88"/>
      <c r="IJJ25" s="88"/>
      <c r="IJK25" s="91"/>
      <c r="IJL25" s="93"/>
      <c r="IJM25" s="93"/>
      <c r="IJN25" s="88"/>
      <c r="IJO25" s="88"/>
      <c r="IJP25" s="90"/>
      <c r="IJQ25" s="90"/>
      <c r="IJR25" s="88"/>
      <c r="IJS25" s="88"/>
      <c r="IJT25" s="90"/>
      <c r="IJU25" s="93"/>
      <c r="IJV25" s="88"/>
      <c r="IJW25" s="88"/>
      <c r="IJX25" s="91"/>
      <c r="IJY25" s="93"/>
      <c r="IJZ25" s="93"/>
      <c r="IKA25" s="88"/>
      <c r="IKB25" s="88"/>
      <c r="IKC25" s="90"/>
      <c r="IKD25" s="90"/>
      <c r="IKE25" s="88"/>
      <c r="IKF25" s="88"/>
      <c r="IKG25" s="90"/>
      <c r="IKH25" s="93"/>
      <c r="IKI25" s="88"/>
      <c r="IKJ25" s="88"/>
      <c r="IKK25" s="91"/>
      <c r="IKL25" s="93"/>
      <c r="IKM25" s="93"/>
      <c r="IKN25" s="88"/>
      <c r="IKO25" s="88"/>
      <c r="IKP25" s="90"/>
      <c r="IKQ25" s="90"/>
      <c r="IKR25" s="88"/>
      <c r="IKS25" s="88"/>
      <c r="IKT25" s="90"/>
      <c r="IKU25" s="93"/>
      <c r="IKV25" s="88"/>
      <c r="IKW25" s="88"/>
      <c r="IKX25" s="91"/>
      <c r="IKY25" s="93"/>
      <c r="IKZ25" s="93"/>
      <c r="ILA25" s="88"/>
      <c r="ILB25" s="88"/>
      <c r="ILC25" s="90"/>
      <c r="ILD25" s="90"/>
      <c r="ILE25" s="88"/>
      <c r="ILF25" s="88"/>
      <c r="ILG25" s="90"/>
      <c r="ILH25" s="93"/>
      <c r="ILI25" s="88"/>
      <c r="ILJ25" s="88"/>
      <c r="ILK25" s="91"/>
      <c r="ILL25" s="93"/>
      <c r="ILM25" s="93"/>
      <c r="ILN25" s="88"/>
      <c r="ILO25" s="88"/>
      <c r="ILP25" s="90"/>
      <c r="ILQ25" s="90"/>
      <c r="ILR25" s="88"/>
      <c r="ILS25" s="88"/>
      <c r="ILT25" s="90"/>
      <c r="ILU25" s="93"/>
      <c r="ILV25" s="88"/>
      <c r="ILW25" s="88"/>
      <c r="ILX25" s="91"/>
      <c r="ILY25" s="93"/>
      <c r="ILZ25" s="93"/>
      <c r="IMA25" s="88"/>
      <c r="IMB25" s="88"/>
      <c r="IMC25" s="90"/>
      <c r="IMD25" s="90"/>
      <c r="IME25" s="88"/>
      <c r="IMF25" s="88"/>
      <c r="IMG25" s="90"/>
      <c r="IMH25" s="93"/>
      <c r="IMI25" s="88"/>
      <c r="IMJ25" s="88"/>
      <c r="IMK25" s="91"/>
      <c r="IML25" s="93"/>
      <c r="IMM25" s="93"/>
      <c r="IMN25" s="88"/>
      <c r="IMO25" s="88"/>
      <c r="IMP25" s="90"/>
      <c r="IMQ25" s="90"/>
      <c r="IMR25" s="88"/>
      <c r="IMS25" s="88"/>
      <c r="IMT25" s="90"/>
      <c r="IMU25" s="93"/>
      <c r="IMV25" s="88"/>
      <c r="IMW25" s="88"/>
      <c r="IMX25" s="91"/>
      <c r="IMY25" s="93"/>
      <c r="IMZ25" s="93"/>
      <c r="INA25" s="88"/>
      <c r="INB25" s="88"/>
      <c r="INC25" s="90"/>
      <c r="IND25" s="90"/>
      <c r="INE25" s="88"/>
      <c r="INF25" s="88"/>
      <c r="ING25" s="90"/>
      <c r="INH25" s="93"/>
      <c r="INI25" s="88"/>
      <c r="INJ25" s="88"/>
      <c r="INK25" s="91"/>
      <c r="INL25" s="93"/>
      <c r="INM25" s="93"/>
      <c r="INN25" s="88"/>
      <c r="INO25" s="88"/>
      <c r="INP25" s="90"/>
      <c r="INQ25" s="90"/>
      <c r="INR25" s="88"/>
      <c r="INS25" s="88"/>
      <c r="INT25" s="90"/>
      <c r="INU25" s="93"/>
      <c r="INV25" s="88"/>
      <c r="INW25" s="88"/>
      <c r="INX25" s="91"/>
      <c r="INY25" s="93"/>
      <c r="INZ25" s="93"/>
      <c r="IOA25" s="88"/>
      <c r="IOB25" s="88"/>
      <c r="IOC25" s="90"/>
      <c r="IOD25" s="90"/>
      <c r="IOE25" s="88"/>
      <c r="IOF25" s="88"/>
      <c r="IOG25" s="90"/>
      <c r="IOH25" s="93"/>
      <c r="IOI25" s="88"/>
      <c r="IOJ25" s="88"/>
      <c r="IOK25" s="91"/>
      <c r="IOL25" s="93"/>
      <c r="IOM25" s="93"/>
      <c r="ION25" s="88"/>
      <c r="IOO25" s="88"/>
      <c r="IOP25" s="90"/>
      <c r="IOQ25" s="90"/>
      <c r="IOR25" s="88"/>
      <c r="IOS25" s="88"/>
      <c r="IOT25" s="90"/>
      <c r="IOU25" s="93"/>
      <c r="IOV25" s="88"/>
      <c r="IOW25" s="88"/>
      <c r="IOX25" s="91"/>
      <c r="IOY25" s="93"/>
      <c r="IOZ25" s="93"/>
      <c r="IPA25" s="88"/>
      <c r="IPB25" s="88"/>
      <c r="IPC25" s="90"/>
      <c r="IPD25" s="90"/>
      <c r="IPE25" s="88"/>
      <c r="IPF25" s="88"/>
      <c r="IPG25" s="90"/>
      <c r="IPH25" s="93"/>
      <c r="IPI25" s="88"/>
      <c r="IPJ25" s="88"/>
      <c r="IPK25" s="91"/>
      <c r="IPL25" s="93"/>
      <c r="IPM25" s="93"/>
      <c r="IPN25" s="88"/>
      <c r="IPO25" s="88"/>
      <c r="IPP25" s="90"/>
      <c r="IPQ25" s="90"/>
      <c r="IPR25" s="88"/>
      <c r="IPS25" s="88"/>
      <c r="IPT25" s="90"/>
      <c r="IPU25" s="93"/>
      <c r="IPV25" s="88"/>
      <c r="IPW25" s="88"/>
      <c r="IPX25" s="91"/>
      <c r="IPY25" s="93"/>
      <c r="IPZ25" s="93"/>
      <c r="IQA25" s="88"/>
      <c r="IQB25" s="88"/>
      <c r="IQC25" s="90"/>
      <c r="IQD25" s="90"/>
      <c r="IQE25" s="88"/>
      <c r="IQF25" s="88"/>
      <c r="IQG25" s="90"/>
      <c r="IQH25" s="93"/>
      <c r="IQI25" s="88"/>
      <c r="IQJ25" s="88"/>
      <c r="IQK25" s="91"/>
      <c r="IQL25" s="93"/>
      <c r="IQM25" s="93"/>
      <c r="IQN25" s="88"/>
      <c r="IQO25" s="88"/>
      <c r="IQP25" s="90"/>
      <c r="IQQ25" s="90"/>
      <c r="IQR25" s="88"/>
      <c r="IQS25" s="88"/>
      <c r="IQT25" s="90"/>
      <c r="IQU25" s="93"/>
      <c r="IQV25" s="88"/>
      <c r="IQW25" s="88"/>
      <c r="IQX25" s="91"/>
      <c r="IQY25" s="93"/>
      <c r="IQZ25" s="93"/>
      <c r="IRA25" s="88"/>
      <c r="IRB25" s="88"/>
      <c r="IRC25" s="90"/>
      <c r="IRD25" s="90"/>
      <c r="IRE25" s="88"/>
      <c r="IRF25" s="88"/>
      <c r="IRG25" s="90"/>
      <c r="IRH25" s="93"/>
      <c r="IRI25" s="88"/>
      <c r="IRJ25" s="88"/>
      <c r="IRK25" s="91"/>
      <c r="IRL25" s="93"/>
      <c r="IRM25" s="93"/>
      <c r="IRN25" s="88"/>
      <c r="IRO25" s="88"/>
      <c r="IRP25" s="90"/>
      <c r="IRQ25" s="90"/>
      <c r="IRR25" s="88"/>
      <c r="IRS25" s="88"/>
      <c r="IRT25" s="90"/>
      <c r="IRU25" s="93"/>
      <c r="IRV25" s="88"/>
      <c r="IRW25" s="88"/>
      <c r="IRX25" s="91"/>
      <c r="IRY25" s="93"/>
      <c r="IRZ25" s="93"/>
      <c r="ISA25" s="88"/>
      <c r="ISB25" s="88"/>
      <c r="ISC25" s="90"/>
      <c r="ISD25" s="90"/>
      <c r="ISE25" s="88"/>
      <c r="ISF25" s="88"/>
      <c r="ISG25" s="90"/>
      <c r="ISH25" s="93"/>
      <c r="ISI25" s="88"/>
      <c r="ISJ25" s="88"/>
      <c r="ISK25" s="91"/>
      <c r="ISL25" s="93"/>
      <c r="ISM25" s="93"/>
      <c r="ISN25" s="88"/>
      <c r="ISO25" s="88"/>
      <c r="ISP25" s="90"/>
      <c r="ISQ25" s="90"/>
      <c r="ISR25" s="88"/>
      <c r="ISS25" s="88"/>
      <c r="IST25" s="90"/>
      <c r="ISU25" s="93"/>
      <c r="ISV25" s="88"/>
      <c r="ISW25" s="88"/>
      <c r="ISX25" s="91"/>
      <c r="ISY25" s="93"/>
      <c r="ISZ25" s="93"/>
      <c r="ITA25" s="88"/>
      <c r="ITB25" s="88"/>
      <c r="ITC25" s="90"/>
      <c r="ITD25" s="90"/>
      <c r="ITE25" s="88"/>
      <c r="ITF25" s="88"/>
      <c r="ITG25" s="90"/>
      <c r="ITH25" s="93"/>
      <c r="ITI25" s="88"/>
      <c r="ITJ25" s="88"/>
      <c r="ITK25" s="91"/>
      <c r="ITL25" s="93"/>
      <c r="ITM25" s="93"/>
      <c r="ITN25" s="88"/>
      <c r="ITO25" s="88"/>
      <c r="ITP25" s="90"/>
      <c r="ITQ25" s="90"/>
      <c r="ITR25" s="88"/>
      <c r="ITS25" s="88"/>
      <c r="ITT25" s="90"/>
      <c r="ITU25" s="93"/>
      <c r="ITV25" s="88"/>
      <c r="ITW25" s="88"/>
      <c r="ITX25" s="91"/>
      <c r="ITY25" s="93"/>
      <c r="ITZ25" s="93"/>
      <c r="IUA25" s="88"/>
      <c r="IUB25" s="88"/>
      <c r="IUC25" s="90"/>
      <c r="IUD25" s="90"/>
      <c r="IUE25" s="88"/>
      <c r="IUF25" s="88"/>
      <c r="IUG25" s="90"/>
      <c r="IUH25" s="93"/>
      <c r="IUI25" s="88"/>
      <c r="IUJ25" s="88"/>
      <c r="IUK25" s="91"/>
      <c r="IUL25" s="93"/>
      <c r="IUM25" s="93"/>
      <c r="IUN25" s="88"/>
      <c r="IUO25" s="88"/>
      <c r="IUP25" s="90"/>
      <c r="IUQ25" s="90"/>
      <c r="IUR25" s="88"/>
      <c r="IUS25" s="88"/>
      <c r="IUT25" s="90"/>
      <c r="IUU25" s="93"/>
      <c r="IUV25" s="88"/>
      <c r="IUW25" s="88"/>
      <c r="IUX25" s="91"/>
      <c r="IUY25" s="93"/>
      <c r="IUZ25" s="93"/>
      <c r="IVA25" s="88"/>
      <c r="IVB25" s="88"/>
      <c r="IVC25" s="90"/>
      <c r="IVD25" s="90"/>
      <c r="IVE25" s="88"/>
      <c r="IVF25" s="88"/>
      <c r="IVG25" s="90"/>
      <c r="IVH25" s="93"/>
      <c r="IVI25" s="88"/>
      <c r="IVJ25" s="88"/>
      <c r="IVK25" s="91"/>
      <c r="IVL25" s="93"/>
      <c r="IVM25" s="93"/>
      <c r="IVN25" s="88"/>
      <c r="IVO25" s="88"/>
      <c r="IVP25" s="90"/>
      <c r="IVQ25" s="90"/>
      <c r="IVR25" s="88"/>
      <c r="IVS25" s="88"/>
      <c r="IVT25" s="90"/>
      <c r="IVU25" s="93"/>
      <c r="IVV25" s="88"/>
      <c r="IVW25" s="88"/>
      <c r="IVX25" s="91"/>
      <c r="IVY25" s="93"/>
      <c r="IVZ25" s="93"/>
      <c r="IWA25" s="88"/>
      <c r="IWB25" s="88"/>
      <c r="IWC25" s="90"/>
      <c r="IWD25" s="90"/>
      <c r="IWE25" s="88"/>
      <c r="IWF25" s="88"/>
      <c r="IWG25" s="90"/>
      <c r="IWH25" s="93"/>
      <c r="IWI25" s="88"/>
      <c r="IWJ25" s="88"/>
      <c r="IWK25" s="91"/>
      <c r="IWL25" s="93"/>
      <c r="IWM25" s="93"/>
      <c r="IWN25" s="88"/>
      <c r="IWO25" s="88"/>
      <c r="IWP25" s="90"/>
      <c r="IWQ25" s="90"/>
      <c r="IWR25" s="88"/>
      <c r="IWS25" s="88"/>
      <c r="IWT25" s="90"/>
      <c r="IWU25" s="93"/>
      <c r="IWV25" s="88"/>
      <c r="IWW25" s="88"/>
      <c r="IWX25" s="91"/>
      <c r="IWY25" s="93"/>
      <c r="IWZ25" s="93"/>
      <c r="IXA25" s="88"/>
      <c r="IXB25" s="88"/>
      <c r="IXC25" s="90"/>
      <c r="IXD25" s="90"/>
      <c r="IXE25" s="88"/>
      <c r="IXF25" s="88"/>
      <c r="IXG25" s="90"/>
      <c r="IXH25" s="93"/>
      <c r="IXI25" s="88"/>
      <c r="IXJ25" s="88"/>
      <c r="IXK25" s="91"/>
      <c r="IXL25" s="93"/>
      <c r="IXM25" s="93"/>
      <c r="IXN25" s="88"/>
      <c r="IXO25" s="88"/>
      <c r="IXP25" s="90"/>
      <c r="IXQ25" s="90"/>
      <c r="IXR25" s="88"/>
      <c r="IXS25" s="88"/>
      <c r="IXT25" s="90"/>
      <c r="IXU25" s="93"/>
      <c r="IXV25" s="88"/>
      <c r="IXW25" s="88"/>
      <c r="IXX25" s="91"/>
      <c r="IXY25" s="93"/>
      <c r="IXZ25" s="93"/>
      <c r="IYA25" s="88"/>
      <c r="IYB25" s="88"/>
      <c r="IYC25" s="90"/>
      <c r="IYD25" s="90"/>
      <c r="IYE25" s="88"/>
      <c r="IYF25" s="88"/>
      <c r="IYG25" s="90"/>
      <c r="IYH25" s="93"/>
      <c r="IYI25" s="88"/>
      <c r="IYJ25" s="88"/>
      <c r="IYK25" s="91"/>
      <c r="IYL25" s="93"/>
      <c r="IYM25" s="93"/>
      <c r="IYN25" s="88"/>
      <c r="IYO25" s="88"/>
      <c r="IYP25" s="90"/>
      <c r="IYQ25" s="90"/>
      <c r="IYR25" s="88"/>
      <c r="IYS25" s="88"/>
      <c r="IYT25" s="90"/>
      <c r="IYU25" s="93"/>
      <c r="IYV25" s="88"/>
      <c r="IYW25" s="88"/>
      <c r="IYX25" s="91"/>
      <c r="IYY25" s="93"/>
      <c r="IYZ25" s="93"/>
      <c r="IZA25" s="88"/>
      <c r="IZB25" s="88"/>
      <c r="IZC25" s="90"/>
      <c r="IZD25" s="90"/>
      <c r="IZE25" s="88"/>
      <c r="IZF25" s="88"/>
      <c r="IZG25" s="90"/>
      <c r="IZH25" s="93"/>
      <c r="IZI25" s="88"/>
      <c r="IZJ25" s="88"/>
      <c r="IZK25" s="91"/>
      <c r="IZL25" s="93"/>
      <c r="IZM25" s="93"/>
      <c r="IZN25" s="88"/>
      <c r="IZO25" s="88"/>
      <c r="IZP25" s="90"/>
      <c r="IZQ25" s="90"/>
      <c r="IZR25" s="88"/>
      <c r="IZS25" s="88"/>
      <c r="IZT25" s="90"/>
      <c r="IZU25" s="93"/>
      <c r="IZV25" s="88"/>
      <c r="IZW25" s="88"/>
      <c r="IZX25" s="91"/>
      <c r="IZY25" s="93"/>
      <c r="IZZ25" s="93"/>
      <c r="JAA25" s="88"/>
      <c r="JAB25" s="88"/>
      <c r="JAC25" s="90"/>
      <c r="JAD25" s="90"/>
      <c r="JAE25" s="88"/>
      <c r="JAF25" s="88"/>
      <c r="JAG25" s="90"/>
      <c r="JAH25" s="93"/>
      <c r="JAI25" s="88"/>
      <c r="JAJ25" s="88"/>
      <c r="JAK25" s="91"/>
      <c r="JAL25" s="93"/>
      <c r="JAM25" s="93"/>
      <c r="JAN25" s="88"/>
      <c r="JAO25" s="88"/>
      <c r="JAP25" s="90"/>
      <c r="JAQ25" s="90"/>
      <c r="JAR25" s="88"/>
      <c r="JAS25" s="88"/>
      <c r="JAT25" s="90"/>
      <c r="JAU25" s="93"/>
      <c r="JAV25" s="88"/>
      <c r="JAW25" s="88"/>
      <c r="JAX25" s="91"/>
      <c r="JAY25" s="93"/>
      <c r="JAZ25" s="93"/>
      <c r="JBA25" s="88"/>
      <c r="JBB25" s="88"/>
      <c r="JBC25" s="90"/>
      <c r="JBD25" s="90"/>
      <c r="JBE25" s="88"/>
      <c r="JBF25" s="88"/>
      <c r="JBG25" s="90"/>
      <c r="JBH25" s="93"/>
      <c r="JBI25" s="88"/>
      <c r="JBJ25" s="88"/>
      <c r="JBK25" s="91"/>
      <c r="JBL25" s="93"/>
      <c r="JBM25" s="93"/>
      <c r="JBN25" s="88"/>
      <c r="JBO25" s="88"/>
      <c r="JBP25" s="90"/>
      <c r="JBQ25" s="90"/>
      <c r="JBR25" s="88"/>
      <c r="JBS25" s="88"/>
      <c r="JBT25" s="90"/>
      <c r="JBU25" s="93"/>
      <c r="JBV25" s="88"/>
      <c r="JBW25" s="88"/>
      <c r="JBX25" s="91"/>
      <c r="JBY25" s="93"/>
      <c r="JBZ25" s="93"/>
      <c r="JCA25" s="88"/>
      <c r="JCB25" s="88"/>
      <c r="JCC25" s="90"/>
      <c r="JCD25" s="90"/>
      <c r="JCE25" s="88"/>
      <c r="JCF25" s="88"/>
      <c r="JCG25" s="90"/>
      <c r="JCH25" s="93"/>
      <c r="JCI25" s="88"/>
      <c r="JCJ25" s="88"/>
      <c r="JCK25" s="91"/>
      <c r="JCL25" s="93"/>
      <c r="JCM25" s="93"/>
      <c r="JCN25" s="88"/>
      <c r="JCO25" s="88"/>
      <c r="JCP25" s="90"/>
      <c r="JCQ25" s="90"/>
      <c r="JCR25" s="88"/>
      <c r="JCS25" s="88"/>
      <c r="JCT25" s="90"/>
      <c r="JCU25" s="93"/>
      <c r="JCV25" s="88"/>
      <c r="JCW25" s="88"/>
      <c r="JCX25" s="91"/>
      <c r="JCY25" s="93"/>
      <c r="JCZ25" s="93"/>
      <c r="JDA25" s="88"/>
      <c r="JDB25" s="88"/>
      <c r="JDC25" s="90"/>
      <c r="JDD25" s="90"/>
      <c r="JDE25" s="88"/>
      <c r="JDF25" s="88"/>
      <c r="JDG25" s="90"/>
      <c r="JDH25" s="93"/>
      <c r="JDI25" s="88"/>
      <c r="JDJ25" s="88"/>
      <c r="JDK25" s="91"/>
      <c r="JDL25" s="93"/>
      <c r="JDM25" s="93"/>
      <c r="JDN25" s="88"/>
      <c r="JDO25" s="88"/>
      <c r="JDP25" s="90"/>
      <c r="JDQ25" s="90"/>
      <c r="JDR25" s="88"/>
      <c r="JDS25" s="88"/>
      <c r="JDT25" s="90"/>
      <c r="JDU25" s="93"/>
      <c r="JDV25" s="88"/>
      <c r="JDW25" s="88"/>
      <c r="JDX25" s="91"/>
      <c r="JDY25" s="93"/>
      <c r="JDZ25" s="93"/>
      <c r="JEA25" s="88"/>
      <c r="JEB25" s="88"/>
      <c r="JEC25" s="90"/>
      <c r="JED25" s="90"/>
      <c r="JEE25" s="88"/>
      <c r="JEF25" s="88"/>
      <c r="JEG25" s="90"/>
      <c r="JEH25" s="93"/>
      <c r="JEI25" s="88"/>
      <c r="JEJ25" s="88"/>
      <c r="JEK25" s="91"/>
      <c r="JEL25" s="93"/>
      <c r="JEM25" s="93"/>
      <c r="JEN25" s="88"/>
      <c r="JEO25" s="88"/>
      <c r="JEP25" s="90"/>
      <c r="JEQ25" s="90"/>
      <c r="JER25" s="88"/>
      <c r="JES25" s="88"/>
      <c r="JET25" s="90"/>
      <c r="JEU25" s="93"/>
      <c r="JEV25" s="88"/>
      <c r="JEW25" s="88"/>
      <c r="JEX25" s="91"/>
      <c r="JEY25" s="93"/>
      <c r="JEZ25" s="93"/>
      <c r="JFA25" s="88"/>
      <c r="JFB25" s="88"/>
      <c r="JFC25" s="90"/>
      <c r="JFD25" s="90"/>
      <c r="JFE25" s="88"/>
      <c r="JFF25" s="88"/>
      <c r="JFG25" s="90"/>
      <c r="JFH25" s="93"/>
      <c r="JFI25" s="88"/>
      <c r="JFJ25" s="88"/>
      <c r="JFK25" s="91"/>
      <c r="JFL25" s="93"/>
      <c r="JFM25" s="93"/>
      <c r="JFN25" s="88"/>
      <c r="JFO25" s="88"/>
      <c r="JFP25" s="90"/>
      <c r="JFQ25" s="90"/>
      <c r="JFR25" s="88"/>
      <c r="JFS25" s="88"/>
      <c r="JFT25" s="90"/>
      <c r="JFU25" s="93"/>
      <c r="JFV25" s="88"/>
      <c r="JFW25" s="88"/>
      <c r="JFX25" s="91"/>
      <c r="JFY25" s="93"/>
      <c r="JFZ25" s="93"/>
      <c r="JGA25" s="88"/>
      <c r="JGB25" s="88"/>
      <c r="JGC25" s="90"/>
      <c r="JGD25" s="90"/>
      <c r="JGE25" s="88"/>
      <c r="JGF25" s="88"/>
      <c r="JGG25" s="90"/>
      <c r="JGH25" s="93"/>
      <c r="JGI25" s="88"/>
      <c r="JGJ25" s="88"/>
      <c r="JGK25" s="91"/>
      <c r="JGL25" s="93"/>
      <c r="JGM25" s="93"/>
      <c r="JGN25" s="88"/>
      <c r="JGO25" s="88"/>
      <c r="JGP25" s="90"/>
      <c r="JGQ25" s="90"/>
      <c r="JGR25" s="88"/>
      <c r="JGS25" s="88"/>
      <c r="JGT25" s="90"/>
      <c r="JGU25" s="93"/>
      <c r="JGV25" s="88"/>
      <c r="JGW25" s="88"/>
      <c r="JGX25" s="91"/>
      <c r="JGY25" s="93"/>
      <c r="JGZ25" s="93"/>
      <c r="JHA25" s="88"/>
      <c r="JHB25" s="88"/>
      <c r="JHC25" s="90"/>
      <c r="JHD25" s="90"/>
      <c r="JHE25" s="88"/>
      <c r="JHF25" s="88"/>
      <c r="JHG25" s="90"/>
      <c r="JHH25" s="93"/>
      <c r="JHI25" s="88"/>
      <c r="JHJ25" s="88"/>
      <c r="JHK25" s="91"/>
      <c r="JHL25" s="93"/>
      <c r="JHM25" s="93"/>
      <c r="JHN25" s="88"/>
      <c r="JHO25" s="88"/>
      <c r="JHP25" s="90"/>
      <c r="JHQ25" s="90"/>
      <c r="JHR25" s="88"/>
      <c r="JHS25" s="88"/>
      <c r="JHT25" s="90"/>
      <c r="JHU25" s="93"/>
      <c r="JHV25" s="88"/>
      <c r="JHW25" s="88"/>
      <c r="JHX25" s="91"/>
      <c r="JHY25" s="93"/>
      <c r="JHZ25" s="93"/>
      <c r="JIA25" s="88"/>
      <c r="JIB25" s="88"/>
      <c r="JIC25" s="90"/>
      <c r="JID25" s="90"/>
      <c r="JIE25" s="88"/>
      <c r="JIF25" s="88"/>
      <c r="JIG25" s="90"/>
      <c r="JIH25" s="93"/>
      <c r="JII25" s="88"/>
      <c r="JIJ25" s="88"/>
      <c r="JIK25" s="91"/>
      <c r="JIL25" s="93"/>
      <c r="JIM25" s="93"/>
      <c r="JIN25" s="88"/>
      <c r="JIO25" s="88"/>
      <c r="JIP25" s="90"/>
      <c r="JIQ25" s="90"/>
      <c r="JIR25" s="88"/>
      <c r="JIS25" s="88"/>
      <c r="JIT25" s="90"/>
      <c r="JIU25" s="93"/>
      <c r="JIV25" s="88"/>
      <c r="JIW25" s="88"/>
      <c r="JIX25" s="91"/>
      <c r="JIY25" s="93"/>
      <c r="JIZ25" s="93"/>
      <c r="JJA25" s="88"/>
      <c r="JJB25" s="88"/>
      <c r="JJC25" s="90"/>
      <c r="JJD25" s="90"/>
      <c r="JJE25" s="88"/>
      <c r="JJF25" s="88"/>
      <c r="JJG25" s="90"/>
      <c r="JJH25" s="93"/>
      <c r="JJI25" s="88"/>
      <c r="JJJ25" s="88"/>
      <c r="JJK25" s="91"/>
      <c r="JJL25" s="93"/>
      <c r="JJM25" s="93"/>
      <c r="JJN25" s="88"/>
      <c r="JJO25" s="88"/>
      <c r="JJP25" s="90"/>
      <c r="JJQ25" s="90"/>
      <c r="JJR25" s="88"/>
      <c r="JJS25" s="88"/>
      <c r="JJT25" s="90"/>
      <c r="JJU25" s="93"/>
      <c r="JJV25" s="88"/>
      <c r="JJW25" s="88"/>
      <c r="JJX25" s="91"/>
      <c r="JJY25" s="93"/>
      <c r="JJZ25" s="93"/>
      <c r="JKA25" s="88"/>
      <c r="JKB25" s="88"/>
      <c r="JKC25" s="90"/>
      <c r="JKD25" s="90"/>
      <c r="JKE25" s="88"/>
      <c r="JKF25" s="88"/>
      <c r="JKG25" s="90"/>
      <c r="JKH25" s="93"/>
      <c r="JKI25" s="88"/>
      <c r="JKJ25" s="88"/>
      <c r="JKK25" s="91"/>
      <c r="JKL25" s="93"/>
      <c r="JKM25" s="93"/>
      <c r="JKN25" s="88"/>
      <c r="JKO25" s="88"/>
      <c r="JKP25" s="90"/>
      <c r="JKQ25" s="90"/>
      <c r="JKR25" s="88"/>
      <c r="JKS25" s="88"/>
      <c r="JKT25" s="90"/>
      <c r="JKU25" s="93"/>
      <c r="JKV25" s="88"/>
      <c r="JKW25" s="88"/>
      <c r="JKX25" s="91"/>
      <c r="JKY25" s="93"/>
      <c r="JKZ25" s="93"/>
      <c r="JLA25" s="88"/>
      <c r="JLB25" s="88"/>
      <c r="JLC25" s="90"/>
      <c r="JLD25" s="90"/>
      <c r="JLE25" s="88"/>
      <c r="JLF25" s="88"/>
      <c r="JLG25" s="90"/>
      <c r="JLH25" s="93"/>
      <c r="JLI25" s="88"/>
      <c r="JLJ25" s="88"/>
      <c r="JLK25" s="91"/>
      <c r="JLL25" s="93"/>
      <c r="JLM25" s="93"/>
      <c r="JLN25" s="88"/>
      <c r="JLO25" s="88"/>
      <c r="JLP25" s="90"/>
      <c r="JLQ25" s="90"/>
      <c r="JLR25" s="88"/>
      <c r="JLS25" s="88"/>
      <c r="JLT25" s="90"/>
      <c r="JLU25" s="93"/>
      <c r="JLV25" s="88"/>
      <c r="JLW25" s="88"/>
      <c r="JLX25" s="91"/>
      <c r="JLY25" s="93"/>
      <c r="JLZ25" s="93"/>
      <c r="JMA25" s="88"/>
      <c r="JMB25" s="88"/>
      <c r="JMC25" s="90"/>
      <c r="JMD25" s="90"/>
      <c r="JME25" s="88"/>
      <c r="JMF25" s="88"/>
      <c r="JMG25" s="90"/>
      <c r="JMH25" s="93"/>
      <c r="JMI25" s="88"/>
      <c r="JMJ25" s="88"/>
      <c r="JMK25" s="91"/>
      <c r="JML25" s="93"/>
      <c r="JMM25" s="93"/>
      <c r="JMN25" s="88"/>
      <c r="JMO25" s="88"/>
      <c r="JMP25" s="90"/>
      <c r="JMQ25" s="90"/>
      <c r="JMR25" s="88"/>
      <c r="JMS25" s="88"/>
      <c r="JMT25" s="90"/>
      <c r="JMU25" s="93"/>
      <c r="JMV25" s="88"/>
      <c r="JMW25" s="88"/>
      <c r="JMX25" s="91"/>
      <c r="JMY25" s="93"/>
      <c r="JMZ25" s="93"/>
      <c r="JNA25" s="88"/>
      <c r="JNB25" s="88"/>
      <c r="JNC25" s="90"/>
      <c r="JND25" s="90"/>
      <c r="JNE25" s="88"/>
      <c r="JNF25" s="88"/>
      <c r="JNG25" s="90"/>
      <c r="JNH25" s="93"/>
      <c r="JNI25" s="88"/>
      <c r="JNJ25" s="88"/>
      <c r="JNK25" s="91"/>
      <c r="JNL25" s="93"/>
      <c r="JNM25" s="93"/>
      <c r="JNN25" s="88"/>
      <c r="JNO25" s="88"/>
      <c r="JNP25" s="90"/>
      <c r="JNQ25" s="90"/>
      <c r="JNR25" s="88"/>
      <c r="JNS25" s="88"/>
      <c r="JNT25" s="90"/>
      <c r="JNU25" s="93"/>
      <c r="JNV25" s="88"/>
      <c r="JNW25" s="88"/>
      <c r="JNX25" s="91"/>
      <c r="JNY25" s="93"/>
      <c r="JNZ25" s="93"/>
      <c r="JOA25" s="88"/>
      <c r="JOB25" s="88"/>
      <c r="JOC25" s="90"/>
      <c r="JOD25" s="90"/>
      <c r="JOE25" s="88"/>
      <c r="JOF25" s="88"/>
      <c r="JOG25" s="90"/>
      <c r="JOH25" s="93"/>
      <c r="JOI25" s="88"/>
      <c r="JOJ25" s="88"/>
      <c r="JOK25" s="91"/>
      <c r="JOL25" s="93"/>
      <c r="JOM25" s="93"/>
      <c r="JON25" s="88"/>
      <c r="JOO25" s="88"/>
      <c r="JOP25" s="90"/>
      <c r="JOQ25" s="90"/>
      <c r="JOR25" s="88"/>
      <c r="JOS25" s="88"/>
      <c r="JOT25" s="90"/>
      <c r="JOU25" s="93"/>
      <c r="JOV25" s="88"/>
      <c r="JOW25" s="88"/>
      <c r="JOX25" s="91"/>
      <c r="JOY25" s="93"/>
      <c r="JOZ25" s="93"/>
      <c r="JPA25" s="88"/>
      <c r="JPB25" s="88"/>
      <c r="JPC25" s="90"/>
      <c r="JPD25" s="90"/>
      <c r="JPE25" s="88"/>
      <c r="JPF25" s="88"/>
      <c r="JPG25" s="90"/>
      <c r="JPH25" s="93"/>
      <c r="JPI25" s="88"/>
      <c r="JPJ25" s="88"/>
      <c r="JPK25" s="91"/>
      <c r="JPL25" s="93"/>
      <c r="JPM25" s="93"/>
      <c r="JPN25" s="88"/>
      <c r="JPO25" s="88"/>
      <c r="JPP25" s="90"/>
      <c r="JPQ25" s="90"/>
      <c r="JPR25" s="88"/>
      <c r="JPS25" s="88"/>
      <c r="JPT25" s="90"/>
      <c r="JPU25" s="93"/>
      <c r="JPV25" s="88"/>
      <c r="JPW25" s="88"/>
      <c r="JPX25" s="91"/>
      <c r="JPY25" s="93"/>
      <c r="JPZ25" s="93"/>
      <c r="JQA25" s="88"/>
      <c r="JQB25" s="88"/>
      <c r="JQC25" s="90"/>
      <c r="JQD25" s="90"/>
      <c r="JQE25" s="88"/>
      <c r="JQF25" s="88"/>
      <c r="JQG25" s="90"/>
      <c r="JQH25" s="93"/>
      <c r="JQI25" s="88"/>
      <c r="JQJ25" s="88"/>
      <c r="JQK25" s="91"/>
      <c r="JQL25" s="93"/>
      <c r="JQM25" s="93"/>
      <c r="JQN25" s="88"/>
      <c r="JQO25" s="88"/>
      <c r="JQP25" s="90"/>
      <c r="JQQ25" s="90"/>
      <c r="JQR25" s="88"/>
      <c r="JQS25" s="88"/>
      <c r="JQT25" s="90"/>
      <c r="JQU25" s="93"/>
      <c r="JQV25" s="88"/>
      <c r="JQW25" s="88"/>
      <c r="JQX25" s="91"/>
      <c r="JQY25" s="93"/>
      <c r="JQZ25" s="93"/>
      <c r="JRA25" s="88"/>
      <c r="JRB25" s="88"/>
      <c r="JRC25" s="90"/>
      <c r="JRD25" s="90"/>
      <c r="JRE25" s="88"/>
      <c r="JRF25" s="88"/>
      <c r="JRG25" s="90"/>
      <c r="JRH25" s="93"/>
      <c r="JRI25" s="88"/>
      <c r="JRJ25" s="88"/>
      <c r="JRK25" s="91"/>
      <c r="JRL25" s="93"/>
      <c r="JRM25" s="93"/>
      <c r="JRN25" s="88"/>
      <c r="JRO25" s="88"/>
      <c r="JRP25" s="90"/>
      <c r="JRQ25" s="90"/>
      <c r="JRR25" s="88"/>
      <c r="JRS25" s="88"/>
      <c r="JRT25" s="90"/>
      <c r="JRU25" s="93"/>
      <c r="JRV25" s="88"/>
      <c r="JRW25" s="88"/>
      <c r="JRX25" s="91"/>
      <c r="JRY25" s="93"/>
      <c r="JRZ25" s="93"/>
      <c r="JSA25" s="88"/>
      <c r="JSB25" s="88"/>
      <c r="JSC25" s="90"/>
      <c r="JSD25" s="90"/>
      <c r="JSE25" s="88"/>
      <c r="JSF25" s="88"/>
      <c r="JSG25" s="90"/>
      <c r="JSH25" s="93"/>
      <c r="JSI25" s="88"/>
      <c r="JSJ25" s="88"/>
      <c r="JSK25" s="91"/>
      <c r="JSL25" s="93"/>
      <c r="JSM25" s="93"/>
      <c r="JSN25" s="88"/>
      <c r="JSO25" s="88"/>
      <c r="JSP25" s="90"/>
      <c r="JSQ25" s="90"/>
      <c r="JSR25" s="88"/>
      <c r="JSS25" s="88"/>
      <c r="JST25" s="90"/>
      <c r="JSU25" s="93"/>
      <c r="JSV25" s="88"/>
      <c r="JSW25" s="88"/>
      <c r="JSX25" s="91"/>
      <c r="JSY25" s="93"/>
      <c r="JSZ25" s="93"/>
      <c r="JTA25" s="88"/>
      <c r="JTB25" s="88"/>
      <c r="JTC25" s="90"/>
      <c r="JTD25" s="90"/>
      <c r="JTE25" s="88"/>
      <c r="JTF25" s="88"/>
      <c r="JTG25" s="90"/>
      <c r="JTH25" s="93"/>
      <c r="JTI25" s="88"/>
      <c r="JTJ25" s="88"/>
      <c r="JTK25" s="91"/>
      <c r="JTL25" s="93"/>
      <c r="JTM25" s="93"/>
      <c r="JTN25" s="88"/>
      <c r="JTO25" s="88"/>
      <c r="JTP25" s="90"/>
      <c r="JTQ25" s="90"/>
      <c r="JTR25" s="88"/>
      <c r="JTS25" s="88"/>
      <c r="JTT25" s="90"/>
      <c r="JTU25" s="93"/>
      <c r="JTV25" s="88"/>
      <c r="JTW25" s="88"/>
      <c r="JTX25" s="91"/>
      <c r="JTY25" s="93"/>
      <c r="JTZ25" s="93"/>
      <c r="JUA25" s="88"/>
      <c r="JUB25" s="88"/>
      <c r="JUC25" s="90"/>
      <c r="JUD25" s="90"/>
      <c r="JUE25" s="88"/>
      <c r="JUF25" s="88"/>
      <c r="JUG25" s="90"/>
      <c r="JUH25" s="93"/>
      <c r="JUI25" s="88"/>
      <c r="JUJ25" s="88"/>
      <c r="JUK25" s="91"/>
      <c r="JUL25" s="93"/>
      <c r="JUM25" s="93"/>
      <c r="JUN25" s="88"/>
      <c r="JUO25" s="88"/>
      <c r="JUP25" s="90"/>
      <c r="JUQ25" s="90"/>
      <c r="JUR25" s="88"/>
      <c r="JUS25" s="88"/>
      <c r="JUT25" s="90"/>
      <c r="JUU25" s="93"/>
      <c r="JUV25" s="88"/>
      <c r="JUW25" s="88"/>
      <c r="JUX25" s="91"/>
      <c r="JUY25" s="93"/>
      <c r="JUZ25" s="93"/>
      <c r="JVA25" s="88"/>
      <c r="JVB25" s="88"/>
      <c r="JVC25" s="90"/>
      <c r="JVD25" s="90"/>
      <c r="JVE25" s="88"/>
      <c r="JVF25" s="88"/>
      <c r="JVG25" s="90"/>
      <c r="JVH25" s="93"/>
      <c r="JVI25" s="88"/>
      <c r="JVJ25" s="88"/>
      <c r="JVK25" s="91"/>
      <c r="JVL25" s="93"/>
      <c r="JVM25" s="93"/>
      <c r="JVN25" s="88"/>
      <c r="JVO25" s="88"/>
      <c r="JVP25" s="90"/>
      <c r="JVQ25" s="90"/>
      <c r="JVR25" s="88"/>
      <c r="JVS25" s="88"/>
      <c r="JVT25" s="90"/>
      <c r="JVU25" s="93"/>
      <c r="JVV25" s="88"/>
      <c r="JVW25" s="88"/>
      <c r="JVX25" s="91"/>
      <c r="JVY25" s="93"/>
      <c r="JVZ25" s="93"/>
      <c r="JWA25" s="88"/>
      <c r="JWB25" s="88"/>
      <c r="JWC25" s="90"/>
      <c r="JWD25" s="90"/>
      <c r="JWE25" s="88"/>
      <c r="JWF25" s="88"/>
      <c r="JWG25" s="90"/>
      <c r="JWH25" s="93"/>
      <c r="JWI25" s="88"/>
      <c r="JWJ25" s="88"/>
      <c r="JWK25" s="91"/>
      <c r="JWL25" s="93"/>
      <c r="JWM25" s="93"/>
      <c r="JWN25" s="88"/>
      <c r="JWO25" s="88"/>
      <c r="JWP25" s="90"/>
      <c r="JWQ25" s="90"/>
      <c r="JWR25" s="88"/>
      <c r="JWS25" s="88"/>
      <c r="JWT25" s="90"/>
      <c r="JWU25" s="93"/>
      <c r="JWV25" s="88"/>
      <c r="JWW25" s="88"/>
      <c r="JWX25" s="91"/>
      <c r="JWY25" s="93"/>
      <c r="JWZ25" s="93"/>
      <c r="JXA25" s="88"/>
      <c r="JXB25" s="88"/>
      <c r="JXC25" s="90"/>
      <c r="JXD25" s="90"/>
      <c r="JXE25" s="88"/>
      <c r="JXF25" s="88"/>
      <c r="JXG25" s="90"/>
      <c r="JXH25" s="93"/>
      <c r="JXI25" s="88"/>
      <c r="JXJ25" s="88"/>
      <c r="JXK25" s="91"/>
      <c r="JXL25" s="93"/>
      <c r="JXM25" s="93"/>
      <c r="JXN25" s="88"/>
      <c r="JXO25" s="88"/>
      <c r="JXP25" s="90"/>
      <c r="JXQ25" s="90"/>
      <c r="JXR25" s="88"/>
      <c r="JXS25" s="88"/>
      <c r="JXT25" s="90"/>
      <c r="JXU25" s="93"/>
      <c r="JXV25" s="88"/>
      <c r="JXW25" s="88"/>
      <c r="JXX25" s="91"/>
      <c r="JXY25" s="93"/>
      <c r="JXZ25" s="93"/>
      <c r="JYA25" s="88"/>
      <c r="JYB25" s="88"/>
      <c r="JYC25" s="90"/>
      <c r="JYD25" s="90"/>
      <c r="JYE25" s="88"/>
      <c r="JYF25" s="88"/>
      <c r="JYG25" s="90"/>
      <c r="JYH25" s="93"/>
      <c r="JYI25" s="88"/>
      <c r="JYJ25" s="88"/>
      <c r="JYK25" s="91"/>
      <c r="JYL25" s="93"/>
      <c r="JYM25" s="93"/>
      <c r="JYN25" s="88"/>
      <c r="JYO25" s="88"/>
      <c r="JYP25" s="90"/>
      <c r="JYQ25" s="90"/>
      <c r="JYR25" s="88"/>
      <c r="JYS25" s="88"/>
      <c r="JYT25" s="90"/>
      <c r="JYU25" s="93"/>
      <c r="JYV25" s="88"/>
      <c r="JYW25" s="88"/>
      <c r="JYX25" s="91"/>
      <c r="JYY25" s="93"/>
      <c r="JYZ25" s="93"/>
      <c r="JZA25" s="88"/>
      <c r="JZB25" s="88"/>
      <c r="JZC25" s="90"/>
      <c r="JZD25" s="90"/>
      <c r="JZE25" s="88"/>
      <c r="JZF25" s="88"/>
      <c r="JZG25" s="90"/>
      <c r="JZH25" s="93"/>
      <c r="JZI25" s="88"/>
      <c r="JZJ25" s="88"/>
      <c r="JZK25" s="91"/>
      <c r="JZL25" s="93"/>
      <c r="JZM25" s="93"/>
      <c r="JZN25" s="88"/>
      <c r="JZO25" s="88"/>
      <c r="JZP25" s="90"/>
      <c r="JZQ25" s="90"/>
      <c r="JZR25" s="88"/>
      <c r="JZS25" s="88"/>
      <c r="JZT25" s="90"/>
      <c r="JZU25" s="93"/>
      <c r="JZV25" s="88"/>
      <c r="JZW25" s="88"/>
      <c r="JZX25" s="91"/>
      <c r="JZY25" s="93"/>
      <c r="JZZ25" s="93"/>
      <c r="KAA25" s="88"/>
      <c r="KAB25" s="88"/>
      <c r="KAC25" s="90"/>
      <c r="KAD25" s="90"/>
      <c r="KAE25" s="88"/>
      <c r="KAF25" s="88"/>
      <c r="KAG25" s="90"/>
      <c r="KAH25" s="93"/>
      <c r="KAI25" s="88"/>
      <c r="KAJ25" s="88"/>
      <c r="KAK25" s="91"/>
      <c r="KAL25" s="93"/>
      <c r="KAM25" s="93"/>
      <c r="KAN25" s="88"/>
      <c r="KAO25" s="88"/>
      <c r="KAP25" s="90"/>
      <c r="KAQ25" s="90"/>
      <c r="KAR25" s="88"/>
      <c r="KAS25" s="88"/>
      <c r="KAT25" s="90"/>
      <c r="KAU25" s="93"/>
      <c r="KAV25" s="88"/>
      <c r="KAW25" s="88"/>
      <c r="KAX25" s="91"/>
      <c r="KAY25" s="93"/>
      <c r="KAZ25" s="93"/>
      <c r="KBA25" s="88"/>
      <c r="KBB25" s="88"/>
      <c r="KBC25" s="90"/>
      <c r="KBD25" s="90"/>
      <c r="KBE25" s="88"/>
      <c r="KBF25" s="88"/>
      <c r="KBG25" s="90"/>
      <c r="KBH25" s="93"/>
      <c r="KBI25" s="88"/>
      <c r="KBJ25" s="88"/>
      <c r="KBK25" s="91"/>
      <c r="KBL25" s="93"/>
      <c r="KBM25" s="93"/>
      <c r="KBN25" s="88"/>
      <c r="KBO25" s="88"/>
      <c r="KBP25" s="90"/>
      <c r="KBQ25" s="90"/>
      <c r="KBR25" s="88"/>
      <c r="KBS25" s="88"/>
      <c r="KBT25" s="90"/>
      <c r="KBU25" s="93"/>
      <c r="KBV25" s="88"/>
      <c r="KBW25" s="88"/>
      <c r="KBX25" s="91"/>
      <c r="KBY25" s="93"/>
      <c r="KBZ25" s="93"/>
      <c r="KCA25" s="88"/>
      <c r="KCB25" s="88"/>
      <c r="KCC25" s="90"/>
      <c r="KCD25" s="90"/>
      <c r="KCE25" s="88"/>
      <c r="KCF25" s="88"/>
      <c r="KCG25" s="90"/>
      <c r="KCH25" s="93"/>
      <c r="KCI25" s="88"/>
      <c r="KCJ25" s="88"/>
      <c r="KCK25" s="91"/>
      <c r="KCL25" s="93"/>
      <c r="KCM25" s="93"/>
      <c r="KCN25" s="88"/>
      <c r="KCO25" s="88"/>
      <c r="KCP25" s="90"/>
      <c r="KCQ25" s="90"/>
      <c r="KCR25" s="88"/>
      <c r="KCS25" s="88"/>
      <c r="KCT25" s="90"/>
      <c r="KCU25" s="93"/>
      <c r="KCV25" s="88"/>
      <c r="KCW25" s="88"/>
      <c r="KCX25" s="91"/>
      <c r="KCY25" s="93"/>
      <c r="KCZ25" s="93"/>
      <c r="KDA25" s="88"/>
      <c r="KDB25" s="88"/>
      <c r="KDC25" s="90"/>
      <c r="KDD25" s="90"/>
      <c r="KDE25" s="88"/>
      <c r="KDF25" s="88"/>
      <c r="KDG25" s="90"/>
      <c r="KDH25" s="93"/>
      <c r="KDI25" s="88"/>
      <c r="KDJ25" s="88"/>
      <c r="KDK25" s="91"/>
      <c r="KDL25" s="93"/>
      <c r="KDM25" s="93"/>
      <c r="KDN25" s="88"/>
      <c r="KDO25" s="88"/>
      <c r="KDP25" s="90"/>
      <c r="KDQ25" s="90"/>
      <c r="KDR25" s="88"/>
      <c r="KDS25" s="88"/>
      <c r="KDT25" s="90"/>
      <c r="KDU25" s="93"/>
      <c r="KDV25" s="88"/>
      <c r="KDW25" s="88"/>
      <c r="KDX25" s="91"/>
      <c r="KDY25" s="93"/>
      <c r="KDZ25" s="93"/>
      <c r="KEA25" s="88"/>
      <c r="KEB25" s="88"/>
      <c r="KEC25" s="90"/>
      <c r="KED25" s="90"/>
      <c r="KEE25" s="88"/>
      <c r="KEF25" s="88"/>
      <c r="KEG25" s="90"/>
      <c r="KEH25" s="93"/>
      <c r="KEI25" s="88"/>
      <c r="KEJ25" s="88"/>
      <c r="KEK25" s="91"/>
      <c r="KEL25" s="93"/>
      <c r="KEM25" s="93"/>
      <c r="KEN25" s="88"/>
      <c r="KEO25" s="88"/>
      <c r="KEP25" s="90"/>
      <c r="KEQ25" s="90"/>
      <c r="KER25" s="88"/>
      <c r="KES25" s="88"/>
      <c r="KET25" s="90"/>
      <c r="KEU25" s="93"/>
      <c r="KEV25" s="88"/>
      <c r="KEW25" s="88"/>
      <c r="KEX25" s="91"/>
      <c r="KEY25" s="93"/>
      <c r="KEZ25" s="93"/>
      <c r="KFA25" s="88"/>
      <c r="KFB25" s="88"/>
      <c r="KFC25" s="90"/>
      <c r="KFD25" s="90"/>
      <c r="KFE25" s="88"/>
      <c r="KFF25" s="88"/>
      <c r="KFG25" s="90"/>
      <c r="KFH25" s="93"/>
      <c r="KFI25" s="88"/>
      <c r="KFJ25" s="88"/>
      <c r="KFK25" s="91"/>
      <c r="KFL25" s="93"/>
      <c r="KFM25" s="93"/>
      <c r="KFN25" s="88"/>
      <c r="KFO25" s="88"/>
      <c r="KFP25" s="90"/>
      <c r="KFQ25" s="90"/>
      <c r="KFR25" s="88"/>
      <c r="KFS25" s="88"/>
      <c r="KFT25" s="90"/>
      <c r="KFU25" s="93"/>
      <c r="KFV25" s="88"/>
      <c r="KFW25" s="88"/>
      <c r="KFX25" s="91"/>
      <c r="KFY25" s="93"/>
      <c r="KFZ25" s="93"/>
      <c r="KGA25" s="88"/>
      <c r="KGB25" s="88"/>
      <c r="KGC25" s="90"/>
      <c r="KGD25" s="90"/>
      <c r="KGE25" s="88"/>
      <c r="KGF25" s="88"/>
      <c r="KGG25" s="90"/>
      <c r="KGH25" s="93"/>
      <c r="KGI25" s="88"/>
      <c r="KGJ25" s="88"/>
      <c r="KGK25" s="91"/>
      <c r="KGL25" s="93"/>
      <c r="KGM25" s="93"/>
      <c r="KGN25" s="88"/>
      <c r="KGO25" s="88"/>
      <c r="KGP25" s="90"/>
      <c r="KGQ25" s="90"/>
      <c r="KGR25" s="88"/>
      <c r="KGS25" s="88"/>
      <c r="KGT25" s="90"/>
      <c r="KGU25" s="93"/>
      <c r="KGV25" s="88"/>
      <c r="KGW25" s="88"/>
      <c r="KGX25" s="91"/>
      <c r="KGY25" s="93"/>
      <c r="KGZ25" s="93"/>
      <c r="KHA25" s="88"/>
      <c r="KHB25" s="88"/>
      <c r="KHC25" s="90"/>
      <c r="KHD25" s="90"/>
      <c r="KHE25" s="88"/>
      <c r="KHF25" s="88"/>
      <c r="KHG25" s="90"/>
      <c r="KHH25" s="93"/>
      <c r="KHI25" s="88"/>
      <c r="KHJ25" s="88"/>
      <c r="KHK25" s="91"/>
      <c r="KHL25" s="93"/>
      <c r="KHM25" s="93"/>
      <c r="KHN25" s="88"/>
      <c r="KHO25" s="88"/>
      <c r="KHP25" s="90"/>
      <c r="KHQ25" s="90"/>
      <c r="KHR25" s="88"/>
      <c r="KHS25" s="88"/>
      <c r="KHT25" s="90"/>
      <c r="KHU25" s="93"/>
      <c r="KHV25" s="88"/>
      <c r="KHW25" s="88"/>
      <c r="KHX25" s="91"/>
      <c r="KHY25" s="93"/>
      <c r="KHZ25" s="93"/>
      <c r="KIA25" s="88"/>
      <c r="KIB25" s="88"/>
      <c r="KIC25" s="90"/>
      <c r="KID25" s="90"/>
      <c r="KIE25" s="88"/>
      <c r="KIF25" s="88"/>
      <c r="KIG25" s="90"/>
      <c r="KIH25" s="93"/>
      <c r="KII25" s="88"/>
      <c r="KIJ25" s="88"/>
      <c r="KIK25" s="91"/>
      <c r="KIL25" s="93"/>
      <c r="KIM25" s="93"/>
      <c r="KIN25" s="88"/>
      <c r="KIO25" s="88"/>
      <c r="KIP25" s="90"/>
      <c r="KIQ25" s="90"/>
      <c r="KIR25" s="88"/>
      <c r="KIS25" s="88"/>
      <c r="KIT25" s="90"/>
      <c r="KIU25" s="93"/>
      <c r="KIV25" s="88"/>
      <c r="KIW25" s="88"/>
      <c r="KIX25" s="91"/>
      <c r="KIY25" s="93"/>
      <c r="KIZ25" s="93"/>
      <c r="KJA25" s="88"/>
      <c r="KJB25" s="88"/>
      <c r="KJC25" s="90"/>
      <c r="KJD25" s="90"/>
      <c r="KJE25" s="88"/>
      <c r="KJF25" s="88"/>
      <c r="KJG25" s="90"/>
      <c r="KJH25" s="93"/>
      <c r="KJI25" s="88"/>
      <c r="KJJ25" s="88"/>
      <c r="KJK25" s="91"/>
      <c r="KJL25" s="93"/>
      <c r="KJM25" s="93"/>
      <c r="KJN25" s="88"/>
      <c r="KJO25" s="88"/>
      <c r="KJP25" s="90"/>
      <c r="KJQ25" s="90"/>
      <c r="KJR25" s="88"/>
      <c r="KJS25" s="88"/>
      <c r="KJT25" s="90"/>
      <c r="KJU25" s="93"/>
      <c r="KJV25" s="88"/>
      <c r="KJW25" s="88"/>
      <c r="KJX25" s="91"/>
      <c r="KJY25" s="93"/>
      <c r="KJZ25" s="93"/>
      <c r="KKA25" s="88"/>
      <c r="KKB25" s="88"/>
      <c r="KKC25" s="90"/>
      <c r="KKD25" s="90"/>
      <c r="KKE25" s="88"/>
      <c r="KKF25" s="88"/>
      <c r="KKG25" s="90"/>
      <c r="KKH25" s="93"/>
      <c r="KKI25" s="88"/>
      <c r="KKJ25" s="88"/>
      <c r="KKK25" s="91"/>
      <c r="KKL25" s="93"/>
      <c r="KKM25" s="93"/>
      <c r="KKN25" s="88"/>
      <c r="KKO25" s="88"/>
      <c r="KKP25" s="90"/>
      <c r="KKQ25" s="90"/>
      <c r="KKR25" s="88"/>
      <c r="KKS25" s="88"/>
      <c r="KKT25" s="90"/>
      <c r="KKU25" s="93"/>
      <c r="KKV25" s="88"/>
      <c r="KKW25" s="88"/>
      <c r="KKX25" s="91"/>
      <c r="KKY25" s="93"/>
      <c r="KKZ25" s="93"/>
      <c r="KLA25" s="88"/>
      <c r="KLB25" s="88"/>
      <c r="KLC25" s="90"/>
      <c r="KLD25" s="90"/>
      <c r="KLE25" s="88"/>
      <c r="KLF25" s="88"/>
      <c r="KLG25" s="90"/>
      <c r="KLH25" s="93"/>
      <c r="KLI25" s="88"/>
      <c r="KLJ25" s="88"/>
      <c r="KLK25" s="91"/>
      <c r="KLL25" s="93"/>
      <c r="KLM25" s="93"/>
      <c r="KLN25" s="88"/>
      <c r="KLO25" s="88"/>
      <c r="KLP25" s="90"/>
      <c r="KLQ25" s="90"/>
      <c r="KLR25" s="88"/>
      <c r="KLS25" s="88"/>
      <c r="KLT25" s="90"/>
      <c r="KLU25" s="93"/>
      <c r="KLV25" s="88"/>
      <c r="KLW25" s="88"/>
      <c r="KLX25" s="91"/>
      <c r="KLY25" s="93"/>
      <c r="KLZ25" s="93"/>
      <c r="KMA25" s="88"/>
      <c r="KMB25" s="88"/>
      <c r="KMC25" s="90"/>
      <c r="KMD25" s="90"/>
      <c r="KME25" s="88"/>
      <c r="KMF25" s="88"/>
      <c r="KMG25" s="90"/>
      <c r="KMH25" s="93"/>
      <c r="KMI25" s="88"/>
      <c r="KMJ25" s="88"/>
      <c r="KMK25" s="91"/>
      <c r="KML25" s="93"/>
      <c r="KMM25" s="93"/>
      <c r="KMN25" s="88"/>
      <c r="KMO25" s="88"/>
      <c r="KMP25" s="90"/>
      <c r="KMQ25" s="90"/>
      <c r="KMR25" s="88"/>
      <c r="KMS25" s="88"/>
      <c r="KMT25" s="90"/>
      <c r="KMU25" s="93"/>
      <c r="KMV25" s="88"/>
      <c r="KMW25" s="88"/>
      <c r="KMX25" s="91"/>
      <c r="KMY25" s="93"/>
      <c r="KMZ25" s="93"/>
      <c r="KNA25" s="88"/>
      <c r="KNB25" s="88"/>
      <c r="KNC25" s="90"/>
      <c r="KND25" s="90"/>
      <c r="KNE25" s="88"/>
      <c r="KNF25" s="88"/>
      <c r="KNG25" s="90"/>
      <c r="KNH25" s="93"/>
      <c r="KNI25" s="88"/>
      <c r="KNJ25" s="88"/>
      <c r="KNK25" s="91"/>
      <c r="KNL25" s="93"/>
      <c r="KNM25" s="93"/>
      <c r="KNN25" s="88"/>
      <c r="KNO25" s="88"/>
      <c r="KNP25" s="90"/>
      <c r="KNQ25" s="90"/>
      <c r="KNR25" s="88"/>
      <c r="KNS25" s="88"/>
      <c r="KNT25" s="90"/>
      <c r="KNU25" s="93"/>
      <c r="KNV25" s="88"/>
      <c r="KNW25" s="88"/>
      <c r="KNX25" s="91"/>
      <c r="KNY25" s="93"/>
      <c r="KNZ25" s="93"/>
      <c r="KOA25" s="88"/>
      <c r="KOB25" s="88"/>
      <c r="KOC25" s="90"/>
      <c r="KOD25" s="90"/>
      <c r="KOE25" s="88"/>
      <c r="KOF25" s="88"/>
      <c r="KOG25" s="90"/>
      <c r="KOH25" s="93"/>
      <c r="KOI25" s="88"/>
      <c r="KOJ25" s="88"/>
      <c r="KOK25" s="91"/>
      <c r="KOL25" s="93"/>
      <c r="KOM25" s="93"/>
      <c r="KON25" s="88"/>
      <c r="KOO25" s="88"/>
      <c r="KOP25" s="90"/>
      <c r="KOQ25" s="90"/>
      <c r="KOR25" s="88"/>
      <c r="KOS25" s="88"/>
      <c r="KOT25" s="90"/>
      <c r="KOU25" s="93"/>
      <c r="KOV25" s="88"/>
      <c r="KOW25" s="88"/>
      <c r="KOX25" s="91"/>
      <c r="KOY25" s="93"/>
      <c r="KOZ25" s="93"/>
      <c r="KPA25" s="88"/>
      <c r="KPB25" s="88"/>
      <c r="KPC25" s="90"/>
      <c r="KPD25" s="90"/>
      <c r="KPE25" s="88"/>
      <c r="KPF25" s="88"/>
      <c r="KPG25" s="90"/>
      <c r="KPH25" s="93"/>
      <c r="KPI25" s="88"/>
      <c r="KPJ25" s="88"/>
      <c r="KPK25" s="91"/>
      <c r="KPL25" s="93"/>
      <c r="KPM25" s="93"/>
      <c r="KPN25" s="88"/>
      <c r="KPO25" s="88"/>
      <c r="KPP25" s="90"/>
      <c r="KPQ25" s="90"/>
      <c r="KPR25" s="88"/>
      <c r="KPS25" s="88"/>
      <c r="KPT25" s="90"/>
      <c r="KPU25" s="93"/>
      <c r="KPV25" s="88"/>
      <c r="KPW25" s="88"/>
      <c r="KPX25" s="91"/>
      <c r="KPY25" s="93"/>
      <c r="KPZ25" s="93"/>
      <c r="KQA25" s="88"/>
      <c r="KQB25" s="88"/>
      <c r="KQC25" s="90"/>
      <c r="KQD25" s="90"/>
      <c r="KQE25" s="88"/>
      <c r="KQF25" s="88"/>
      <c r="KQG25" s="90"/>
      <c r="KQH25" s="93"/>
      <c r="KQI25" s="88"/>
      <c r="KQJ25" s="88"/>
      <c r="KQK25" s="91"/>
      <c r="KQL25" s="93"/>
      <c r="KQM25" s="93"/>
      <c r="KQN25" s="88"/>
      <c r="KQO25" s="88"/>
      <c r="KQP25" s="90"/>
      <c r="KQQ25" s="90"/>
      <c r="KQR25" s="88"/>
      <c r="KQS25" s="88"/>
      <c r="KQT25" s="90"/>
      <c r="KQU25" s="93"/>
      <c r="KQV25" s="88"/>
      <c r="KQW25" s="88"/>
      <c r="KQX25" s="91"/>
      <c r="KQY25" s="93"/>
      <c r="KQZ25" s="93"/>
      <c r="KRA25" s="88"/>
      <c r="KRB25" s="88"/>
      <c r="KRC25" s="90"/>
      <c r="KRD25" s="90"/>
      <c r="KRE25" s="88"/>
      <c r="KRF25" s="88"/>
      <c r="KRG25" s="90"/>
      <c r="KRH25" s="93"/>
      <c r="KRI25" s="88"/>
      <c r="KRJ25" s="88"/>
      <c r="KRK25" s="91"/>
      <c r="KRL25" s="93"/>
      <c r="KRM25" s="93"/>
      <c r="KRN25" s="88"/>
      <c r="KRO25" s="88"/>
      <c r="KRP25" s="90"/>
      <c r="KRQ25" s="90"/>
      <c r="KRR25" s="88"/>
      <c r="KRS25" s="88"/>
      <c r="KRT25" s="90"/>
      <c r="KRU25" s="93"/>
      <c r="KRV25" s="88"/>
      <c r="KRW25" s="88"/>
      <c r="KRX25" s="91"/>
      <c r="KRY25" s="93"/>
      <c r="KRZ25" s="93"/>
      <c r="KSA25" s="88"/>
      <c r="KSB25" s="88"/>
      <c r="KSC25" s="90"/>
      <c r="KSD25" s="90"/>
      <c r="KSE25" s="88"/>
      <c r="KSF25" s="88"/>
      <c r="KSG25" s="90"/>
      <c r="KSH25" s="93"/>
      <c r="KSI25" s="88"/>
      <c r="KSJ25" s="88"/>
      <c r="KSK25" s="91"/>
      <c r="KSL25" s="93"/>
      <c r="KSM25" s="93"/>
      <c r="KSN25" s="88"/>
      <c r="KSO25" s="88"/>
      <c r="KSP25" s="90"/>
      <c r="KSQ25" s="90"/>
      <c r="KSR25" s="88"/>
      <c r="KSS25" s="88"/>
      <c r="KST25" s="90"/>
      <c r="KSU25" s="93"/>
      <c r="KSV25" s="88"/>
      <c r="KSW25" s="88"/>
      <c r="KSX25" s="91"/>
      <c r="KSY25" s="93"/>
      <c r="KSZ25" s="93"/>
      <c r="KTA25" s="88"/>
      <c r="KTB25" s="88"/>
      <c r="KTC25" s="90"/>
      <c r="KTD25" s="90"/>
      <c r="KTE25" s="88"/>
      <c r="KTF25" s="88"/>
      <c r="KTG25" s="90"/>
      <c r="KTH25" s="93"/>
      <c r="KTI25" s="88"/>
      <c r="KTJ25" s="88"/>
      <c r="KTK25" s="91"/>
      <c r="KTL25" s="93"/>
      <c r="KTM25" s="93"/>
      <c r="KTN25" s="88"/>
      <c r="KTO25" s="88"/>
      <c r="KTP25" s="90"/>
      <c r="KTQ25" s="90"/>
      <c r="KTR25" s="88"/>
      <c r="KTS25" s="88"/>
      <c r="KTT25" s="90"/>
      <c r="KTU25" s="93"/>
      <c r="KTV25" s="88"/>
      <c r="KTW25" s="88"/>
      <c r="KTX25" s="91"/>
      <c r="KTY25" s="93"/>
      <c r="KTZ25" s="93"/>
      <c r="KUA25" s="88"/>
      <c r="KUB25" s="88"/>
      <c r="KUC25" s="90"/>
      <c r="KUD25" s="90"/>
      <c r="KUE25" s="88"/>
      <c r="KUF25" s="88"/>
      <c r="KUG25" s="90"/>
      <c r="KUH25" s="93"/>
      <c r="KUI25" s="88"/>
      <c r="KUJ25" s="88"/>
      <c r="KUK25" s="91"/>
      <c r="KUL25" s="93"/>
      <c r="KUM25" s="93"/>
      <c r="KUN25" s="88"/>
      <c r="KUO25" s="88"/>
      <c r="KUP25" s="90"/>
      <c r="KUQ25" s="90"/>
      <c r="KUR25" s="88"/>
      <c r="KUS25" s="88"/>
      <c r="KUT25" s="90"/>
      <c r="KUU25" s="93"/>
      <c r="KUV25" s="88"/>
      <c r="KUW25" s="88"/>
      <c r="KUX25" s="91"/>
      <c r="KUY25" s="93"/>
      <c r="KUZ25" s="93"/>
      <c r="KVA25" s="88"/>
      <c r="KVB25" s="88"/>
      <c r="KVC25" s="90"/>
      <c r="KVD25" s="90"/>
      <c r="KVE25" s="88"/>
      <c r="KVF25" s="88"/>
      <c r="KVG25" s="90"/>
      <c r="KVH25" s="93"/>
      <c r="KVI25" s="88"/>
      <c r="KVJ25" s="88"/>
      <c r="KVK25" s="91"/>
      <c r="KVL25" s="93"/>
      <c r="KVM25" s="93"/>
      <c r="KVN25" s="88"/>
      <c r="KVO25" s="88"/>
      <c r="KVP25" s="90"/>
      <c r="KVQ25" s="90"/>
      <c r="KVR25" s="88"/>
      <c r="KVS25" s="88"/>
      <c r="KVT25" s="90"/>
      <c r="KVU25" s="93"/>
      <c r="KVV25" s="88"/>
      <c r="KVW25" s="88"/>
      <c r="KVX25" s="91"/>
      <c r="KVY25" s="93"/>
      <c r="KVZ25" s="93"/>
      <c r="KWA25" s="88"/>
      <c r="KWB25" s="88"/>
      <c r="KWC25" s="90"/>
      <c r="KWD25" s="90"/>
      <c r="KWE25" s="88"/>
      <c r="KWF25" s="88"/>
      <c r="KWG25" s="90"/>
      <c r="KWH25" s="93"/>
      <c r="KWI25" s="88"/>
      <c r="KWJ25" s="88"/>
      <c r="KWK25" s="91"/>
      <c r="KWL25" s="93"/>
      <c r="KWM25" s="93"/>
      <c r="KWN25" s="88"/>
      <c r="KWO25" s="88"/>
      <c r="KWP25" s="90"/>
      <c r="KWQ25" s="90"/>
      <c r="KWR25" s="88"/>
      <c r="KWS25" s="88"/>
      <c r="KWT25" s="90"/>
      <c r="KWU25" s="93"/>
      <c r="KWV25" s="88"/>
      <c r="KWW25" s="88"/>
      <c r="KWX25" s="91"/>
      <c r="KWY25" s="93"/>
      <c r="KWZ25" s="93"/>
      <c r="KXA25" s="88"/>
      <c r="KXB25" s="88"/>
      <c r="KXC25" s="90"/>
      <c r="KXD25" s="90"/>
      <c r="KXE25" s="88"/>
      <c r="KXF25" s="88"/>
      <c r="KXG25" s="90"/>
      <c r="KXH25" s="93"/>
      <c r="KXI25" s="88"/>
      <c r="KXJ25" s="88"/>
      <c r="KXK25" s="91"/>
      <c r="KXL25" s="93"/>
      <c r="KXM25" s="93"/>
      <c r="KXN25" s="88"/>
      <c r="KXO25" s="88"/>
      <c r="KXP25" s="90"/>
      <c r="KXQ25" s="90"/>
      <c r="KXR25" s="88"/>
      <c r="KXS25" s="88"/>
      <c r="KXT25" s="90"/>
      <c r="KXU25" s="93"/>
      <c r="KXV25" s="88"/>
      <c r="KXW25" s="88"/>
      <c r="KXX25" s="91"/>
      <c r="KXY25" s="93"/>
      <c r="KXZ25" s="93"/>
      <c r="KYA25" s="88"/>
      <c r="KYB25" s="88"/>
      <c r="KYC25" s="90"/>
      <c r="KYD25" s="90"/>
      <c r="KYE25" s="88"/>
      <c r="KYF25" s="88"/>
      <c r="KYG25" s="90"/>
      <c r="KYH25" s="93"/>
      <c r="KYI25" s="88"/>
      <c r="KYJ25" s="88"/>
      <c r="KYK25" s="91"/>
      <c r="KYL25" s="93"/>
      <c r="KYM25" s="93"/>
      <c r="KYN25" s="88"/>
      <c r="KYO25" s="88"/>
      <c r="KYP25" s="90"/>
      <c r="KYQ25" s="90"/>
      <c r="KYR25" s="88"/>
      <c r="KYS25" s="88"/>
      <c r="KYT25" s="90"/>
      <c r="KYU25" s="93"/>
      <c r="KYV25" s="88"/>
      <c r="KYW25" s="88"/>
      <c r="KYX25" s="91"/>
      <c r="KYY25" s="93"/>
      <c r="KYZ25" s="93"/>
      <c r="KZA25" s="88"/>
      <c r="KZB25" s="88"/>
      <c r="KZC25" s="90"/>
      <c r="KZD25" s="90"/>
      <c r="KZE25" s="88"/>
      <c r="KZF25" s="88"/>
      <c r="KZG25" s="90"/>
      <c r="KZH25" s="93"/>
      <c r="KZI25" s="88"/>
      <c r="KZJ25" s="88"/>
      <c r="KZK25" s="91"/>
      <c r="KZL25" s="93"/>
      <c r="KZM25" s="93"/>
      <c r="KZN25" s="88"/>
      <c r="KZO25" s="88"/>
      <c r="KZP25" s="90"/>
      <c r="KZQ25" s="90"/>
      <c r="KZR25" s="88"/>
      <c r="KZS25" s="88"/>
      <c r="KZT25" s="90"/>
      <c r="KZU25" s="93"/>
      <c r="KZV25" s="88"/>
      <c r="KZW25" s="88"/>
      <c r="KZX25" s="91"/>
      <c r="KZY25" s="93"/>
      <c r="KZZ25" s="93"/>
      <c r="LAA25" s="88"/>
      <c r="LAB25" s="88"/>
      <c r="LAC25" s="90"/>
      <c r="LAD25" s="90"/>
      <c r="LAE25" s="88"/>
      <c r="LAF25" s="88"/>
      <c r="LAG25" s="90"/>
      <c r="LAH25" s="93"/>
      <c r="LAI25" s="88"/>
      <c r="LAJ25" s="88"/>
      <c r="LAK25" s="91"/>
      <c r="LAL25" s="93"/>
      <c r="LAM25" s="93"/>
      <c r="LAN25" s="88"/>
      <c r="LAO25" s="88"/>
      <c r="LAP25" s="90"/>
      <c r="LAQ25" s="90"/>
      <c r="LAR25" s="88"/>
      <c r="LAS25" s="88"/>
      <c r="LAT25" s="90"/>
      <c r="LAU25" s="93"/>
      <c r="LAV25" s="88"/>
      <c r="LAW25" s="88"/>
      <c r="LAX25" s="91"/>
      <c r="LAY25" s="93"/>
      <c r="LAZ25" s="93"/>
      <c r="LBA25" s="88"/>
      <c r="LBB25" s="88"/>
      <c r="LBC25" s="90"/>
      <c r="LBD25" s="90"/>
      <c r="LBE25" s="88"/>
      <c r="LBF25" s="88"/>
      <c r="LBG25" s="90"/>
      <c r="LBH25" s="93"/>
      <c r="LBI25" s="88"/>
      <c r="LBJ25" s="88"/>
      <c r="LBK25" s="91"/>
      <c r="LBL25" s="93"/>
      <c r="LBM25" s="93"/>
      <c r="LBN25" s="88"/>
      <c r="LBO25" s="88"/>
      <c r="LBP25" s="90"/>
      <c r="LBQ25" s="90"/>
      <c r="LBR25" s="88"/>
      <c r="LBS25" s="88"/>
      <c r="LBT25" s="90"/>
      <c r="LBU25" s="93"/>
      <c r="LBV25" s="88"/>
      <c r="LBW25" s="88"/>
      <c r="LBX25" s="91"/>
      <c r="LBY25" s="93"/>
      <c r="LBZ25" s="93"/>
      <c r="LCA25" s="88"/>
      <c r="LCB25" s="88"/>
      <c r="LCC25" s="90"/>
      <c r="LCD25" s="90"/>
      <c r="LCE25" s="88"/>
      <c r="LCF25" s="88"/>
      <c r="LCG25" s="90"/>
      <c r="LCH25" s="93"/>
      <c r="LCI25" s="88"/>
      <c r="LCJ25" s="88"/>
      <c r="LCK25" s="91"/>
      <c r="LCL25" s="93"/>
      <c r="LCM25" s="93"/>
      <c r="LCN25" s="88"/>
      <c r="LCO25" s="88"/>
      <c r="LCP25" s="90"/>
      <c r="LCQ25" s="90"/>
      <c r="LCR25" s="88"/>
      <c r="LCS25" s="88"/>
      <c r="LCT25" s="90"/>
      <c r="LCU25" s="93"/>
      <c r="LCV25" s="88"/>
      <c r="LCW25" s="88"/>
      <c r="LCX25" s="91"/>
      <c r="LCY25" s="93"/>
      <c r="LCZ25" s="93"/>
      <c r="LDA25" s="88"/>
      <c r="LDB25" s="88"/>
      <c r="LDC25" s="90"/>
      <c r="LDD25" s="90"/>
      <c r="LDE25" s="88"/>
      <c r="LDF25" s="88"/>
      <c r="LDG25" s="90"/>
      <c r="LDH25" s="93"/>
      <c r="LDI25" s="88"/>
      <c r="LDJ25" s="88"/>
      <c r="LDK25" s="91"/>
      <c r="LDL25" s="93"/>
      <c r="LDM25" s="93"/>
      <c r="LDN25" s="88"/>
      <c r="LDO25" s="88"/>
      <c r="LDP25" s="90"/>
      <c r="LDQ25" s="90"/>
      <c r="LDR25" s="88"/>
      <c r="LDS25" s="88"/>
      <c r="LDT25" s="90"/>
      <c r="LDU25" s="93"/>
      <c r="LDV25" s="88"/>
      <c r="LDW25" s="88"/>
      <c r="LDX25" s="91"/>
      <c r="LDY25" s="93"/>
      <c r="LDZ25" s="93"/>
      <c r="LEA25" s="88"/>
      <c r="LEB25" s="88"/>
      <c r="LEC25" s="90"/>
      <c r="LED25" s="90"/>
      <c r="LEE25" s="88"/>
      <c r="LEF25" s="88"/>
      <c r="LEG25" s="90"/>
      <c r="LEH25" s="93"/>
      <c r="LEI25" s="88"/>
      <c r="LEJ25" s="88"/>
      <c r="LEK25" s="91"/>
      <c r="LEL25" s="93"/>
      <c r="LEM25" s="93"/>
      <c r="LEN25" s="88"/>
      <c r="LEO25" s="88"/>
      <c r="LEP25" s="90"/>
      <c r="LEQ25" s="90"/>
      <c r="LER25" s="88"/>
      <c r="LES25" s="88"/>
      <c r="LET25" s="90"/>
      <c r="LEU25" s="93"/>
      <c r="LEV25" s="88"/>
      <c r="LEW25" s="88"/>
      <c r="LEX25" s="91"/>
      <c r="LEY25" s="93"/>
      <c r="LEZ25" s="93"/>
      <c r="LFA25" s="88"/>
      <c r="LFB25" s="88"/>
      <c r="LFC25" s="90"/>
      <c r="LFD25" s="90"/>
      <c r="LFE25" s="88"/>
      <c r="LFF25" s="88"/>
      <c r="LFG25" s="90"/>
      <c r="LFH25" s="93"/>
      <c r="LFI25" s="88"/>
      <c r="LFJ25" s="88"/>
      <c r="LFK25" s="91"/>
      <c r="LFL25" s="93"/>
      <c r="LFM25" s="93"/>
      <c r="LFN25" s="88"/>
      <c r="LFO25" s="88"/>
      <c r="LFP25" s="90"/>
      <c r="LFQ25" s="90"/>
      <c r="LFR25" s="88"/>
      <c r="LFS25" s="88"/>
      <c r="LFT25" s="90"/>
      <c r="LFU25" s="93"/>
      <c r="LFV25" s="88"/>
      <c r="LFW25" s="88"/>
      <c r="LFX25" s="91"/>
      <c r="LFY25" s="93"/>
      <c r="LFZ25" s="93"/>
      <c r="LGA25" s="88"/>
      <c r="LGB25" s="88"/>
      <c r="LGC25" s="90"/>
      <c r="LGD25" s="90"/>
      <c r="LGE25" s="88"/>
      <c r="LGF25" s="88"/>
      <c r="LGG25" s="90"/>
      <c r="LGH25" s="93"/>
      <c r="LGI25" s="88"/>
      <c r="LGJ25" s="88"/>
      <c r="LGK25" s="91"/>
      <c r="LGL25" s="93"/>
      <c r="LGM25" s="93"/>
      <c r="LGN25" s="88"/>
      <c r="LGO25" s="88"/>
      <c r="LGP25" s="90"/>
      <c r="LGQ25" s="90"/>
      <c r="LGR25" s="88"/>
      <c r="LGS25" s="88"/>
      <c r="LGT25" s="90"/>
      <c r="LGU25" s="93"/>
      <c r="LGV25" s="88"/>
      <c r="LGW25" s="88"/>
      <c r="LGX25" s="91"/>
      <c r="LGY25" s="93"/>
      <c r="LGZ25" s="93"/>
      <c r="LHA25" s="88"/>
      <c r="LHB25" s="88"/>
      <c r="LHC25" s="90"/>
      <c r="LHD25" s="90"/>
      <c r="LHE25" s="88"/>
      <c r="LHF25" s="88"/>
      <c r="LHG25" s="90"/>
      <c r="LHH25" s="93"/>
      <c r="LHI25" s="88"/>
      <c r="LHJ25" s="88"/>
      <c r="LHK25" s="91"/>
      <c r="LHL25" s="93"/>
      <c r="LHM25" s="93"/>
      <c r="LHN25" s="88"/>
      <c r="LHO25" s="88"/>
      <c r="LHP25" s="90"/>
      <c r="LHQ25" s="90"/>
      <c r="LHR25" s="88"/>
      <c r="LHS25" s="88"/>
      <c r="LHT25" s="90"/>
      <c r="LHU25" s="93"/>
      <c r="LHV25" s="88"/>
      <c r="LHW25" s="88"/>
      <c r="LHX25" s="91"/>
      <c r="LHY25" s="93"/>
      <c r="LHZ25" s="93"/>
      <c r="LIA25" s="88"/>
      <c r="LIB25" s="88"/>
      <c r="LIC25" s="90"/>
      <c r="LID25" s="90"/>
      <c r="LIE25" s="88"/>
      <c r="LIF25" s="88"/>
      <c r="LIG25" s="90"/>
      <c r="LIH25" s="93"/>
      <c r="LII25" s="88"/>
      <c r="LIJ25" s="88"/>
      <c r="LIK25" s="91"/>
      <c r="LIL25" s="93"/>
      <c r="LIM25" s="93"/>
      <c r="LIN25" s="88"/>
      <c r="LIO25" s="88"/>
      <c r="LIP25" s="90"/>
      <c r="LIQ25" s="90"/>
      <c r="LIR25" s="88"/>
      <c r="LIS25" s="88"/>
      <c r="LIT25" s="90"/>
      <c r="LIU25" s="93"/>
      <c r="LIV25" s="88"/>
      <c r="LIW25" s="88"/>
      <c r="LIX25" s="91"/>
      <c r="LIY25" s="93"/>
      <c r="LIZ25" s="93"/>
      <c r="LJA25" s="88"/>
      <c r="LJB25" s="88"/>
      <c r="LJC25" s="90"/>
      <c r="LJD25" s="90"/>
      <c r="LJE25" s="88"/>
      <c r="LJF25" s="88"/>
      <c r="LJG25" s="90"/>
      <c r="LJH25" s="93"/>
      <c r="LJI25" s="88"/>
      <c r="LJJ25" s="88"/>
      <c r="LJK25" s="91"/>
      <c r="LJL25" s="93"/>
      <c r="LJM25" s="93"/>
      <c r="LJN25" s="88"/>
      <c r="LJO25" s="88"/>
      <c r="LJP25" s="90"/>
      <c r="LJQ25" s="90"/>
      <c r="LJR25" s="88"/>
      <c r="LJS25" s="88"/>
      <c r="LJT25" s="90"/>
      <c r="LJU25" s="93"/>
      <c r="LJV25" s="88"/>
      <c r="LJW25" s="88"/>
      <c r="LJX25" s="91"/>
      <c r="LJY25" s="93"/>
      <c r="LJZ25" s="93"/>
      <c r="LKA25" s="88"/>
      <c r="LKB25" s="88"/>
      <c r="LKC25" s="90"/>
      <c r="LKD25" s="90"/>
      <c r="LKE25" s="88"/>
      <c r="LKF25" s="88"/>
      <c r="LKG25" s="90"/>
      <c r="LKH25" s="93"/>
      <c r="LKI25" s="88"/>
      <c r="LKJ25" s="88"/>
      <c r="LKK25" s="91"/>
      <c r="LKL25" s="93"/>
      <c r="LKM25" s="93"/>
      <c r="LKN25" s="88"/>
      <c r="LKO25" s="88"/>
      <c r="LKP25" s="90"/>
      <c r="LKQ25" s="90"/>
      <c r="LKR25" s="88"/>
      <c r="LKS25" s="88"/>
      <c r="LKT25" s="90"/>
      <c r="LKU25" s="93"/>
      <c r="LKV25" s="88"/>
      <c r="LKW25" s="88"/>
      <c r="LKX25" s="91"/>
      <c r="LKY25" s="93"/>
      <c r="LKZ25" s="93"/>
      <c r="LLA25" s="88"/>
      <c r="LLB25" s="88"/>
      <c r="LLC25" s="90"/>
      <c r="LLD25" s="90"/>
      <c r="LLE25" s="88"/>
      <c r="LLF25" s="88"/>
      <c r="LLG25" s="90"/>
      <c r="LLH25" s="93"/>
      <c r="LLI25" s="88"/>
      <c r="LLJ25" s="88"/>
      <c r="LLK25" s="91"/>
      <c r="LLL25" s="93"/>
      <c r="LLM25" s="93"/>
      <c r="LLN25" s="88"/>
      <c r="LLO25" s="88"/>
      <c r="LLP25" s="90"/>
      <c r="LLQ25" s="90"/>
      <c r="LLR25" s="88"/>
      <c r="LLS25" s="88"/>
      <c r="LLT25" s="90"/>
      <c r="LLU25" s="93"/>
      <c r="LLV25" s="88"/>
      <c r="LLW25" s="88"/>
      <c r="LLX25" s="91"/>
      <c r="LLY25" s="93"/>
      <c r="LLZ25" s="93"/>
      <c r="LMA25" s="88"/>
      <c r="LMB25" s="88"/>
      <c r="LMC25" s="90"/>
      <c r="LMD25" s="90"/>
      <c r="LME25" s="88"/>
      <c r="LMF25" s="88"/>
      <c r="LMG25" s="90"/>
      <c r="LMH25" s="93"/>
      <c r="LMI25" s="88"/>
      <c r="LMJ25" s="88"/>
      <c r="LMK25" s="91"/>
      <c r="LML25" s="93"/>
      <c r="LMM25" s="93"/>
      <c r="LMN25" s="88"/>
      <c r="LMO25" s="88"/>
      <c r="LMP25" s="90"/>
      <c r="LMQ25" s="90"/>
      <c r="LMR25" s="88"/>
      <c r="LMS25" s="88"/>
      <c r="LMT25" s="90"/>
      <c r="LMU25" s="93"/>
      <c r="LMV25" s="88"/>
      <c r="LMW25" s="88"/>
      <c r="LMX25" s="91"/>
      <c r="LMY25" s="93"/>
      <c r="LMZ25" s="93"/>
      <c r="LNA25" s="88"/>
      <c r="LNB25" s="88"/>
      <c r="LNC25" s="90"/>
      <c r="LND25" s="90"/>
      <c r="LNE25" s="88"/>
      <c r="LNF25" s="88"/>
      <c r="LNG25" s="90"/>
      <c r="LNH25" s="93"/>
      <c r="LNI25" s="88"/>
      <c r="LNJ25" s="88"/>
      <c r="LNK25" s="91"/>
      <c r="LNL25" s="93"/>
      <c r="LNM25" s="93"/>
      <c r="LNN25" s="88"/>
      <c r="LNO25" s="88"/>
      <c r="LNP25" s="90"/>
      <c r="LNQ25" s="90"/>
      <c r="LNR25" s="88"/>
      <c r="LNS25" s="88"/>
      <c r="LNT25" s="90"/>
      <c r="LNU25" s="93"/>
      <c r="LNV25" s="88"/>
      <c r="LNW25" s="88"/>
      <c r="LNX25" s="91"/>
      <c r="LNY25" s="93"/>
      <c r="LNZ25" s="93"/>
      <c r="LOA25" s="88"/>
      <c r="LOB25" s="88"/>
      <c r="LOC25" s="90"/>
      <c r="LOD25" s="90"/>
      <c r="LOE25" s="88"/>
      <c r="LOF25" s="88"/>
      <c r="LOG25" s="90"/>
      <c r="LOH25" s="93"/>
      <c r="LOI25" s="88"/>
      <c r="LOJ25" s="88"/>
      <c r="LOK25" s="91"/>
      <c r="LOL25" s="93"/>
      <c r="LOM25" s="93"/>
      <c r="LON25" s="88"/>
      <c r="LOO25" s="88"/>
      <c r="LOP25" s="90"/>
      <c r="LOQ25" s="90"/>
      <c r="LOR25" s="88"/>
      <c r="LOS25" s="88"/>
      <c r="LOT25" s="90"/>
      <c r="LOU25" s="93"/>
      <c r="LOV25" s="88"/>
      <c r="LOW25" s="88"/>
      <c r="LOX25" s="91"/>
      <c r="LOY25" s="93"/>
      <c r="LOZ25" s="93"/>
      <c r="LPA25" s="88"/>
      <c r="LPB25" s="88"/>
      <c r="LPC25" s="90"/>
      <c r="LPD25" s="90"/>
      <c r="LPE25" s="88"/>
      <c r="LPF25" s="88"/>
      <c r="LPG25" s="90"/>
      <c r="LPH25" s="93"/>
      <c r="LPI25" s="88"/>
      <c r="LPJ25" s="88"/>
      <c r="LPK25" s="91"/>
      <c r="LPL25" s="93"/>
      <c r="LPM25" s="93"/>
      <c r="LPN25" s="88"/>
      <c r="LPO25" s="88"/>
      <c r="LPP25" s="90"/>
      <c r="LPQ25" s="90"/>
      <c r="LPR25" s="88"/>
      <c r="LPS25" s="88"/>
      <c r="LPT25" s="90"/>
      <c r="LPU25" s="93"/>
      <c r="LPV25" s="88"/>
      <c r="LPW25" s="88"/>
      <c r="LPX25" s="91"/>
      <c r="LPY25" s="93"/>
      <c r="LPZ25" s="93"/>
      <c r="LQA25" s="88"/>
      <c r="LQB25" s="88"/>
      <c r="LQC25" s="90"/>
      <c r="LQD25" s="90"/>
      <c r="LQE25" s="88"/>
      <c r="LQF25" s="88"/>
      <c r="LQG25" s="90"/>
      <c r="LQH25" s="93"/>
      <c r="LQI25" s="88"/>
      <c r="LQJ25" s="88"/>
      <c r="LQK25" s="91"/>
      <c r="LQL25" s="93"/>
      <c r="LQM25" s="93"/>
      <c r="LQN25" s="88"/>
      <c r="LQO25" s="88"/>
      <c r="LQP25" s="90"/>
      <c r="LQQ25" s="90"/>
      <c r="LQR25" s="88"/>
      <c r="LQS25" s="88"/>
      <c r="LQT25" s="90"/>
      <c r="LQU25" s="93"/>
      <c r="LQV25" s="88"/>
      <c r="LQW25" s="88"/>
      <c r="LQX25" s="91"/>
      <c r="LQY25" s="93"/>
      <c r="LQZ25" s="93"/>
      <c r="LRA25" s="88"/>
      <c r="LRB25" s="88"/>
      <c r="LRC25" s="90"/>
      <c r="LRD25" s="90"/>
      <c r="LRE25" s="88"/>
      <c r="LRF25" s="88"/>
      <c r="LRG25" s="90"/>
      <c r="LRH25" s="93"/>
      <c r="LRI25" s="88"/>
      <c r="LRJ25" s="88"/>
      <c r="LRK25" s="91"/>
      <c r="LRL25" s="93"/>
      <c r="LRM25" s="93"/>
      <c r="LRN25" s="88"/>
      <c r="LRO25" s="88"/>
      <c r="LRP25" s="90"/>
      <c r="LRQ25" s="90"/>
      <c r="LRR25" s="88"/>
      <c r="LRS25" s="88"/>
      <c r="LRT25" s="90"/>
      <c r="LRU25" s="93"/>
      <c r="LRV25" s="88"/>
      <c r="LRW25" s="88"/>
      <c r="LRX25" s="91"/>
      <c r="LRY25" s="93"/>
      <c r="LRZ25" s="93"/>
      <c r="LSA25" s="88"/>
      <c r="LSB25" s="88"/>
      <c r="LSC25" s="90"/>
      <c r="LSD25" s="90"/>
      <c r="LSE25" s="88"/>
      <c r="LSF25" s="88"/>
      <c r="LSG25" s="90"/>
      <c r="LSH25" s="93"/>
      <c r="LSI25" s="88"/>
      <c r="LSJ25" s="88"/>
      <c r="LSK25" s="91"/>
      <c r="LSL25" s="93"/>
      <c r="LSM25" s="93"/>
      <c r="LSN25" s="88"/>
      <c r="LSO25" s="88"/>
      <c r="LSP25" s="90"/>
      <c r="LSQ25" s="90"/>
      <c r="LSR25" s="88"/>
      <c r="LSS25" s="88"/>
      <c r="LST25" s="90"/>
      <c r="LSU25" s="93"/>
      <c r="LSV25" s="88"/>
      <c r="LSW25" s="88"/>
      <c r="LSX25" s="91"/>
      <c r="LSY25" s="93"/>
      <c r="LSZ25" s="93"/>
      <c r="LTA25" s="88"/>
      <c r="LTB25" s="88"/>
      <c r="LTC25" s="90"/>
      <c r="LTD25" s="90"/>
      <c r="LTE25" s="88"/>
      <c r="LTF25" s="88"/>
      <c r="LTG25" s="90"/>
      <c r="LTH25" s="93"/>
      <c r="LTI25" s="88"/>
      <c r="LTJ25" s="88"/>
      <c r="LTK25" s="91"/>
      <c r="LTL25" s="93"/>
      <c r="LTM25" s="93"/>
      <c r="LTN25" s="88"/>
      <c r="LTO25" s="88"/>
      <c r="LTP25" s="90"/>
      <c r="LTQ25" s="90"/>
      <c r="LTR25" s="88"/>
      <c r="LTS25" s="88"/>
      <c r="LTT25" s="90"/>
      <c r="LTU25" s="93"/>
      <c r="LTV25" s="88"/>
      <c r="LTW25" s="88"/>
      <c r="LTX25" s="91"/>
      <c r="LTY25" s="93"/>
      <c r="LTZ25" s="93"/>
      <c r="LUA25" s="88"/>
      <c r="LUB25" s="88"/>
      <c r="LUC25" s="90"/>
      <c r="LUD25" s="90"/>
      <c r="LUE25" s="88"/>
      <c r="LUF25" s="88"/>
      <c r="LUG25" s="90"/>
      <c r="LUH25" s="93"/>
      <c r="LUI25" s="88"/>
      <c r="LUJ25" s="88"/>
      <c r="LUK25" s="91"/>
      <c r="LUL25" s="93"/>
      <c r="LUM25" s="93"/>
      <c r="LUN25" s="88"/>
      <c r="LUO25" s="88"/>
      <c r="LUP25" s="90"/>
      <c r="LUQ25" s="90"/>
      <c r="LUR25" s="88"/>
      <c r="LUS25" s="88"/>
      <c r="LUT25" s="90"/>
      <c r="LUU25" s="93"/>
      <c r="LUV25" s="88"/>
      <c r="LUW25" s="88"/>
      <c r="LUX25" s="91"/>
      <c r="LUY25" s="93"/>
      <c r="LUZ25" s="93"/>
      <c r="LVA25" s="88"/>
      <c r="LVB25" s="88"/>
      <c r="LVC25" s="90"/>
      <c r="LVD25" s="90"/>
      <c r="LVE25" s="88"/>
      <c r="LVF25" s="88"/>
      <c r="LVG25" s="90"/>
      <c r="LVH25" s="93"/>
      <c r="LVI25" s="88"/>
      <c r="LVJ25" s="88"/>
      <c r="LVK25" s="91"/>
      <c r="LVL25" s="93"/>
      <c r="LVM25" s="93"/>
      <c r="LVN25" s="88"/>
      <c r="LVO25" s="88"/>
      <c r="LVP25" s="90"/>
      <c r="LVQ25" s="90"/>
      <c r="LVR25" s="88"/>
      <c r="LVS25" s="88"/>
      <c r="LVT25" s="90"/>
      <c r="LVU25" s="93"/>
      <c r="LVV25" s="88"/>
      <c r="LVW25" s="88"/>
      <c r="LVX25" s="91"/>
      <c r="LVY25" s="93"/>
      <c r="LVZ25" s="93"/>
      <c r="LWA25" s="88"/>
      <c r="LWB25" s="88"/>
      <c r="LWC25" s="90"/>
      <c r="LWD25" s="90"/>
      <c r="LWE25" s="88"/>
      <c r="LWF25" s="88"/>
      <c r="LWG25" s="90"/>
      <c r="LWH25" s="93"/>
      <c r="LWI25" s="88"/>
      <c r="LWJ25" s="88"/>
      <c r="LWK25" s="91"/>
      <c r="LWL25" s="93"/>
      <c r="LWM25" s="93"/>
      <c r="LWN25" s="88"/>
      <c r="LWO25" s="88"/>
      <c r="LWP25" s="90"/>
      <c r="LWQ25" s="90"/>
      <c r="LWR25" s="88"/>
      <c r="LWS25" s="88"/>
      <c r="LWT25" s="90"/>
      <c r="LWU25" s="93"/>
      <c r="LWV25" s="88"/>
      <c r="LWW25" s="88"/>
      <c r="LWX25" s="91"/>
      <c r="LWY25" s="93"/>
      <c r="LWZ25" s="93"/>
      <c r="LXA25" s="88"/>
      <c r="LXB25" s="88"/>
      <c r="LXC25" s="90"/>
      <c r="LXD25" s="90"/>
      <c r="LXE25" s="88"/>
      <c r="LXF25" s="88"/>
      <c r="LXG25" s="90"/>
      <c r="LXH25" s="93"/>
      <c r="LXI25" s="88"/>
      <c r="LXJ25" s="88"/>
      <c r="LXK25" s="91"/>
      <c r="LXL25" s="93"/>
      <c r="LXM25" s="93"/>
      <c r="LXN25" s="88"/>
      <c r="LXO25" s="88"/>
      <c r="LXP25" s="90"/>
      <c r="LXQ25" s="90"/>
      <c r="LXR25" s="88"/>
      <c r="LXS25" s="88"/>
      <c r="LXT25" s="90"/>
      <c r="LXU25" s="93"/>
      <c r="LXV25" s="88"/>
      <c r="LXW25" s="88"/>
      <c r="LXX25" s="91"/>
      <c r="LXY25" s="93"/>
      <c r="LXZ25" s="93"/>
      <c r="LYA25" s="88"/>
      <c r="LYB25" s="88"/>
      <c r="LYC25" s="90"/>
      <c r="LYD25" s="90"/>
      <c r="LYE25" s="88"/>
      <c r="LYF25" s="88"/>
      <c r="LYG25" s="90"/>
      <c r="LYH25" s="93"/>
      <c r="LYI25" s="88"/>
      <c r="LYJ25" s="88"/>
      <c r="LYK25" s="91"/>
      <c r="LYL25" s="93"/>
      <c r="LYM25" s="93"/>
      <c r="LYN25" s="88"/>
      <c r="LYO25" s="88"/>
      <c r="LYP25" s="90"/>
      <c r="LYQ25" s="90"/>
      <c r="LYR25" s="88"/>
      <c r="LYS25" s="88"/>
      <c r="LYT25" s="90"/>
      <c r="LYU25" s="93"/>
      <c r="LYV25" s="88"/>
      <c r="LYW25" s="88"/>
      <c r="LYX25" s="91"/>
      <c r="LYY25" s="93"/>
      <c r="LYZ25" s="93"/>
      <c r="LZA25" s="88"/>
      <c r="LZB25" s="88"/>
      <c r="LZC25" s="90"/>
      <c r="LZD25" s="90"/>
      <c r="LZE25" s="88"/>
      <c r="LZF25" s="88"/>
      <c r="LZG25" s="90"/>
      <c r="LZH25" s="93"/>
      <c r="LZI25" s="88"/>
      <c r="LZJ25" s="88"/>
      <c r="LZK25" s="91"/>
      <c r="LZL25" s="93"/>
      <c r="LZM25" s="93"/>
      <c r="LZN25" s="88"/>
      <c r="LZO25" s="88"/>
      <c r="LZP25" s="90"/>
      <c r="LZQ25" s="90"/>
      <c r="LZR25" s="88"/>
      <c r="LZS25" s="88"/>
      <c r="LZT25" s="90"/>
      <c r="LZU25" s="93"/>
      <c r="LZV25" s="88"/>
      <c r="LZW25" s="88"/>
      <c r="LZX25" s="91"/>
      <c r="LZY25" s="93"/>
      <c r="LZZ25" s="93"/>
      <c r="MAA25" s="88"/>
      <c r="MAB25" s="88"/>
      <c r="MAC25" s="90"/>
      <c r="MAD25" s="90"/>
      <c r="MAE25" s="88"/>
      <c r="MAF25" s="88"/>
      <c r="MAG25" s="90"/>
      <c r="MAH25" s="93"/>
      <c r="MAI25" s="88"/>
      <c r="MAJ25" s="88"/>
      <c r="MAK25" s="91"/>
      <c r="MAL25" s="93"/>
      <c r="MAM25" s="93"/>
      <c r="MAN25" s="88"/>
      <c r="MAO25" s="88"/>
      <c r="MAP25" s="90"/>
      <c r="MAQ25" s="90"/>
      <c r="MAR25" s="88"/>
      <c r="MAS25" s="88"/>
      <c r="MAT25" s="90"/>
      <c r="MAU25" s="93"/>
      <c r="MAV25" s="88"/>
      <c r="MAW25" s="88"/>
      <c r="MAX25" s="91"/>
      <c r="MAY25" s="93"/>
      <c r="MAZ25" s="93"/>
      <c r="MBA25" s="88"/>
      <c r="MBB25" s="88"/>
      <c r="MBC25" s="90"/>
      <c r="MBD25" s="90"/>
      <c r="MBE25" s="88"/>
      <c r="MBF25" s="88"/>
      <c r="MBG25" s="90"/>
      <c r="MBH25" s="93"/>
      <c r="MBI25" s="88"/>
      <c r="MBJ25" s="88"/>
      <c r="MBK25" s="91"/>
      <c r="MBL25" s="93"/>
      <c r="MBM25" s="93"/>
      <c r="MBN25" s="88"/>
      <c r="MBO25" s="88"/>
      <c r="MBP25" s="90"/>
      <c r="MBQ25" s="90"/>
      <c r="MBR25" s="88"/>
      <c r="MBS25" s="88"/>
      <c r="MBT25" s="90"/>
      <c r="MBU25" s="93"/>
      <c r="MBV25" s="88"/>
      <c r="MBW25" s="88"/>
      <c r="MBX25" s="91"/>
      <c r="MBY25" s="93"/>
      <c r="MBZ25" s="93"/>
      <c r="MCA25" s="88"/>
      <c r="MCB25" s="88"/>
      <c r="MCC25" s="90"/>
      <c r="MCD25" s="90"/>
      <c r="MCE25" s="88"/>
      <c r="MCF25" s="88"/>
      <c r="MCG25" s="90"/>
      <c r="MCH25" s="93"/>
      <c r="MCI25" s="88"/>
      <c r="MCJ25" s="88"/>
      <c r="MCK25" s="91"/>
      <c r="MCL25" s="93"/>
      <c r="MCM25" s="93"/>
      <c r="MCN25" s="88"/>
      <c r="MCO25" s="88"/>
      <c r="MCP25" s="90"/>
      <c r="MCQ25" s="90"/>
      <c r="MCR25" s="88"/>
      <c r="MCS25" s="88"/>
      <c r="MCT25" s="90"/>
      <c r="MCU25" s="93"/>
      <c r="MCV25" s="88"/>
      <c r="MCW25" s="88"/>
      <c r="MCX25" s="91"/>
      <c r="MCY25" s="93"/>
      <c r="MCZ25" s="93"/>
      <c r="MDA25" s="88"/>
      <c r="MDB25" s="88"/>
      <c r="MDC25" s="90"/>
      <c r="MDD25" s="90"/>
      <c r="MDE25" s="88"/>
      <c r="MDF25" s="88"/>
      <c r="MDG25" s="90"/>
      <c r="MDH25" s="93"/>
      <c r="MDI25" s="88"/>
      <c r="MDJ25" s="88"/>
      <c r="MDK25" s="91"/>
      <c r="MDL25" s="93"/>
      <c r="MDM25" s="93"/>
      <c r="MDN25" s="88"/>
      <c r="MDO25" s="88"/>
      <c r="MDP25" s="90"/>
      <c r="MDQ25" s="90"/>
      <c r="MDR25" s="88"/>
      <c r="MDS25" s="88"/>
      <c r="MDT25" s="90"/>
      <c r="MDU25" s="93"/>
      <c r="MDV25" s="88"/>
      <c r="MDW25" s="88"/>
      <c r="MDX25" s="91"/>
      <c r="MDY25" s="93"/>
      <c r="MDZ25" s="93"/>
      <c r="MEA25" s="88"/>
      <c r="MEB25" s="88"/>
      <c r="MEC25" s="90"/>
      <c r="MED25" s="90"/>
      <c r="MEE25" s="88"/>
      <c r="MEF25" s="88"/>
      <c r="MEG25" s="90"/>
      <c r="MEH25" s="93"/>
      <c r="MEI25" s="88"/>
      <c r="MEJ25" s="88"/>
      <c r="MEK25" s="91"/>
      <c r="MEL25" s="93"/>
      <c r="MEM25" s="93"/>
      <c r="MEN25" s="88"/>
      <c r="MEO25" s="88"/>
      <c r="MEP25" s="90"/>
      <c r="MEQ25" s="90"/>
      <c r="MER25" s="88"/>
      <c r="MES25" s="88"/>
      <c r="MET25" s="90"/>
      <c r="MEU25" s="93"/>
      <c r="MEV25" s="88"/>
      <c r="MEW25" s="88"/>
      <c r="MEX25" s="91"/>
      <c r="MEY25" s="93"/>
      <c r="MEZ25" s="93"/>
      <c r="MFA25" s="88"/>
      <c r="MFB25" s="88"/>
      <c r="MFC25" s="90"/>
      <c r="MFD25" s="90"/>
      <c r="MFE25" s="88"/>
      <c r="MFF25" s="88"/>
      <c r="MFG25" s="90"/>
      <c r="MFH25" s="93"/>
      <c r="MFI25" s="88"/>
      <c r="MFJ25" s="88"/>
      <c r="MFK25" s="91"/>
      <c r="MFL25" s="93"/>
      <c r="MFM25" s="93"/>
      <c r="MFN25" s="88"/>
      <c r="MFO25" s="88"/>
      <c r="MFP25" s="90"/>
      <c r="MFQ25" s="90"/>
      <c r="MFR25" s="88"/>
      <c r="MFS25" s="88"/>
      <c r="MFT25" s="90"/>
      <c r="MFU25" s="93"/>
      <c r="MFV25" s="88"/>
      <c r="MFW25" s="88"/>
      <c r="MFX25" s="91"/>
      <c r="MFY25" s="93"/>
      <c r="MFZ25" s="93"/>
      <c r="MGA25" s="88"/>
      <c r="MGB25" s="88"/>
      <c r="MGC25" s="90"/>
      <c r="MGD25" s="90"/>
      <c r="MGE25" s="88"/>
      <c r="MGF25" s="88"/>
      <c r="MGG25" s="90"/>
      <c r="MGH25" s="93"/>
      <c r="MGI25" s="88"/>
      <c r="MGJ25" s="88"/>
      <c r="MGK25" s="91"/>
      <c r="MGL25" s="93"/>
      <c r="MGM25" s="93"/>
      <c r="MGN25" s="88"/>
      <c r="MGO25" s="88"/>
      <c r="MGP25" s="90"/>
      <c r="MGQ25" s="90"/>
      <c r="MGR25" s="88"/>
      <c r="MGS25" s="88"/>
      <c r="MGT25" s="90"/>
      <c r="MGU25" s="93"/>
      <c r="MGV25" s="88"/>
      <c r="MGW25" s="88"/>
      <c r="MGX25" s="91"/>
      <c r="MGY25" s="93"/>
      <c r="MGZ25" s="93"/>
      <c r="MHA25" s="88"/>
      <c r="MHB25" s="88"/>
      <c r="MHC25" s="90"/>
      <c r="MHD25" s="90"/>
      <c r="MHE25" s="88"/>
      <c r="MHF25" s="88"/>
      <c r="MHG25" s="90"/>
      <c r="MHH25" s="93"/>
      <c r="MHI25" s="88"/>
      <c r="MHJ25" s="88"/>
      <c r="MHK25" s="91"/>
      <c r="MHL25" s="93"/>
      <c r="MHM25" s="93"/>
      <c r="MHN25" s="88"/>
      <c r="MHO25" s="88"/>
      <c r="MHP25" s="90"/>
      <c r="MHQ25" s="90"/>
      <c r="MHR25" s="88"/>
      <c r="MHS25" s="88"/>
      <c r="MHT25" s="90"/>
      <c r="MHU25" s="93"/>
      <c r="MHV25" s="88"/>
      <c r="MHW25" s="88"/>
      <c r="MHX25" s="91"/>
      <c r="MHY25" s="93"/>
      <c r="MHZ25" s="93"/>
      <c r="MIA25" s="88"/>
      <c r="MIB25" s="88"/>
      <c r="MIC25" s="90"/>
      <c r="MID25" s="90"/>
      <c r="MIE25" s="88"/>
      <c r="MIF25" s="88"/>
      <c r="MIG25" s="90"/>
      <c r="MIH25" s="93"/>
      <c r="MII25" s="88"/>
      <c r="MIJ25" s="88"/>
      <c r="MIK25" s="91"/>
      <c r="MIL25" s="93"/>
      <c r="MIM25" s="93"/>
      <c r="MIN25" s="88"/>
      <c r="MIO25" s="88"/>
      <c r="MIP25" s="90"/>
      <c r="MIQ25" s="90"/>
      <c r="MIR25" s="88"/>
      <c r="MIS25" s="88"/>
      <c r="MIT25" s="90"/>
      <c r="MIU25" s="93"/>
      <c r="MIV25" s="88"/>
      <c r="MIW25" s="88"/>
      <c r="MIX25" s="91"/>
      <c r="MIY25" s="93"/>
      <c r="MIZ25" s="93"/>
      <c r="MJA25" s="88"/>
      <c r="MJB25" s="88"/>
      <c r="MJC25" s="90"/>
      <c r="MJD25" s="90"/>
      <c r="MJE25" s="88"/>
      <c r="MJF25" s="88"/>
      <c r="MJG25" s="90"/>
      <c r="MJH25" s="93"/>
      <c r="MJI25" s="88"/>
      <c r="MJJ25" s="88"/>
      <c r="MJK25" s="91"/>
      <c r="MJL25" s="93"/>
      <c r="MJM25" s="93"/>
      <c r="MJN25" s="88"/>
      <c r="MJO25" s="88"/>
      <c r="MJP25" s="90"/>
      <c r="MJQ25" s="90"/>
      <c r="MJR25" s="88"/>
      <c r="MJS25" s="88"/>
      <c r="MJT25" s="90"/>
      <c r="MJU25" s="93"/>
      <c r="MJV25" s="88"/>
      <c r="MJW25" s="88"/>
      <c r="MJX25" s="91"/>
      <c r="MJY25" s="93"/>
      <c r="MJZ25" s="93"/>
      <c r="MKA25" s="88"/>
      <c r="MKB25" s="88"/>
      <c r="MKC25" s="90"/>
      <c r="MKD25" s="90"/>
      <c r="MKE25" s="88"/>
      <c r="MKF25" s="88"/>
      <c r="MKG25" s="90"/>
      <c r="MKH25" s="93"/>
      <c r="MKI25" s="88"/>
      <c r="MKJ25" s="88"/>
      <c r="MKK25" s="91"/>
      <c r="MKL25" s="93"/>
      <c r="MKM25" s="93"/>
      <c r="MKN25" s="88"/>
      <c r="MKO25" s="88"/>
      <c r="MKP25" s="90"/>
      <c r="MKQ25" s="90"/>
      <c r="MKR25" s="88"/>
      <c r="MKS25" s="88"/>
      <c r="MKT25" s="90"/>
      <c r="MKU25" s="93"/>
      <c r="MKV25" s="88"/>
      <c r="MKW25" s="88"/>
      <c r="MKX25" s="91"/>
      <c r="MKY25" s="93"/>
      <c r="MKZ25" s="93"/>
      <c r="MLA25" s="88"/>
      <c r="MLB25" s="88"/>
      <c r="MLC25" s="90"/>
      <c r="MLD25" s="90"/>
      <c r="MLE25" s="88"/>
      <c r="MLF25" s="88"/>
      <c r="MLG25" s="90"/>
      <c r="MLH25" s="93"/>
      <c r="MLI25" s="88"/>
      <c r="MLJ25" s="88"/>
      <c r="MLK25" s="91"/>
      <c r="MLL25" s="93"/>
      <c r="MLM25" s="93"/>
      <c r="MLN25" s="88"/>
      <c r="MLO25" s="88"/>
      <c r="MLP25" s="90"/>
      <c r="MLQ25" s="90"/>
      <c r="MLR25" s="88"/>
      <c r="MLS25" s="88"/>
      <c r="MLT25" s="90"/>
      <c r="MLU25" s="93"/>
      <c r="MLV25" s="88"/>
      <c r="MLW25" s="88"/>
      <c r="MLX25" s="91"/>
      <c r="MLY25" s="93"/>
      <c r="MLZ25" s="93"/>
      <c r="MMA25" s="88"/>
      <c r="MMB25" s="88"/>
      <c r="MMC25" s="90"/>
      <c r="MMD25" s="90"/>
      <c r="MME25" s="88"/>
      <c r="MMF25" s="88"/>
      <c r="MMG25" s="90"/>
      <c r="MMH25" s="93"/>
      <c r="MMI25" s="88"/>
      <c r="MMJ25" s="88"/>
      <c r="MMK25" s="91"/>
      <c r="MML25" s="93"/>
      <c r="MMM25" s="93"/>
      <c r="MMN25" s="88"/>
      <c r="MMO25" s="88"/>
      <c r="MMP25" s="90"/>
      <c r="MMQ25" s="90"/>
      <c r="MMR25" s="88"/>
      <c r="MMS25" s="88"/>
      <c r="MMT25" s="90"/>
      <c r="MMU25" s="93"/>
      <c r="MMV25" s="88"/>
      <c r="MMW25" s="88"/>
      <c r="MMX25" s="91"/>
      <c r="MMY25" s="93"/>
      <c r="MMZ25" s="93"/>
      <c r="MNA25" s="88"/>
      <c r="MNB25" s="88"/>
      <c r="MNC25" s="90"/>
      <c r="MND25" s="90"/>
      <c r="MNE25" s="88"/>
      <c r="MNF25" s="88"/>
      <c r="MNG25" s="90"/>
      <c r="MNH25" s="93"/>
      <c r="MNI25" s="88"/>
      <c r="MNJ25" s="88"/>
      <c r="MNK25" s="91"/>
      <c r="MNL25" s="93"/>
      <c r="MNM25" s="93"/>
      <c r="MNN25" s="88"/>
      <c r="MNO25" s="88"/>
      <c r="MNP25" s="90"/>
      <c r="MNQ25" s="90"/>
      <c r="MNR25" s="88"/>
      <c r="MNS25" s="88"/>
      <c r="MNT25" s="90"/>
      <c r="MNU25" s="93"/>
      <c r="MNV25" s="88"/>
      <c r="MNW25" s="88"/>
      <c r="MNX25" s="91"/>
      <c r="MNY25" s="93"/>
      <c r="MNZ25" s="93"/>
      <c r="MOA25" s="88"/>
      <c r="MOB25" s="88"/>
      <c r="MOC25" s="90"/>
      <c r="MOD25" s="90"/>
      <c r="MOE25" s="88"/>
      <c r="MOF25" s="88"/>
      <c r="MOG25" s="90"/>
      <c r="MOH25" s="93"/>
      <c r="MOI25" s="88"/>
      <c r="MOJ25" s="88"/>
      <c r="MOK25" s="91"/>
      <c r="MOL25" s="93"/>
      <c r="MOM25" s="93"/>
      <c r="MON25" s="88"/>
      <c r="MOO25" s="88"/>
      <c r="MOP25" s="90"/>
      <c r="MOQ25" s="90"/>
      <c r="MOR25" s="88"/>
      <c r="MOS25" s="88"/>
      <c r="MOT25" s="90"/>
      <c r="MOU25" s="93"/>
      <c r="MOV25" s="88"/>
      <c r="MOW25" s="88"/>
      <c r="MOX25" s="91"/>
      <c r="MOY25" s="93"/>
      <c r="MOZ25" s="93"/>
      <c r="MPA25" s="88"/>
      <c r="MPB25" s="88"/>
      <c r="MPC25" s="90"/>
      <c r="MPD25" s="90"/>
      <c r="MPE25" s="88"/>
      <c r="MPF25" s="88"/>
      <c r="MPG25" s="90"/>
      <c r="MPH25" s="93"/>
      <c r="MPI25" s="88"/>
      <c r="MPJ25" s="88"/>
      <c r="MPK25" s="91"/>
      <c r="MPL25" s="93"/>
      <c r="MPM25" s="93"/>
      <c r="MPN25" s="88"/>
      <c r="MPO25" s="88"/>
      <c r="MPP25" s="90"/>
      <c r="MPQ25" s="90"/>
      <c r="MPR25" s="88"/>
      <c r="MPS25" s="88"/>
      <c r="MPT25" s="90"/>
      <c r="MPU25" s="93"/>
      <c r="MPV25" s="88"/>
      <c r="MPW25" s="88"/>
      <c r="MPX25" s="91"/>
      <c r="MPY25" s="93"/>
      <c r="MPZ25" s="93"/>
      <c r="MQA25" s="88"/>
      <c r="MQB25" s="88"/>
      <c r="MQC25" s="90"/>
      <c r="MQD25" s="90"/>
      <c r="MQE25" s="88"/>
      <c r="MQF25" s="88"/>
      <c r="MQG25" s="90"/>
      <c r="MQH25" s="93"/>
      <c r="MQI25" s="88"/>
      <c r="MQJ25" s="88"/>
      <c r="MQK25" s="91"/>
      <c r="MQL25" s="93"/>
      <c r="MQM25" s="93"/>
      <c r="MQN25" s="88"/>
      <c r="MQO25" s="88"/>
      <c r="MQP25" s="90"/>
      <c r="MQQ25" s="90"/>
      <c r="MQR25" s="88"/>
      <c r="MQS25" s="88"/>
      <c r="MQT25" s="90"/>
      <c r="MQU25" s="93"/>
      <c r="MQV25" s="88"/>
      <c r="MQW25" s="88"/>
      <c r="MQX25" s="91"/>
      <c r="MQY25" s="93"/>
      <c r="MQZ25" s="93"/>
      <c r="MRA25" s="88"/>
      <c r="MRB25" s="88"/>
      <c r="MRC25" s="90"/>
      <c r="MRD25" s="90"/>
      <c r="MRE25" s="88"/>
      <c r="MRF25" s="88"/>
      <c r="MRG25" s="90"/>
      <c r="MRH25" s="93"/>
      <c r="MRI25" s="88"/>
      <c r="MRJ25" s="88"/>
      <c r="MRK25" s="91"/>
      <c r="MRL25" s="93"/>
      <c r="MRM25" s="93"/>
      <c r="MRN25" s="88"/>
      <c r="MRO25" s="88"/>
      <c r="MRP25" s="90"/>
      <c r="MRQ25" s="90"/>
      <c r="MRR25" s="88"/>
      <c r="MRS25" s="88"/>
      <c r="MRT25" s="90"/>
      <c r="MRU25" s="93"/>
      <c r="MRV25" s="88"/>
      <c r="MRW25" s="88"/>
      <c r="MRX25" s="91"/>
      <c r="MRY25" s="93"/>
      <c r="MRZ25" s="93"/>
      <c r="MSA25" s="88"/>
      <c r="MSB25" s="88"/>
      <c r="MSC25" s="90"/>
      <c r="MSD25" s="90"/>
      <c r="MSE25" s="88"/>
      <c r="MSF25" s="88"/>
      <c r="MSG25" s="90"/>
      <c r="MSH25" s="93"/>
      <c r="MSI25" s="88"/>
      <c r="MSJ25" s="88"/>
      <c r="MSK25" s="91"/>
      <c r="MSL25" s="93"/>
      <c r="MSM25" s="93"/>
      <c r="MSN25" s="88"/>
      <c r="MSO25" s="88"/>
      <c r="MSP25" s="90"/>
      <c r="MSQ25" s="90"/>
      <c r="MSR25" s="88"/>
      <c r="MSS25" s="88"/>
      <c r="MST25" s="90"/>
      <c r="MSU25" s="93"/>
      <c r="MSV25" s="88"/>
      <c r="MSW25" s="88"/>
      <c r="MSX25" s="91"/>
      <c r="MSY25" s="93"/>
      <c r="MSZ25" s="93"/>
      <c r="MTA25" s="88"/>
      <c r="MTB25" s="88"/>
      <c r="MTC25" s="90"/>
      <c r="MTD25" s="90"/>
      <c r="MTE25" s="88"/>
      <c r="MTF25" s="88"/>
      <c r="MTG25" s="90"/>
      <c r="MTH25" s="93"/>
      <c r="MTI25" s="88"/>
      <c r="MTJ25" s="88"/>
      <c r="MTK25" s="91"/>
      <c r="MTL25" s="93"/>
      <c r="MTM25" s="93"/>
      <c r="MTN25" s="88"/>
      <c r="MTO25" s="88"/>
      <c r="MTP25" s="90"/>
      <c r="MTQ25" s="90"/>
      <c r="MTR25" s="88"/>
      <c r="MTS25" s="88"/>
      <c r="MTT25" s="90"/>
      <c r="MTU25" s="93"/>
      <c r="MTV25" s="88"/>
      <c r="MTW25" s="88"/>
      <c r="MTX25" s="91"/>
      <c r="MTY25" s="93"/>
      <c r="MTZ25" s="93"/>
      <c r="MUA25" s="88"/>
      <c r="MUB25" s="88"/>
      <c r="MUC25" s="90"/>
      <c r="MUD25" s="90"/>
      <c r="MUE25" s="88"/>
      <c r="MUF25" s="88"/>
      <c r="MUG25" s="90"/>
      <c r="MUH25" s="93"/>
      <c r="MUI25" s="88"/>
      <c r="MUJ25" s="88"/>
      <c r="MUK25" s="91"/>
      <c r="MUL25" s="93"/>
      <c r="MUM25" s="93"/>
      <c r="MUN25" s="88"/>
      <c r="MUO25" s="88"/>
      <c r="MUP25" s="90"/>
      <c r="MUQ25" s="90"/>
      <c r="MUR25" s="88"/>
      <c r="MUS25" s="88"/>
      <c r="MUT25" s="90"/>
      <c r="MUU25" s="93"/>
      <c r="MUV25" s="88"/>
      <c r="MUW25" s="88"/>
      <c r="MUX25" s="91"/>
      <c r="MUY25" s="93"/>
      <c r="MUZ25" s="93"/>
      <c r="MVA25" s="88"/>
      <c r="MVB25" s="88"/>
      <c r="MVC25" s="90"/>
      <c r="MVD25" s="90"/>
      <c r="MVE25" s="88"/>
      <c r="MVF25" s="88"/>
      <c r="MVG25" s="90"/>
      <c r="MVH25" s="93"/>
      <c r="MVI25" s="88"/>
      <c r="MVJ25" s="88"/>
      <c r="MVK25" s="91"/>
      <c r="MVL25" s="93"/>
      <c r="MVM25" s="93"/>
      <c r="MVN25" s="88"/>
      <c r="MVO25" s="88"/>
      <c r="MVP25" s="90"/>
      <c r="MVQ25" s="90"/>
      <c r="MVR25" s="88"/>
      <c r="MVS25" s="88"/>
      <c r="MVT25" s="90"/>
      <c r="MVU25" s="93"/>
      <c r="MVV25" s="88"/>
      <c r="MVW25" s="88"/>
      <c r="MVX25" s="91"/>
      <c r="MVY25" s="93"/>
      <c r="MVZ25" s="93"/>
      <c r="MWA25" s="88"/>
      <c r="MWB25" s="88"/>
      <c r="MWC25" s="90"/>
      <c r="MWD25" s="90"/>
      <c r="MWE25" s="88"/>
      <c r="MWF25" s="88"/>
      <c r="MWG25" s="90"/>
      <c r="MWH25" s="93"/>
      <c r="MWI25" s="88"/>
      <c r="MWJ25" s="88"/>
      <c r="MWK25" s="91"/>
      <c r="MWL25" s="93"/>
      <c r="MWM25" s="93"/>
      <c r="MWN25" s="88"/>
      <c r="MWO25" s="88"/>
      <c r="MWP25" s="90"/>
      <c r="MWQ25" s="90"/>
      <c r="MWR25" s="88"/>
      <c r="MWS25" s="88"/>
      <c r="MWT25" s="90"/>
      <c r="MWU25" s="93"/>
      <c r="MWV25" s="88"/>
      <c r="MWW25" s="88"/>
      <c r="MWX25" s="91"/>
      <c r="MWY25" s="93"/>
      <c r="MWZ25" s="93"/>
      <c r="MXA25" s="88"/>
      <c r="MXB25" s="88"/>
      <c r="MXC25" s="90"/>
      <c r="MXD25" s="90"/>
      <c r="MXE25" s="88"/>
      <c r="MXF25" s="88"/>
      <c r="MXG25" s="90"/>
      <c r="MXH25" s="93"/>
      <c r="MXI25" s="88"/>
      <c r="MXJ25" s="88"/>
      <c r="MXK25" s="91"/>
      <c r="MXL25" s="93"/>
      <c r="MXM25" s="93"/>
      <c r="MXN25" s="88"/>
      <c r="MXO25" s="88"/>
      <c r="MXP25" s="90"/>
      <c r="MXQ25" s="90"/>
      <c r="MXR25" s="88"/>
      <c r="MXS25" s="88"/>
      <c r="MXT25" s="90"/>
      <c r="MXU25" s="93"/>
      <c r="MXV25" s="88"/>
      <c r="MXW25" s="88"/>
      <c r="MXX25" s="91"/>
      <c r="MXY25" s="93"/>
      <c r="MXZ25" s="93"/>
      <c r="MYA25" s="88"/>
      <c r="MYB25" s="88"/>
      <c r="MYC25" s="90"/>
      <c r="MYD25" s="90"/>
      <c r="MYE25" s="88"/>
      <c r="MYF25" s="88"/>
      <c r="MYG25" s="90"/>
      <c r="MYH25" s="93"/>
      <c r="MYI25" s="88"/>
      <c r="MYJ25" s="88"/>
      <c r="MYK25" s="91"/>
      <c r="MYL25" s="93"/>
      <c r="MYM25" s="93"/>
      <c r="MYN25" s="88"/>
      <c r="MYO25" s="88"/>
      <c r="MYP25" s="90"/>
      <c r="MYQ25" s="90"/>
      <c r="MYR25" s="88"/>
      <c r="MYS25" s="88"/>
      <c r="MYT25" s="90"/>
      <c r="MYU25" s="93"/>
      <c r="MYV25" s="88"/>
      <c r="MYW25" s="88"/>
      <c r="MYX25" s="91"/>
      <c r="MYY25" s="93"/>
      <c r="MYZ25" s="93"/>
      <c r="MZA25" s="88"/>
      <c r="MZB25" s="88"/>
      <c r="MZC25" s="90"/>
      <c r="MZD25" s="90"/>
      <c r="MZE25" s="88"/>
      <c r="MZF25" s="88"/>
      <c r="MZG25" s="90"/>
      <c r="MZH25" s="93"/>
      <c r="MZI25" s="88"/>
      <c r="MZJ25" s="88"/>
      <c r="MZK25" s="91"/>
      <c r="MZL25" s="93"/>
      <c r="MZM25" s="93"/>
      <c r="MZN25" s="88"/>
      <c r="MZO25" s="88"/>
      <c r="MZP25" s="90"/>
      <c r="MZQ25" s="90"/>
      <c r="MZR25" s="88"/>
      <c r="MZS25" s="88"/>
      <c r="MZT25" s="90"/>
      <c r="MZU25" s="93"/>
      <c r="MZV25" s="88"/>
      <c r="MZW25" s="88"/>
      <c r="MZX25" s="91"/>
      <c r="MZY25" s="93"/>
      <c r="MZZ25" s="93"/>
      <c r="NAA25" s="88"/>
      <c r="NAB25" s="88"/>
      <c r="NAC25" s="90"/>
      <c r="NAD25" s="90"/>
      <c r="NAE25" s="88"/>
      <c r="NAF25" s="88"/>
      <c r="NAG25" s="90"/>
      <c r="NAH25" s="93"/>
      <c r="NAI25" s="88"/>
      <c r="NAJ25" s="88"/>
      <c r="NAK25" s="91"/>
      <c r="NAL25" s="93"/>
      <c r="NAM25" s="93"/>
      <c r="NAN25" s="88"/>
      <c r="NAO25" s="88"/>
      <c r="NAP25" s="90"/>
      <c r="NAQ25" s="90"/>
      <c r="NAR25" s="88"/>
      <c r="NAS25" s="88"/>
      <c r="NAT25" s="90"/>
      <c r="NAU25" s="93"/>
      <c r="NAV25" s="88"/>
      <c r="NAW25" s="88"/>
      <c r="NAX25" s="91"/>
      <c r="NAY25" s="93"/>
      <c r="NAZ25" s="93"/>
      <c r="NBA25" s="88"/>
      <c r="NBB25" s="88"/>
      <c r="NBC25" s="90"/>
      <c r="NBD25" s="90"/>
      <c r="NBE25" s="88"/>
      <c r="NBF25" s="88"/>
      <c r="NBG25" s="90"/>
      <c r="NBH25" s="93"/>
      <c r="NBI25" s="88"/>
      <c r="NBJ25" s="88"/>
      <c r="NBK25" s="91"/>
      <c r="NBL25" s="93"/>
      <c r="NBM25" s="93"/>
      <c r="NBN25" s="88"/>
      <c r="NBO25" s="88"/>
      <c r="NBP25" s="90"/>
      <c r="NBQ25" s="90"/>
      <c r="NBR25" s="88"/>
      <c r="NBS25" s="88"/>
      <c r="NBT25" s="90"/>
      <c r="NBU25" s="93"/>
      <c r="NBV25" s="88"/>
      <c r="NBW25" s="88"/>
      <c r="NBX25" s="91"/>
      <c r="NBY25" s="93"/>
      <c r="NBZ25" s="93"/>
      <c r="NCA25" s="88"/>
      <c r="NCB25" s="88"/>
      <c r="NCC25" s="90"/>
      <c r="NCD25" s="90"/>
      <c r="NCE25" s="88"/>
      <c r="NCF25" s="88"/>
      <c r="NCG25" s="90"/>
      <c r="NCH25" s="93"/>
      <c r="NCI25" s="88"/>
      <c r="NCJ25" s="88"/>
      <c r="NCK25" s="91"/>
      <c r="NCL25" s="93"/>
      <c r="NCM25" s="93"/>
      <c r="NCN25" s="88"/>
      <c r="NCO25" s="88"/>
      <c r="NCP25" s="90"/>
      <c r="NCQ25" s="90"/>
      <c r="NCR25" s="88"/>
      <c r="NCS25" s="88"/>
      <c r="NCT25" s="90"/>
      <c r="NCU25" s="93"/>
      <c r="NCV25" s="88"/>
      <c r="NCW25" s="88"/>
      <c r="NCX25" s="91"/>
      <c r="NCY25" s="93"/>
      <c r="NCZ25" s="93"/>
      <c r="NDA25" s="88"/>
      <c r="NDB25" s="88"/>
      <c r="NDC25" s="90"/>
      <c r="NDD25" s="90"/>
      <c r="NDE25" s="88"/>
      <c r="NDF25" s="88"/>
      <c r="NDG25" s="90"/>
      <c r="NDH25" s="93"/>
      <c r="NDI25" s="88"/>
      <c r="NDJ25" s="88"/>
      <c r="NDK25" s="91"/>
      <c r="NDL25" s="93"/>
      <c r="NDM25" s="93"/>
      <c r="NDN25" s="88"/>
      <c r="NDO25" s="88"/>
      <c r="NDP25" s="90"/>
      <c r="NDQ25" s="90"/>
      <c r="NDR25" s="88"/>
      <c r="NDS25" s="88"/>
      <c r="NDT25" s="90"/>
      <c r="NDU25" s="93"/>
      <c r="NDV25" s="88"/>
      <c r="NDW25" s="88"/>
      <c r="NDX25" s="91"/>
      <c r="NDY25" s="93"/>
      <c r="NDZ25" s="93"/>
      <c r="NEA25" s="88"/>
      <c r="NEB25" s="88"/>
      <c r="NEC25" s="90"/>
      <c r="NED25" s="90"/>
      <c r="NEE25" s="88"/>
      <c r="NEF25" s="88"/>
      <c r="NEG25" s="90"/>
      <c r="NEH25" s="93"/>
      <c r="NEI25" s="88"/>
      <c r="NEJ25" s="88"/>
      <c r="NEK25" s="91"/>
      <c r="NEL25" s="93"/>
      <c r="NEM25" s="93"/>
      <c r="NEN25" s="88"/>
      <c r="NEO25" s="88"/>
      <c r="NEP25" s="90"/>
      <c r="NEQ25" s="90"/>
      <c r="NER25" s="88"/>
      <c r="NES25" s="88"/>
      <c r="NET25" s="90"/>
      <c r="NEU25" s="93"/>
      <c r="NEV25" s="88"/>
      <c r="NEW25" s="88"/>
      <c r="NEX25" s="91"/>
      <c r="NEY25" s="93"/>
      <c r="NEZ25" s="93"/>
      <c r="NFA25" s="88"/>
      <c r="NFB25" s="88"/>
      <c r="NFC25" s="90"/>
      <c r="NFD25" s="90"/>
      <c r="NFE25" s="88"/>
      <c r="NFF25" s="88"/>
      <c r="NFG25" s="90"/>
      <c r="NFH25" s="93"/>
      <c r="NFI25" s="88"/>
      <c r="NFJ25" s="88"/>
      <c r="NFK25" s="91"/>
      <c r="NFL25" s="93"/>
      <c r="NFM25" s="93"/>
      <c r="NFN25" s="88"/>
      <c r="NFO25" s="88"/>
      <c r="NFP25" s="90"/>
      <c r="NFQ25" s="90"/>
      <c r="NFR25" s="88"/>
      <c r="NFS25" s="88"/>
      <c r="NFT25" s="90"/>
      <c r="NFU25" s="93"/>
      <c r="NFV25" s="88"/>
      <c r="NFW25" s="88"/>
      <c r="NFX25" s="91"/>
      <c r="NFY25" s="93"/>
      <c r="NFZ25" s="93"/>
      <c r="NGA25" s="88"/>
      <c r="NGB25" s="88"/>
      <c r="NGC25" s="90"/>
      <c r="NGD25" s="90"/>
      <c r="NGE25" s="88"/>
      <c r="NGF25" s="88"/>
      <c r="NGG25" s="90"/>
      <c r="NGH25" s="93"/>
      <c r="NGI25" s="88"/>
      <c r="NGJ25" s="88"/>
      <c r="NGK25" s="91"/>
      <c r="NGL25" s="93"/>
      <c r="NGM25" s="93"/>
      <c r="NGN25" s="88"/>
      <c r="NGO25" s="88"/>
      <c r="NGP25" s="90"/>
      <c r="NGQ25" s="90"/>
      <c r="NGR25" s="88"/>
      <c r="NGS25" s="88"/>
      <c r="NGT25" s="90"/>
      <c r="NGU25" s="93"/>
      <c r="NGV25" s="88"/>
      <c r="NGW25" s="88"/>
      <c r="NGX25" s="91"/>
      <c r="NGY25" s="93"/>
      <c r="NGZ25" s="93"/>
      <c r="NHA25" s="88"/>
      <c r="NHB25" s="88"/>
      <c r="NHC25" s="90"/>
      <c r="NHD25" s="90"/>
      <c r="NHE25" s="88"/>
      <c r="NHF25" s="88"/>
      <c r="NHG25" s="90"/>
      <c r="NHH25" s="93"/>
      <c r="NHI25" s="88"/>
      <c r="NHJ25" s="88"/>
      <c r="NHK25" s="91"/>
      <c r="NHL25" s="93"/>
      <c r="NHM25" s="93"/>
      <c r="NHN25" s="88"/>
      <c r="NHO25" s="88"/>
      <c r="NHP25" s="90"/>
      <c r="NHQ25" s="90"/>
      <c r="NHR25" s="88"/>
      <c r="NHS25" s="88"/>
      <c r="NHT25" s="90"/>
      <c r="NHU25" s="93"/>
      <c r="NHV25" s="88"/>
      <c r="NHW25" s="88"/>
      <c r="NHX25" s="91"/>
      <c r="NHY25" s="93"/>
      <c r="NHZ25" s="93"/>
      <c r="NIA25" s="88"/>
      <c r="NIB25" s="88"/>
      <c r="NIC25" s="90"/>
      <c r="NID25" s="90"/>
      <c r="NIE25" s="88"/>
      <c r="NIF25" s="88"/>
      <c r="NIG25" s="90"/>
      <c r="NIH25" s="93"/>
      <c r="NII25" s="88"/>
      <c r="NIJ25" s="88"/>
      <c r="NIK25" s="91"/>
      <c r="NIL25" s="93"/>
      <c r="NIM25" s="93"/>
      <c r="NIN25" s="88"/>
      <c r="NIO25" s="88"/>
      <c r="NIP25" s="90"/>
      <c r="NIQ25" s="90"/>
      <c r="NIR25" s="88"/>
      <c r="NIS25" s="88"/>
      <c r="NIT25" s="90"/>
      <c r="NIU25" s="93"/>
      <c r="NIV25" s="88"/>
      <c r="NIW25" s="88"/>
      <c r="NIX25" s="91"/>
      <c r="NIY25" s="93"/>
      <c r="NIZ25" s="93"/>
      <c r="NJA25" s="88"/>
      <c r="NJB25" s="88"/>
      <c r="NJC25" s="90"/>
      <c r="NJD25" s="90"/>
      <c r="NJE25" s="88"/>
      <c r="NJF25" s="88"/>
      <c r="NJG25" s="90"/>
      <c r="NJH25" s="93"/>
      <c r="NJI25" s="88"/>
      <c r="NJJ25" s="88"/>
      <c r="NJK25" s="91"/>
      <c r="NJL25" s="93"/>
      <c r="NJM25" s="93"/>
      <c r="NJN25" s="88"/>
      <c r="NJO25" s="88"/>
      <c r="NJP25" s="90"/>
      <c r="NJQ25" s="90"/>
      <c r="NJR25" s="88"/>
      <c r="NJS25" s="88"/>
      <c r="NJT25" s="90"/>
      <c r="NJU25" s="93"/>
      <c r="NJV25" s="88"/>
      <c r="NJW25" s="88"/>
      <c r="NJX25" s="91"/>
      <c r="NJY25" s="93"/>
      <c r="NJZ25" s="93"/>
      <c r="NKA25" s="88"/>
      <c r="NKB25" s="88"/>
      <c r="NKC25" s="90"/>
      <c r="NKD25" s="90"/>
      <c r="NKE25" s="88"/>
      <c r="NKF25" s="88"/>
      <c r="NKG25" s="90"/>
      <c r="NKH25" s="93"/>
      <c r="NKI25" s="88"/>
      <c r="NKJ25" s="88"/>
      <c r="NKK25" s="91"/>
      <c r="NKL25" s="93"/>
      <c r="NKM25" s="93"/>
      <c r="NKN25" s="88"/>
      <c r="NKO25" s="88"/>
      <c r="NKP25" s="90"/>
      <c r="NKQ25" s="90"/>
      <c r="NKR25" s="88"/>
      <c r="NKS25" s="88"/>
      <c r="NKT25" s="90"/>
      <c r="NKU25" s="93"/>
      <c r="NKV25" s="88"/>
      <c r="NKW25" s="88"/>
      <c r="NKX25" s="91"/>
      <c r="NKY25" s="93"/>
      <c r="NKZ25" s="93"/>
      <c r="NLA25" s="88"/>
      <c r="NLB25" s="88"/>
      <c r="NLC25" s="90"/>
      <c r="NLD25" s="90"/>
      <c r="NLE25" s="88"/>
      <c r="NLF25" s="88"/>
      <c r="NLG25" s="90"/>
      <c r="NLH25" s="93"/>
      <c r="NLI25" s="88"/>
      <c r="NLJ25" s="88"/>
      <c r="NLK25" s="91"/>
      <c r="NLL25" s="93"/>
      <c r="NLM25" s="93"/>
      <c r="NLN25" s="88"/>
      <c r="NLO25" s="88"/>
      <c r="NLP25" s="90"/>
      <c r="NLQ25" s="90"/>
      <c r="NLR25" s="88"/>
      <c r="NLS25" s="88"/>
      <c r="NLT25" s="90"/>
      <c r="NLU25" s="93"/>
      <c r="NLV25" s="88"/>
      <c r="NLW25" s="88"/>
      <c r="NLX25" s="91"/>
      <c r="NLY25" s="93"/>
      <c r="NLZ25" s="93"/>
      <c r="NMA25" s="88"/>
      <c r="NMB25" s="88"/>
      <c r="NMC25" s="90"/>
      <c r="NMD25" s="90"/>
      <c r="NME25" s="88"/>
      <c r="NMF25" s="88"/>
      <c r="NMG25" s="90"/>
      <c r="NMH25" s="93"/>
      <c r="NMI25" s="88"/>
      <c r="NMJ25" s="88"/>
      <c r="NMK25" s="91"/>
      <c r="NML25" s="93"/>
      <c r="NMM25" s="93"/>
      <c r="NMN25" s="88"/>
      <c r="NMO25" s="88"/>
      <c r="NMP25" s="90"/>
      <c r="NMQ25" s="90"/>
      <c r="NMR25" s="88"/>
      <c r="NMS25" s="88"/>
      <c r="NMT25" s="90"/>
      <c r="NMU25" s="93"/>
      <c r="NMV25" s="88"/>
      <c r="NMW25" s="88"/>
      <c r="NMX25" s="91"/>
      <c r="NMY25" s="93"/>
      <c r="NMZ25" s="93"/>
      <c r="NNA25" s="88"/>
      <c r="NNB25" s="88"/>
      <c r="NNC25" s="90"/>
      <c r="NND25" s="90"/>
      <c r="NNE25" s="88"/>
      <c r="NNF25" s="88"/>
      <c r="NNG25" s="90"/>
      <c r="NNH25" s="93"/>
      <c r="NNI25" s="88"/>
      <c r="NNJ25" s="88"/>
      <c r="NNK25" s="91"/>
      <c r="NNL25" s="93"/>
      <c r="NNM25" s="93"/>
      <c r="NNN25" s="88"/>
      <c r="NNO25" s="88"/>
      <c r="NNP25" s="90"/>
      <c r="NNQ25" s="90"/>
      <c r="NNR25" s="88"/>
      <c r="NNS25" s="88"/>
      <c r="NNT25" s="90"/>
      <c r="NNU25" s="93"/>
      <c r="NNV25" s="88"/>
      <c r="NNW25" s="88"/>
      <c r="NNX25" s="91"/>
      <c r="NNY25" s="93"/>
      <c r="NNZ25" s="93"/>
      <c r="NOA25" s="88"/>
      <c r="NOB25" s="88"/>
      <c r="NOC25" s="90"/>
      <c r="NOD25" s="90"/>
      <c r="NOE25" s="88"/>
      <c r="NOF25" s="88"/>
      <c r="NOG25" s="90"/>
      <c r="NOH25" s="93"/>
      <c r="NOI25" s="88"/>
      <c r="NOJ25" s="88"/>
      <c r="NOK25" s="91"/>
      <c r="NOL25" s="93"/>
      <c r="NOM25" s="93"/>
      <c r="NON25" s="88"/>
      <c r="NOO25" s="88"/>
      <c r="NOP25" s="90"/>
      <c r="NOQ25" s="90"/>
      <c r="NOR25" s="88"/>
      <c r="NOS25" s="88"/>
      <c r="NOT25" s="90"/>
      <c r="NOU25" s="93"/>
      <c r="NOV25" s="88"/>
      <c r="NOW25" s="88"/>
      <c r="NOX25" s="91"/>
      <c r="NOY25" s="93"/>
      <c r="NOZ25" s="93"/>
      <c r="NPA25" s="88"/>
      <c r="NPB25" s="88"/>
      <c r="NPC25" s="90"/>
      <c r="NPD25" s="90"/>
      <c r="NPE25" s="88"/>
      <c r="NPF25" s="88"/>
      <c r="NPG25" s="90"/>
      <c r="NPH25" s="93"/>
      <c r="NPI25" s="88"/>
      <c r="NPJ25" s="88"/>
      <c r="NPK25" s="91"/>
      <c r="NPL25" s="93"/>
      <c r="NPM25" s="93"/>
      <c r="NPN25" s="88"/>
      <c r="NPO25" s="88"/>
      <c r="NPP25" s="90"/>
      <c r="NPQ25" s="90"/>
      <c r="NPR25" s="88"/>
      <c r="NPS25" s="88"/>
      <c r="NPT25" s="90"/>
      <c r="NPU25" s="93"/>
      <c r="NPV25" s="88"/>
      <c r="NPW25" s="88"/>
      <c r="NPX25" s="91"/>
      <c r="NPY25" s="93"/>
      <c r="NPZ25" s="93"/>
      <c r="NQA25" s="88"/>
      <c r="NQB25" s="88"/>
      <c r="NQC25" s="90"/>
      <c r="NQD25" s="90"/>
      <c r="NQE25" s="88"/>
      <c r="NQF25" s="88"/>
      <c r="NQG25" s="90"/>
      <c r="NQH25" s="93"/>
      <c r="NQI25" s="88"/>
      <c r="NQJ25" s="88"/>
      <c r="NQK25" s="91"/>
      <c r="NQL25" s="93"/>
      <c r="NQM25" s="93"/>
      <c r="NQN25" s="88"/>
      <c r="NQO25" s="88"/>
      <c r="NQP25" s="90"/>
      <c r="NQQ25" s="90"/>
      <c r="NQR25" s="88"/>
      <c r="NQS25" s="88"/>
      <c r="NQT25" s="90"/>
      <c r="NQU25" s="93"/>
      <c r="NQV25" s="88"/>
      <c r="NQW25" s="88"/>
      <c r="NQX25" s="91"/>
      <c r="NQY25" s="93"/>
      <c r="NQZ25" s="93"/>
      <c r="NRA25" s="88"/>
      <c r="NRB25" s="88"/>
      <c r="NRC25" s="90"/>
      <c r="NRD25" s="90"/>
      <c r="NRE25" s="88"/>
      <c r="NRF25" s="88"/>
      <c r="NRG25" s="90"/>
      <c r="NRH25" s="93"/>
      <c r="NRI25" s="88"/>
      <c r="NRJ25" s="88"/>
      <c r="NRK25" s="91"/>
      <c r="NRL25" s="93"/>
      <c r="NRM25" s="93"/>
      <c r="NRN25" s="88"/>
      <c r="NRO25" s="88"/>
      <c r="NRP25" s="90"/>
      <c r="NRQ25" s="90"/>
      <c r="NRR25" s="88"/>
      <c r="NRS25" s="88"/>
      <c r="NRT25" s="90"/>
      <c r="NRU25" s="93"/>
      <c r="NRV25" s="88"/>
      <c r="NRW25" s="88"/>
      <c r="NRX25" s="91"/>
      <c r="NRY25" s="93"/>
      <c r="NRZ25" s="93"/>
      <c r="NSA25" s="88"/>
      <c r="NSB25" s="88"/>
      <c r="NSC25" s="90"/>
      <c r="NSD25" s="90"/>
      <c r="NSE25" s="88"/>
      <c r="NSF25" s="88"/>
      <c r="NSG25" s="90"/>
      <c r="NSH25" s="93"/>
      <c r="NSI25" s="88"/>
      <c r="NSJ25" s="88"/>
      <c r="NSK25" s="91"/>
      <c r="NSL25" s="93"/>
      <c r="NSM25" s="93"/>
      <c r="NSN25" s="88"/>
      <c r="NSO25" s="88"/>
      <c r="NSP25" s="90"/>
      <c r="NSQ25" s="90"/>
      <c r="NSR25" s="88"/>
      <c r="NSS25" s="88"/>
      <c r="NST25" s="90"/>
      <c r="NSU25" s="93"/>
      <c r="NSV25" s="88"/>
      <c r="NSW25" s="88"/>
      <c r="NSX25" s="91"/>
      <c r="NSY25" s="93"/>
      <c r="NSZ25" s="93"/>
      <c r="NTA25" s="88"/>
      <c r="NTB25" s="88"/>
      <c r="NTC25" s="90"/>
      <c r="NTD25" s="90"/>
      <c r="NTE25" s="88"/>
      <c r="NTF25" s="88"/>
      <c r="NTG25" s="90"/>
      <c r="NTH25" s="93"/>
      <c r="NTI25" s="88"/>
      <c r="NTJ25" s="88"/>
      <c r="NTK25" s="91"/>
      <c r="NTL25" s="93"/>
      <c r="NTM25" s="93"/>
      <c r="NTN25" s="88"/>
      <c r="NTO25" s="88"/>
      <c r="NTP25" s="90"/>
      <c r="NTQ25" s="90"/>
      <c r="NTR25" s="88"/>
      <c r="NTS25" s="88"/>
      <c r="NTT25" s="90"/>
      <c r="NTU25" s="93"/>
      <c r="NTV25" s="88"/>
      <c r="NTW25" s="88"/>
      <c r="NTX25" s="91"/>
      <c r="NTY25" s="93"/>
      <c r="NTZ25" s="93"/>
      <c r="NUA25" s="88"/>
      <c r="NUB25" s="88"/>
      <c r="NUC25" s="90"/>
      <c r="NUD25" s="90"/>
      <c r="NUE25" s="88"/>
      <c r="NUF25" s="88"/>
      <c r="NUG25" s="90"/>
      <c r="NUH25" s="93"/>
      <c r="NUI25" s="88"/>
      <c r="NUJ25" s="88"/>
      <c r="NUK25" s="91"/>
      <c r="NUL25" s="93"/>
      <c r="NUM25" s="93"/>
      <c r="NUN25" s="88"/>
      <c r="NUO25" s="88"/>
      <c r="NUP25" s="90"/>
      <c r="NUQ25" s="90"/>
      <c r="NUR25" s="88"/>
      <c r="NUS25" s="88"/>
      <c r="NUT25" s="90"/>
      <c r="NUU25" s="93"/>
      <c r="NUV25" s="88"/>
      <c r="NUW25" s="88"/>
      <c r="NUX25" s="91"/>
      <c r="NUY25" s="93"/>
      <c r="NUZ25" s="93"/>
      <c r="NVA25" s="88"/>
      <c r="NVB25" s="88"/>
      <c r="NVC25" s="90"/>
      <c r="NVD25" s="90"/>
      <c r="NVE25" s="88"/>
      <c r="NVF25" s="88"/>
      <c r="NVG25" s="90"/>
      <c r="NVH25" s="93"/>
      <c r="NVI25" s="88"/>
      <c r="NVJ25" s="88"/>
      <c r="NVK25" s="91"/>
      <c r="NVL25" s="93"/>
      <c r="NVM25" s="93"/>
      <c r="NVN25" s="88"/>
      <c r="NVO25" s="88"/>
      <c r="NVP25" s="90"/>
      <c r="NVQ25" s="90"/>
      <c r="NVR25" s="88"/>
      <c r="NVS25" s="88"/>
      <c r="NVT25" s="90"/>
      <c r="NVU25" s="93"/>
      <c r="NVV25" s="88"/>
      <c r="NVW25" s="88"/>
      <c r="NVX25" s="91"/>
      <c r="NVY25" s="93"/>
      <c r="NVZ25" s="93"/>
      <c r="NWA25" s="88"/>
      <c r="NWB25" s="88"/>
      <c r="NWC25" s="90"/>
      <c r="NWD25" s="90"/>
      <c r="NWE25" s="88"/>
      <c r="NWF25" s="88"/>
      <c r="NWG25" s="90"/>
      <c r="NWH25" s="93"/>
      <c r="NWI25" s="88"/>
      <c r="NWJ25" s="88"/>
      <c r="NWK25" s="91"/>
      <c r="NWL25" s="93"/>
      <c r="NWM25" s="93"/>
      <c r="NWN25" s="88"/>
      <c r="NWO25" s="88"/>
      <c r="NWP25" s="90"/>
      <c r="NWQ25" s="90"/>
      <c r="NWR25" s="88"/>
      <c r="NWS25" s="88"/>
      <c r="NWT25" s="90"/>
      <c r="NWU25" s="93"/>
      <c r="NWV25" s="88"/>
      <c r="NWW25" s="88"/>
      <c r="NWX25" s="91"/>
      <c r="NWY25" s="93"/>
      <c r="NWZ25" s="93"/>
      <c r="NXA25" s="88"/>
      <c r="NXB25" s="88"/>
      <c r="NXC25" s="90"/>
      <c r="NXD25" s="90"/>
      <c r="NXE25" s="88"/>
      <c r="NXF25" s="88"/>
      <c r="NXG25" s="90"/>
      <c r="NXH25" s="93"/>
      <c r="NXI25" s="88"/>
      <c r="NXJ25" s="88"/>
      <c r="NXK25" s="91"/>
      <c r="NXL25" s="93"/>
      <c r="NXM25" s="93"/>
      <c r="NXN25" s="88"/>
      <c r="NXO25" s="88"/>
      <c r="NXP25" s="90"/>
      <c r="NXQ25" s="90"/>
      <c r="NXR25" s="88"/>
      <c r="NXS25" s="88"/>
      <c r="NXT25" s="90"/>
      <c r="NXU25" s="93"/>
      <c r="NXV25" s="88"/>
      <c r="NXW25" s="88"/>
      <c r="NXX25" s="91"/>
      <c r="NXY25" s="93"/>
      <c r="NXZ25" s="93"/>
      <c r="NYA25" s="88"/>
      <c r="NYB25" s="88"/>
      <c r="NYC25" s="90"/>
      <c r="NYD25" s="90"/>
      <c r="NYE25" s="88"/>
      <c r="NYF25" s="88"/>
      <c r="NYG25" s="90"/>
      <c r="NYH25" s="93"/>
      <c r="NYI25" s="88"/>
      <c r="NYJ25" s="88"/>
      <c r="NYK25" s="91"/>
      <c r="NYL25" s="93"/>
      <c r="NYM25" s="93"/>
      <c r="NYN25" s="88"/>
      <c r="NYO25" s="88"/>
      <c r="NYP25" s="90"/>
      <c r="NYQ25" s="90"/>
      <c r="NYR25" s="88"/>
      <c r="NYS25" s="88"/>
      <c r="NYT25" s="90"/>
      <c r="NYU25" s="93"/>
      <c r="NYV25" s="88"/>
      <c r="NYW25" s="88"/>
      <c r="NYX25" s="91"/>
      <c r="NYY25" s="93"/>
      <c r="NYZ25" s="93"/>
      <c r="NZA25" s="88"/>
      <c r="NZB25" s="88"/>
      <c r="NZC25" s="90"/>
      <c r="NZD25" s="90"/>
      <c r="NZE25" s="88"/>
      <c r="NZF25" s="88"/>
      <c r="NZG25" s="90"/>
      <c r="NZH25" s="93"/>
      <c r="NZI25" s="88"/>
      <c r="NZJ25" s="88"/>
      <c r="NZK25" s="91"/>
      <c r="NZL25" s="93"/>
      <c r="NZM25" s="93"/>
      <c r="NZN25" s="88"/>
      <c r="NZO25" s="88"/>
      <c r="NZP25" s="90"/>
      <c r="NZQ25" s="90"/>
      <c r="NZR25" s="88"/>
      <c r="NZS25" s="88"/>
      <c r="NZT25" s="90"/>
      <c r="NZU25" s="93"/>
      <c r="NZV25" s="88"/>
      <c r="NZW25" s="88"/>
      <c r="NZX25" s="91"/>
      <c r="NZY25" s="93"/>
      <c r="NZZ25" s="93"/>
      <c r="OAA25" s="88"/>
      <c r="OAB25" s="88"/>
      <c r="OAC25" s="90"/>
      <c r="OAD25" s="90"/>
      <c r="OAE25" s="88"/>
      <c r="OAF25" s="88"/>
      <c r="OAG25" s="90"/>
      <c r="OAH25" s="93"/>
      <c r="OAI25" s="88"/>
      <c r="OAJ25" s="88"/>
      <c r="OAK25" s="91"/>
      <c r="OAL25" s="93"/>
      <c r="OAM25" s="93"/>
      <c r="OAN25" s="88"/>
      <c r="OAO25" s="88"/>
      <c r="OAP25" s="90"/>
      <c r="OAQ25" s="90"/>
      <c r="OAR25" s="88"/>
      <c r="OAS25" s="88"/>
      <c r="OAT25" s="90"/>
      <c r="OAU25" s="93"/>
      <c r="OAV25" s="88"/>
      <c r="OAW25" s="88"/>
      <c r="OAX25" s="91"/>
      <c r="OAY25" s="93"/>
      <c r="OAZ25" s="93"/>
      <c r="OBA25" s="88"/>
      <c r="OBB25" s="88"/>
      <c r="OBC25" s="90"/>
      <c r="OBD25" s="90"/>
      <c r="OBE25" s="88"/>
      <c r="OBF25" s="88"/>
      <c r="OBG25" s="90"/>
      <c r="OBH25" s="93"/>
      <c r="OBI25" s="88"/>
      <c r="OBJ25" s="88"/>
      <c r="OBK25" s="91"/>
      <c r="OBL25" s="93"/>
      <c r="OBM25" s="93"/>
      <c r="OBN25" s="88"/>
      <c r="OBO25" s="88"/>
      <c r="OBP25" s="90"/>
      <c r="OBQ25" s="90"/>
      <c r="OBR25" s="88"/>
      <c r="OBS25" s="88"/>
      <c r="OBT25" s="90"/>
      <c r="OBU25" s="93"/>
      <c r="OBV25" s="88"/>
      <c r="OBW25" s="88"/>
      <c r="OBX25" s="91"/>
      <c r="OBY25" s="93"/>
      <c r="OBZ25" s="93"/>
      <c r="OCA25" s="88"/>
      <c r="OCB25" s="88"/>
      <c r="OCC25" s="90"/>
      <c r="OCD25" s="90"/>
      <c r="OCE25" s="88"/>
      <c r="OCF25" s="88"/>
      <c r="OCG25" s="90"/>
      <c r="OCH25" s="93"/>
      <c r="OCI25" s="88"/>
      <c r="OCJ25" s="88"/>
      <c r="OCK25" s="91"/>
      <c r="OCL25" s="93"/>
      <c r="OCM25" s="93"/>
      <c r="OCN25" s="88"/>
      <c r="OCO25" s="88"/>
      <c r="OCP25" s="90"/>
      <c r="OCQ25" s="90"/>
      <c r="OCR25" s="88"/>
      <c r="OCS25" s="88"/>
      <c r="OCT25" s="90"/>
      <c r="OCU25" s="93"/>
      <c r="OCV25" s="88"/>
      <c r="OCW25" s="88"/>
      <c r="OCX25" s="91"/>
      <c r="OCY25" s="93"/>
      <c r="OCZ25" s="93"/>
      <c r="ODA25" s="88"/>
      <c r="ODB25" s="88"/>
      <c r="ODC25" s="90"/>
      <c r="ODD25" s="90"/>
      <c r="ODE25" s="88"/>
      <c r="ODF25" s="88"/>
      <c r="ODG25" s="90"/>
      <c r="ODH25" s="93"/>
      <c r="ODI25" s="88"/>
      <c r="ODJ25" s="88"/>
      <c r="ODK25" s="91"/>
      <c r="ODL25" s="93"/>
      <c r="ODM25" s="93"/>
      <c r="ODN25" s="88"/>
      <c r="ODO25" s="88"/>
      <c r="ODP25" s="90"/>
      <c r="ODQ25" s="90"/>
      <c r="ODR25" s="88"/>
      <c r="ODS25" s="88"/>
      <c r="ODT25" s="90"/>
      <c r="ODU25" s="93"/>
      <c r="ODV25" s="88"/>
      <c r="ODW25" s="88"/>
      <c r="ODX25" s="91"/>
      <c r="ODY25" s="93"/>
      <c r="ODZ25" s="93"/>
      <c r="OEA25" s="88"/>
      <c r="OEB25" s="88"/>
      <c r="OEC25" s="90"/>
      <c r="OED25" s="90"/>
      <c r="OEE25" s="88"/>
      <c r="OEF25" s="88"/>
      <c r="OEG25" s="90"/>
      <c r="OEH25" s="93"/>
      <c r="OEI25" s="88"/>
      <c r="OEJ25" s="88"/>
      <c r="OEK25" s="91"/>
      <c r="OEL25" s="93"/>
      <c r="OEM25" s="93"/>
      <c r="OEN25" s="88"/>
      <c r="OEO25" s="88"/>
      <c r="OEP25" s="90"/>
      <c r="OEQ25" s="90"/>
      <c r="OER25" s="88"/>
      <c r="OES25" s="88"/>
      <c r="OET25" s="90"/>
      <c r="OEU25" s="93"/>
      <c r="OEV25" s="88"/>
      <c r="OEW25" s="88"/>
      <c r="OEX25" s="91"/>
      <c r="OEY25" s="93"/>
      <c r="OEZ25" s="93"/>
      <c r="OFA25" s="88"/>
      <c r="OFB25" s="88"/>
      <c r="OFC25" s="90"/>
      <c r="OFD25" s="90"/>
      <c r="OFE25" s="88"/>
      <c r="OFF25" s="88"/>
      <c r="OFG25" s="90"/>
      <c r="OFH25" s="93"/>
      <c r="OFI25" s="88"/>
      <c r="OFJ25" s="88"/>
      <c r="OFK25" s="91"/>
      <c r="OFL25" s="93"/>
      <c r="OFM25" s="93"/>
      <c r="OFN25" s="88"/>
      <c r="OFO25" s="88"/>
      <c r="OFP25" s="90"/>
      <c r="OFQ25" s="90"/>
      <c r="OFR25" s="88"/>
      <c r="OFS25" s="88"/>
      <c r="OFT25" s="90"/>
      <c r="OFU25" s="93"/>
      <c r="OFV25" s="88"/>
      <c r="OFW25" s="88"/>
      <c r="OFX25" s="91"/>
      <c r="OFY25" s="93"/>
      <c r="OFZ25" s="93"/>
      <c r="OGA25" s="88"/>
      <c r="OGB25" s="88"/>
      <c r="OGC25" s="90"/>
      <c r="OGD25" s="90"/>
      <c r="OGE25" s="88"/>
      <c r="OGF25" s="88"/>
      <c r="OGG25" s="90"/>
      <c r="OGH25" s="93"/>
      <c r="OGI25" s="88"/>
      <c r="OGJ25" s="88"/>
      <c r="OGK25" s="91"/>
      <c r="OGL25" s="93"/>
      <c r="OGM25" s="93"/>
      <c r="OGN25" s="88"/>
      <c r="OGO25" s="88"/>
      <c r="OGP25" s="90"/>
      <c r="OGQ25" s="90"/>
      <c r="OGR25" s="88"/>
      <c r="OGS25" s="88"/>
      <c r="OGT25" s="90"/>
      <c r="OGU25" s="93"/>
      <c r="OGV25" s="88"/>
      <c r="OGW25" s="88"/>
      <c r="OGX25" s="91"/>
      <c r="OGY25" s="93"/>
      <c r="OGZ25" s="93"/>
      <c r="OHA25" s="88"/>
      <c r="OHB25" s="88"/>
      <c r="OHC25" s="90"/>
      <c r="OHD25" s="90"/>
      <c r="OHE25" s="88"/>
      <c r="OHF25" s="88"/>
      <c r="OHG25" s="90"/>
      <c r="OHH25" s="93"/>
      <c r="OHI25" s="88"/>
      <c r="OHJ25" s="88"/>
      <c r="OHK25" s="91"/>
      <c r="OHL25" s="93"/>
      <c r="OHM25" s="93"/>
      <c r="OHN25" s="88"/>
      <c r="OHO25" s="88"/>
      <c r="OHP25" s="90"/>
      <c r="OHQ25" s="90"/>
      <c r="OHR25" s="88"/>
      <c r="OHS25" s="88"/>
      <c r="OHT25" s="90"/>
      <c r="OHU25" s="93"/>
      <c r="OHV25" s="88"/>
      <c r="OHW25" s="88"/>
      <c r="OHX25" s="91"/>
      <c r="OHY25" s="93"/>
      <c r="OHZ25" s="93"/>
      <c r="OIA25" s="88"/>
      <c r="OIB25" s="88"/>
      <c r="OIC25" s="90"/>
      <c r="OID25" s="90"/>
      <c r="OIE25" s="88"/>
      <c r="OIF25" s="88"/>
      <c r="OIG25" s="90"/>
      <c r="OIH25" s="93"/>
      <c r="OII25" s="88"/>
      <c r="OIJ25" s="88"/>
      <c r="OIK25" s="91"/>
      <c r="OIL25" s="93"/>
      <c r="OIM25" s="93"/>
      <c r="OIN25" s="88"/>
      <c r="OIO25" s="88"/>
      <c r="OIP25" s="90"/>
      <c r="OIQ25" s="90"/>
      <c r="OIR25" s="88"/>
      <c r="OIS25" s="88"/>
      <c r="OIT25" s="90"/>
      <c r="OIU25" s="93"/>
      <c r="OIV25" s="88"/>
      <c r="OIW25" s="88"/>
      <c r="OIX25" s="91"/>
      <c r="OIY25" s="93"/>
      <c r="OIZ25" s="93"/>
      <c r="OJA25" s="88"/>
      <c r="OJB25" s="88"/>
      <c r="OJC25" s="90"/>
      <c r="OJD25" s="90"/>
      <c r="OJE25" s="88"/>
      <c r="OJF25" s="88"/>
      <c r="OJG25" s="90"/>
      <c r="OJH25" s="93"/>
      <c r="OJI25" s="88"/>
      <c r="OJJ25" s="88"/>
      <c r="OJK25" s="91"/>
      <c r="OJL25" s="93"/>
      <c r="OJM25" s="93"/>
      <c r="OJN25" s="88"/>
      <c r="OJO25" s="88"/>
      <c r="OJP25" s="90"/>
      <c r="OJQ25" s="90"/>
      <c r="OJR25" s="88"/>
      <c r="OJS25" s="88"/>
      <c r="OJT25" s="90"/>
      <c r="OJU25" s="93"/>
      <c r="OJV25" s="88"/>
      <c r="OJW25" s="88"/>
      <c r="OJX25" s="91"/>
      <c r="OJY25" s="93"/>
      <c r="OJZ25" s="93"/>
      <c r="OKA25" s="88"/>
      <c r="OKB25" s="88"/>
      <c r="OKC25" s="90"/>
      <c r="OKD25" s="90"/>
      <c r="OKE25" s="88"/>
      <c r="OKF25" s="88"/>
      <c r="OKG25" s="90"/>
      <c r="OKH25" s="93"/>
      <c r="OKI25" s="88"/>
      <c r="OKJ25" s="88"/>
      <c r="OKK25" s="91"/>
      <c r="OKL25" s="93"/>
      <c r="OKM25" s="93"/>
      <c r="OKN25" s="88"/>
      <c r="OKO25" s="88"/>
      <c r="OKP25" s="90"/>
      <c r="OKQ25" s="90"/>
      <c r="OKR25" s="88"/>
      <c r="OKS25" s="88"/>
      <c r="OKT25" s="90"/>
      <c r="OKU25" s="93"/>
      <c r="OKV25" s="88"/>
      <c r="OKW25" s="88"/>
      <c r="OKX25" s="91"/>
      <c r="OKY25" s="93"/>
      <c r="OKZ25" s="93"/>
      <c r="OLA25" s="88"/>
      <c r="OLB25" s="88"/>
      <c r="OLC25" s="90"/>
      <c r="OLD25" s="90"/>
      <c r="OLE25" s="88"/>
      <c r="OLF25" s="88"/>
      <c r="OLG25" s="90"/>
      <c r="OLH25" s="93"/>
      <c r="OLI25" s="88"/>
      <c r="OLJ25" s="88"/>
      <c r="OLK25" s="91"/>
      <c r="OLL25" s="93"/>
      <c r="OLM25" s="93"/>
      <c r="OLN25" s="88"/>
      <c r="OLO25" s="88"/>
      <c r="OLP25" s="90"/>
      <c r="OLQ25" s="90"/>
      <c r="OLR25" s="88"/>
      <c r="OLS25" s="88"/>
      <c r="OLT25" s="90"/>
      <c r="OLU25" s="93"/>
      <c r="OLV25" s="88"/>
      <c r="OLW25" s="88"/>
      <c r="OLX25" s="91"/>
      <c r="OLY25" s="93"/>
      <c r="OLZ25" s="93"/>
      <c r="OMA25" s="88"/>
      <c r="OMB25" s="88"/>
      <c r="OMC25" s="90"/>
      <c r="OMD25" s="90"/>
      <c r="OME25" s="88"/>
      <c r="OMF25" s="88"/>
      <c r="OMG25" s="90"/>
      <c r="OMH25" s="93"/>
      <c r="OMI25" s="88"/>
      <c r="OMJ25" s="88"/>
      <c r="OMK25" s="91"/>
      <c r="OML25" s="93"/>
      <c r="OMM25" s="93"/>
      <c r="OMN25" s="88"/>
      <c r="OMO25" s="88"/>
      <c r="OMP25" s="90"/>
      <c r="OMQ25" s="90"/>
      <c r="OMR25" s="88"/>
      <c r="OMS25" s="88"/>
      <c r="OMT25" s="90"/>
      <c r="OMU25" s="93"/>
      <c r="OMV25" s="88"/>
      <c r="OMW25" s="88"/>
      <c r="OMX25" s="91"/>
      <c r="OMY25" s="93"/>
      <c r="OMZ25" s="93"/>
      <c r="ONA25" s="88"/>
      <c r="ONB25" s="88"/>
      <c r="ONC25" s="90"/>
      <c r="OND25" s="90"/>
      <c r="ONE25" s="88"/>
      <c r="ONF25" s="88"/>
      <c r="ONG25" s="90"/>
      <c r="ONH25" s="93"/>
      <c r="ONI25" s="88"/>
      <c r="ONJ25" s="88"/>
      <c r="ONK25" s="91"/>
      <c r="ONL25" s="93"/>
      <c r="ONM25" s="93"/>
      <c r="ONN25" s="88"/>
      <c r="ONO25" s="88"/>
      <c r="ONP25" s="90"/>
      <c r="ONQ25" s="90"/>
      <c r="ONR25" s="88"/>
      <c r="ONS25" s="88"/>
      <c r="ONT25" s="90"/>
      <c r="ONU25" s="93"/>
      <c r="ONV25" s="88"/>
      <c r="ONW25" s="88"/>
      <c r="ONX25" s="91"/>
      <c r="ONY25" s="93"/>
      <c r="ONZ25" s="93"/>
      <c r="OOA25" s="88"/>
      <c r="OOB25" s="88"/>
      <c r="OOC25" s="90"/>
      <c r="OOD25" s="90"/>
      <c r="OOE25" s="88"/>
      <c r="OOF25" s="88"/>
      <c r="OOG25" s="90"/>
      <c r="OOH25" s="93"/>
      <c r="OOI25" s="88"/>
      <c r="OOJ25" s="88"/>
      <c r="OOK25" s="91"/>
      <c r="OOL25" s="93"/>
      <c r="OOM25" s="93"/>
      <c r="OON25" s="88"/>
      <c r="OOO25" s="88"/>
      <c r="OOP25" s="90"/>
      <c r="OOQ25" s="90"/>
      <c r="OOR25" s="88"/>
      <c r="OOS25" s="88"/>
      <c r="OOT25" s="90"/>
      <c r="OOU25" s="93"/>
      <c r="OOV25" s="88"/>
      <c r="OOW25" s="88"/>
      <c r="OOX25" s="91"/>
      <c r="OOY25" s="93"/>
      <c r="OOZ25" s="93"/>
      <c r="OPA25" s="88"/>
      <c r="OPB25" s="88"/>
      <c r="OPC25" s="90"/>
      <c r="OPD25" s="90"/>
      <c r="OPE25" s="88"/>
      <c r="OPF25" s="88"/>
      <c r="OPG25" s="90"/>
      <c r="OPH25" s="93"/>
      <c r="OPI25" s="88"/>
      <c r="OPJ25" s="88"/>
      <c r="OPK25" s="91"/>
      <c r="OPL25" s="93"/>
      <c r="OPM25" s="93"/>
      <c r="OPN25" s="88"/>
      <c r="OPO25" s="88"/>
      <c r="OPP25" s="90"/>
      <c r="OPQ25" s="90"/>
      <c r="OPR25" s="88"/>
      <c r="OPS25" s="88"/>
      <c r="OPT25" s="90"/>
      <c r="OPU25" s="93"/>
      <c r="OPV25" s="88"/>
      <c r="OPW25" s="88"/>
      <c r="OPX25" s="91"/>
      <c r="OPY25" s="93"/>
      <c r="OPZ25" s="93"/>
      <c r="OQA25" s="88"/>
      <c r="OQB25" s="88"/>
      <c r="OQC25" s="90"/>
      <c r="OQD25" s="90"/>
      <c r="OQE25" s="88"/>
      <c r="OQF25" s="88"/>
      <c r="OQG25" s="90"/>
      <c r="OQH25" s="93"/>
      <c r="OQI25" s="88"/>
      <c r="OQJ25" s="88"/>
      <c r="OQK25" s="91"/>
      <c r="OQL25" s="93"/>
      <c r="OQM25" s="93"/>
      <c r="OQN25" s="88"/>
      <c r="OQO25" s="88"/>
      <c r="OQP25" s="90"/>
      <c r="OQQ25" s="90"/>
      <c r="OQR25" s="88"/>
      <c r="OQS25" s="88"/>
      <c r="OQT25" s="90"/>
      <c r="OQU25" s="93"/>
      <c r="OQV25" s="88"/>
      <c r="OQW25" s="88"/>
      <c r="OQX25" s="91"/>
      <c r="OQY25" s="93"/>
      <c r="OQZ25" s="93"/>
      <c r="ORA25" s="88"/>
      <c r="ORB25" s="88"/>
      <c r="ORC25" s="90"/>
      <c r="ORD25" s="90"/>
      <c r="ORE25" s="88"/>
      <c r="ORF25" s="88"/>
      <c r="ORG25" s="90"/>
      <c r="ORH25" s="93"/>
      <c r="ORI25" s="88"/>
      <c r="ORJ25" s="88"/>
      <c r="ORK25" s="91"/>
      <c r="ORL25" s="93"/>
      <c r="ORM25" s="93"/>
      <c r="ORN25" s="88"/>
      <c r="ORO25" s="88"/>
      <c r="ORP25" s="90"/>
      <c r="ORQ25" s="90"/>
      <c r="ORR25" s="88"/>
      <c r="ORS25" s="88"/>
      <c r="ORT25" s="90"/>
      <c r="ORU25" s="93"/>
      <c r="ORV25" s="88"/>
      <c r="ORW25" s="88"/>
      <c r="ORX25" s="91"/>
      <c r="ORY25" s="93"/>
      <c r="ORZ25" s="93"/>
      <c r="OSA25" s="88"/>
      <c r="OSB25" s="88"/>
      <c r="OSC25" s="90"/>
      <c r="OSD25" s="90"/>
      <c r="OSE25" s="88"/>
      <c r="OSF25" s="88"/>
      <c r="OSG25" s="90"/>
      <c r="OSH25" s="93"/>
      <c r="OSI25" s="88"/>
      <c r="OSJ25" s="88"/>
      <c r="OSK25" s="91"/>
      <c r="OSL25" s="93"/>
      <c r="OSM25" s="93"/>
      <c r="OSN25" s="88"/>
      <c r="OSO25" s="88"/>
      <c r="OSP25" s="90"/>
      <c r="OSQ25" s="90"/>
      <c r="OSR25" s="88"/>
      <c r="OSS25" s="88"/>
      <c r="OST25" s="90"/>
      <c r="OSU25" s="93"/>
      <c r="OSV25" s="88"/>
      <c r="OSW25" s="88"/>
      <c r="OSX25" s="91"/>
      <c r="OSY25" s="93"/>
      <c r="OSZ25" s="93"/>
      <c r="OTA25" s="88"/>
      <c r="OTB25" s="88"/>
      <c r="OTC25" s="90"/>
      <c r="OTD25" s="90"/>
      <c r="OTE25" s="88"/>
      <c r="OTF25" s="88"/>
      <c r="OTG25" s="90"/>
      <c r="OTH25" s="93"/>
      <c r="OTI25" s="88"/>
      <c r="OTJ25" s="88"/>
      <c r="OTK25" s="91"/>
      <c r="OTL25" s="93"/>
      <c r="OTM25" s="93"/>
      <c r="OTN25" s="88"/>
      <c r="OTO25" s="88"/>
      <c r="OTP25" s="90"/>
      <c r="OTQ25" s="90"/>
      <c r="OTR25" s="88"/>
      <c r="OTS25" s="88"/>
      <c r="OTT25" s="90"/>
      <c r="OTU25" s="93"/>
      <c r="OTV25" s="88"/>
      <c r="OTW25" s="88"/>
      <c r="OTX25" s="91"/>
      <c r="OTY25" s="93"/>
      <c r="OTZ25" s="93"/>
      <c r="OUA25" s="88"/>
      <c r="OUB25" s="88"/>
      <c r="OUC25" s="90"/>
      <c r="OUD25" s="90"/>
      <c r="OUE25" s="88"/>
      <c r="OUF25" s="88"/>
      <c r="OUG25" s="90"/>
      <c r="OUH25" s="93"/>
      <c r="OUI25" s="88"/>
      <c r="OUJ25" s="88"/>
      <c r="OUK25" s="91"/>
      <c r="OUL25" s="93"/>
      <c r="OUM25" s="93"/>
      <c r="OUN25" s="88"/>
      <c r="OUO25" s="88"/>
      <c r="OUP25" s="90"/>
      <c r="OUQ25" s="90"/>
      <c r="OUR25" s="88"/>
      <c r="OUS25" s="88"/>
      <c r="OUT25" s="90"/>
      <c r="OUU25" s="93"/>
      <c r="OUV25" s="88"/>
      <c r="OUW25" s="88"/>
      <c r="OUX25" s="91"/>
      <c r="OUY25" s="93"/>
      <c r="OUZ25" s="93"/>
      <c r="OVA25" s="88"/>
      <c r="OVB25" s="88"/>
      <c r="OVC25" s="90"/>
      <c r="OVD25" s="90"/>
      <c r="OVE25" s="88"/>
      <c r="OVF25" s="88"/>
      <c r="OVG25" s="90"/>
      <c r="OVH25" s="93"/>
      <c r="OVI25" s="88"/>
      <c r="OVJ25" s="88"/>
      <c r="OVK25" s="91"/>
      <c r="OVL25" s="93"/>
      <c r="OVM25" s="93"/>
      <c r="OVN25" s="88"/>
      <c r="OVO25" s="88"/>
      <c r="OVP25" s="90"/>
      <c r="OVQ25" s="90"/>
      <c r="OVR25" s="88"/>
      <c r="OVS25" s="88"/>
      <c r="OVT25" s="90"/>
      <c r="OVU25" s="93"/>
      <c r="OVV25" s="88"/>
      <c r="OVW25" s="88"/>
      <c r="OVX25" s="91"/>
      <c r="OVY25" s="93"/>
      <c r="OVZ25" s="93"/>
      <c r="OWA25" s="88"/>
      <c r="OWB25" s="88"/>
      <c r="OWC25" s="90"/>
      <c r="OWD25" s="90"/>
      <c r="OWE25" s="88"/>
      <c r="OWF25" s="88"/>
      <c r="OWG25" s="90"/>
      <c r="OWH25" s="93"/>
      <c r="OWI25" s="88"/>
      <c r="OWJ25" s="88"/>
      <c r="OWK25" s="91"/>
      <c r="OWL25" s="93"/>
      <c r="OWM25" s="93"/>
      <c r="OWN25" s="88"/>
      <c r="OWO25" s="88"/>
      <c r="OWP25" s="90"/>
      <c r="OWQ25" s="90"/>
      <c r="OWR25" s="88"/>
      <c r="OWS25" s="88"/>
      <c r="OWT25" s="90"/>
      <c r="OWU25" s="93"/>
      <c r="OWV25" s="88"/>
      <c r="OWW25" s="88"/>
      <c r="OWX25" s="91"/>
      <c r="OWY25" s="93"/>
      <c r="OWZ25" s="93"/>
      <c r="OXA25" s="88"/>
      <c r="OXB25" s="88"/>
      <c r="OXC25" s="90"/>
      <c r="OXD25" s="90"/>
      <c r="OXE25" s="88"/>
      <c r="OXF25" s="88"/>
      <c r="OXG25" s="90"/>
      <c r="OXH25" s="93"/>
      <c r="OXI25" s="88"/>
      <c r="OXJ25" s="88"/>
      <c r="OXK25" s="91"/>
      <c r="OXL25" s="93"/>
      <c r="OXM25" s="93"/>
      <c r="OXN25" s="88"/>
      <c r="OXO25" s="88"/>
      <c r="OXP25" s="90"/>
      <c r="OXQ25" s="90"/>
      <c r="OXR25" s="88"/>
      <c r="OXS25" s="88"/>
      <c r="OXT25" s="90"/>
      <c r="OXU25" s="93"/>
      <c r="OXV25" s="88"/>
      <c r="OXW25" s="88"/>
      <c r="OXX25" s="91"/>
      <c r="OXY25" s="93"/>
      <c r="OXZ25" s="93"/>
      <c r="OYA25" s="88"/>
      <c r="OYB25" s="88"/>
      <c r="OYC25" s="90"/>
      <c r="OYD25" s="90"/>
      <c r="OYE25" s="88"/>
      <c r="OYF25" s="88"/>
      <c r="OYG25" s="90"/>
      <c r="OYH25" s="93"/>
      <c r="OYI25" s="88"/>
      <c r="OYJ25" s="88"/>
      <c r="OYK25" s="91"/>
      <c r="OYL25" s="93"/>
      <c r="OYM25" s="93"/>
      <c r="OYN25" s="88"/>
      <c r="OYO25" s="88"/>
      <c r="OYP25" s="90"/>
      <c r="OYQ25" s="90"/>
      <c r="OYR25" s="88"/>
      <c r="OYS25" s="88"/>
      <c r="OYT25" s="90"/>
      <c r="OYU25" s="93"/>
      <c r="OYV25" s="88"/>
      <c r="OYW25" s="88"/>
      <c r="OYX25" s="91"/>
      <c r="OYY25" s="93"/>
      <c r="OYZ25" s="93"/>
      <c r="OZA25" s="88"/>
      <c r="OZB25" s="88"/>
      <c r="OZC25" s="90"/>
      <c r="OZD25" s="90"/>
      <c r="OZE25" s="88"/>
      <c r="OZF25" s="88"/>
      <c r="OZG25" s="90"/>
      <c r="OZH25" s="93"/>
      <c r="OZI25" s="88"/>
      <c r="OZJ25" s="88"/>
      <c r="OZK25" s="91"/>
      <c r="OZL25" s="93"/>
      <c r="OZM25" s="93"/>
      <c r="OZN25" s="88"/>
      <c r="OZO25" s="88"/>
      <c r="OZP25" s="90"/>
      <c r="OZQ25" s="90"/>
      <c r="OZR25" s="88"/>
      <c r="OZS25" s="88"/>
      <c r="OZT25" s="90"/>
      <c r="OZU25" s="93"/>
      <c r="OZV25" s="88"/>
      <c r="OZW25" s="88"/>
      <c r="OZX25" s="91"/>
      <c r="OZY25" s="93"/>
      <c r="OZZ25" s="93"/>
      <c r="PAA25" s="88"/>
      <c r="PAB25" s="88"/>
      <c r="PAC25" s="90"/>
      <c r="PAD25" s="90"/>
      <c r="PAE25" s="88"/>
      <c r="PAF25" s="88"/>
      <c r="PAG25" s="90"/>
      <c r="PAH25" s="93"/>
      <c r="PAI25" s="88"/>
      <c r="PAJ25" s="88"/>
      <c r="PAK25" s="91"/>
      <c r="PAL25" s="93"/>
      <c r="PAM25" s="93"/>
      <c r="PAN25" s="88"/>
      <c r="PAO25" s="88"/>
      <c r="PAP25" s="90"/>
      <c r="PAQ25" s="90"/>
      <c r="PAR25" s="88"/>
      <c r="PAS25" s="88"/>
      <c r="PAT25" s="90"/>
      <c r="PAU25" s="93"/>
      <c r="PAV25" s="88"/>
      <c r="PAW25" s="88"/>
      <c r="PAX25" s="91"/>
      <c r="PAY25" s="93"/>
      <c r="PAZ25" s="93"/>
      <c r="PBA25" s="88"/>
      <c r="PBB25" s="88"/>
      <c r="PBC25" s="90"/>
      <c r="PBD25" s="90"/>
      <c r="PBE25" s="88"/>
      <c r="PBF25" s="88"/>
      <c r="PBG25" s="90"/>
      <c r="PBH25" s="93"/>
      <c r="PBI25" s="88"/>
      <c r="PBJ25" s="88"/>
      <c r="PBK25" s="91"/>
      <c r="PBL25" s="93"/>
      <c r="PBM25" s="93"/>
      <c r="PBN25" s="88"/>
      <c r="PBO25" s="88"/>
      <c r="PBP25" s="90"/>
      <c r="PBQ25" s="90"/>
      <c r="PBR25" s="88"/>
      <c r="PBS25" s="88"/>
      <c r="PBT25" s="90"/>
      <c r="PBU25" s="93"/>
      <c r="PBV25" s="88"/>
      <c r="PBW25" s="88"/>
      <c r="PBX25" s="91"/>
      <c r="PBY25" s="93"/>
      <c r="PBZ25" s="93"/>
      <c r="PCA25" s="88"/>
      <c r="PCB25" s="88"/>
      <c r="PCC25" s="90"/>
      <c r="PCD25" s="90"/>
      <c r="PCE25" s="88"/>
      <c r="PCF25" s="88"/>
      <c r="PCG25" s="90"/>
      <c r="PCH25" s="93"/>
      <c r="PCI25" s="88"/>
      <c r="PCJ25" s="88"/>
      <c r="PCK25" s="91"/>
      <c r="PCL25" s="93"/>
      <c r="PCM25" s="93"/>
      <c r="PCN25" s="88"/>
      <c r="PCO25" s="88"/>
      <c r="PCP25" s="90"/>
      <c r="PCQ25" s="90"/>
      <c r="PCR25" s="88"/>
      <c r="PCS25" s="88"/>
      <c r="PCT25" s="90"/>
      <c r="PCU25" s="93"/>
      <c r="PCV25" s="88"/>
      <c r="PCW25" s="88"/>
      <c r="PCX25" s="91"/>
      <c r="PCY25" s="93"/>
      <c r="PCZ25" s="93"/>
      <c r="PDA25" s="88"/>
      <c r="PDB25" s="88"/>
      <c r="PDC25" s="90"/>
      <c r="PDD25" s="90"/>
      <c r="PDE25" s="88"/>
      <c r="PDF25" s="88"/>
      <c r="PDG25" s="90"/>
      <c r="PDH25" s="93"/>
      <c r="PDI25" s="88"/>
      <c r="PDJ25" s="88"/>
      <c r="PDK25" s="91"/>
      <c r="PDL25" s="93"/>
      <c r="PDM25" s="93"/>
      <c r="PDN25" s="88"/>
      <c r="PDO25" s="88"/>
      <c r="PDP25" s="90"/>
      <c r="PDQ25" s="90"/>
      <c r="PDR25" s="88"/>
      <c r="PDS25" s="88"/>
      <c r="PDT25" s="90"/>
      <c r="PDU25" s="93"/>
      <c r="PDV25" s="88"/>
      <c r="PDW25" s="88"/>
      <c r="PDX25" s="91"/>
      <c r="PDY25" s="93"/>
      <c r="PDZ25" s="93"/>
      <c r="PEA25" s="88"/>
      <c r="PEB25" s="88"/>
      <c r="PEC25" s="90"/>
      <c r="PED25" s="90"/>
      <c r="PEE25" s="88"/>
      <c r="PEF25" s="88"/>
      <c r="PEG25" s="90"/>
      <c r="PEH25" s="93"/>
      <c r="PEI25" s="88"/>
      <c r="PEJ25" s="88"/>
      <c r="PEK25" s="91"/>
      <c r="PEL25" s="93"/>
      <c r="PEM25" s="93"/>
      <c r="PEN25" s="88"/>
      <c r="PEO25" s="88"/>
      <c r="PEP25" s="90"/>
      <c r="PEQ25" s="90"/>
      <c r="PER25" s="88"/>
      <c r="PES25" s="88"/>
      <c r="PET25" s="90"/>
      <c r="PEU25" s="93"/>
      <c r="PEV25" s="88"/>
      <c r="PEW25" s="88"/>
      <c r="PEX25" s="91"/>
      <c r="PEY25" s="93"/>
      <c r="PEZ25" s="93"/>
      <c r="PFA25" s="88"/>
      <c r="PFB25" s="88"/>
      <c r="PFC25" s="90"/>
      <c r="PFD25" s="90"/>
      <c r="PFE25" s="88"/>
      <c r="PFF25" s="88"/>
      <c r="PFG25" s="90"/>
      <c r="PFH25" s="93"/>
      <c r="PFI25" s="88"/>
      <c r="PFJ25" s="88"/>
      <c r="PFK25" s="91"/>
      <c r="PFL25" s="93"/>
      <c r="PFM25" s="93"/>
      <c r="PFN25" s="88"/>
      <c r="PFO25" s="88"/>
      <c r="PFP25" s="90"/>
      <c r="PFQ25" s="90"/>
      <c r="PFR25" s="88"/>
      <c r="PFS25" s="88"/>
      <c r="PFT25" s="90"/>
      <c r="PFU25" s="93"/>
      <c r="PFV25" s="88"/>
      <c r="PFW25" s="88"/>
      <c r="PFX25" s="91"/>
      <c r="PFY25" s="93"/>
      <c r="PFZ25" s="93"/>
      <c r="PGA25" s="88"/>
      <c r="PGB25" s="88"/>
      <c r="PGC25" s="90"/>
      <c r="PGD25" s="90"/>
      <c r="PGE25" s="88"/>
      <c r="PGF25" s="88"/>
      <c r="PGG25" s="90"/>
      <c r="PGH25" s="93"/>
      <c r="PGI25" s="88"/>
      <c r="PGJ25" s="88"/>
      <c r="PGK25" s="91"/>
      <c r="PGL25" s="93"/>
      <c r="PGM25" s="93"/>
      <c r="PGN25" s="88"/>
      <c r="PGO25" s="88"/>
      <c r="PGP25" s="90"/>
      <c r="PGQ25" s="90"/>
      <c r="PGR25" s="88"/>
      <c r="PGS25" s="88"/>
      <c r="PGT25" s="90"/>
      <c r="PGU25" s="93"/>
      <c r="PGV25" s="88"/>
      <c r="PGW25" s="88"/>
      <c r="PGX25" s="91"/>
      <c r="PGY25" s="93"/>
      <c r="PGZ25" s="93"/>
      <c r="PHA25" s="88"/>
      <c r="PHB25" s="88"/>
      <c r="PHC25" s="90"/>
      <c r="PHD25" s="90"/>
      <c r="PHE25" s="88"/>
      <c r="PHF25" s="88"/>
      <c r="PHG25" s="90"/>
      <c r="PHH25" s="93"/>
      <c r="PHI25" s="88"/>
      <c r="PHJ25" s="88"/>
      <c r="PHK25" s="91"/>
      <c r="PHL25" s="93"/>
      <c r="PHM25" s="93"/>
      <c r="PHN25" s="88"/>
      <c r="PHO25" s="88"/>
      <c r="PHP25" s="90"/>
      <c r="PHQ25" s="90"/>
      <c r="PHR25" s="88"/>
      <c r="PHS25" s="88"/>
      <c r="PHT25" s="90"/>
      <c r="PHU25" s="93"/>
      <c r="PHV25" s="88"/>
      <c r="PHW25" s="88"/>
      <c r="PHX25" s="91"/>
      <c r="PHY25" s="93"/>
      <c r="PHZ25" s="93"/>
      <c r="PIA25" s="88"/>
      <c r="PIB25" s="88"/>
      <c r="PIC25" s="90"/>
      <c r="PID25" s="90"/>
      <c r="PIE25" s="88"/>
      <c r="PIF25" s="88"/>
      <c r="PIG25" s="90"/>
      <c r="PIH25" s="93"/>
      <c r="PII25" s="88"/>
      <c r="PIJ25" s="88"/>
      <c r="PIK25" s="91"/>
      <c r="PIL25" s="93"/>
      <c r="PIM25" s="93"/>
      <c r="PIN25" s="88"/>
      <c r="PIO25" s="88"/>
      <c r="PIP25" s="90"/>
      <c r="PIQ25" s="90"/>
      <c r="PIR25" s="88"/>
      <c r="PIS25" s="88"/>
      <c r="PIT25" s="90"/>
      <c r="PIU25" s="93"/>
      <c r="PIV25" s="88"/>
      <c r="PIW25" s="88"/>
      <c r="PIX25" s="91"/>
      <c r="PIY25" s="93"/>
      <c r="PIZ25" s="93"/>
      <c r="PJA25" s="88"/>
      <c r="PJB25" s="88"/>
      <c r="PJC25" s="90"/>
      <c r="PJD25" s="90"/>
      <c r="PJE25" s="88"/>
      <c r="PJF25" s="88"/>
      <c r="PJG25" s="90"/>
      <c r="PJH25" s="93"/>
      <c r="PJI25" s="88"/>
      <c r="PJJ25" s="88"/>
      <c r="PJK25" s="91"/>
      <c r="PJL25" s="93"/>
      <c r="PJM25" s="93"/>
      <c r="PJN25" s="88"/>
      <c r="PJO25" s="88"/>
      <c r="PJP25" s="90"/>
      <c r="PJQ25" s="90"/>
      <c r="PJR25" s="88"/>
      <c r="PJS25" s="88"/>
      <c r="PJT25" s="90"/>
      <c r="PJU25" s="93"/>
      <c r="PJV25" s="88"/>
      <c r="PJW25" s="88"/>
      <c r="PJX25" s="91"/>
      <c r="PJY25" s="93"/>
      <c r="PJZ25" s="93"/>
      <c r="PKA25" s="88"/>
      <c r="PKB25" s="88"/>
      <c r="PKC25" s="90"/>
      <c r="PKD25" s="90"/>
      <c r="PKE25" s="88"/>
      <c r="PKF25" s="88"/>
      <c r="PKG25" s="90"/>
      <c r="PKH25" s="93"/>
      <c r="PKI25" s="88"/>
      <c r="PKJ25" s="88"/>
      <c r="PKK25" s="91"/>
      <c r="PKL25" s="93"/>
      <c r="PKM25" s="93"/>
      <c r="PKN25" s="88"/>
      <c r="PKO25" s="88"/>
      <c r="PKP25" s="90"/>
      <c r="PKQ25" s="90"/>
      <c r="PKR25" s="88"/>
      <c r="PKS25" s="88"/>
      <c r="PKT25" s="90"/>
      <c r="PKU25" s="93"/>
      <c r="PKV25" s="88"/>
      <c r="PKW25" s="88"/>
      <c r="PKX25" s="91"/>
      <c r="PKY25" s="93"/>
      <c r="PKZ25" s="93"/>
      <c r="PLA25" s="88"/>
      <c r="PLB25" s="88"/>
      <c r="PLC25" s="90"/>
      <c r="PLD25" s="90"/>
      <c r="PLE25" s="88"/>
      <c r="PLF25" s="88"/>
      <c r="PLG25" s="90"/>
      <c r="PLH25" s="93"/>
      <c r="PLI25" s="88"/>
      <c r="PLJ25" s="88"/>
      <c r="PLK25" s="91"/>
      <c r="PLL25" s="93"/>
      <c r="PLM25" s="93"/>
      <c r="PLN25" s="88"/>
      <c r="PLO25" s="88"/>
      <c r="PLP25" s="90"/>
      <c r="PLQ25" s="90"/>
      <c r="PLR25" s="88"/>
      <c r="PLS25" s="88"/>
      <c r="PLT25" s="90"/>
      <c r="PLU25" s="93"/>
      <c r="PLV25" s="88"/>
      <c r="PLW25" s="88"/>
      <c r="PLX25" s="91"/>
      <c r="PLY25" s="93"/>
      <c r="PLZ25" s="93"/>
      <c r="PMA25" s="88"/>
      <c r="PMB25" s="88"/>
      <c r="PMC25" s="90"/>
      <c r="PMD25" s="90"/>
      <c r="PME25" s="88"/>
      <c r="PMF25" s="88"/>
      <c r="PMG25" s="90"/>
      <c r="PMH25" s="93"/>
      <c r="PMI25" s="88"/>
      <c r="PMJ25" s="88"/>
      <c r="PMK25" s="91"/>
      <c r="PML25" s="93"/>
      <c r="PMM25" s="93"/>
      <c r="PMN25" s="88"/>
      <c r="PMO25" s="88"/>
      <c r="PMP25" s="90"/>
      <c r="PMQ25" s="90"/>
      <c r="PMR25" s="88"/>
      <c r="PMS25" s="88"/>
      <c r="PMT25" s="90"/>
      <c r="PMU25" s="93"/>
      <c r="PMV25" s="88"/>
      <c r="PMW25" s="88"/>
      <c r="PMX25" s="91"/>
      <c r="PMY25" s="93"/>
      <c r="PMZ25" s="93"/>
      <c r="PNA25" s="88"/>
      <c r="PNB25" s="88"/>
      <c r="PNC25" s="90"/>
      <c r="PND25" s="90"/>
      <c r="PNE25" s="88"/>
      <c r="PNF25" s="88"/>
      <c r="PNG25" s="90"/>
      <c r="PNH25" s="93"/>
      <c r="PNI25" s="88"/>
      <c r="PNJ25" s="88"/>
      <c r="PNK25" s="91"/>
      <c r="PNL25" s="93"/>
      <c r="PNM25" s="93"/>
      <c r="PNN25" s="88"/>
      <c r="PNO25" s="88"/>
      <c r="PNP25" s="90"/>
      <c r="PNQ25" s="90"/>
      <c r="PNR25" s="88"/>
      <c r="PNS25" s="88"/>
      <c r="PNT25" s="90"/>
      <c r="PNU25" s="93"/>
      <c r="PNV25" s="88"/>
      <c r="PNW25" s="88"/>
      <c r="PNX25" s="91"/>
      <c r="PNY25" s="93"/>
      <c r="PNZ25" s="93"/>
      <c r="POA25" s="88"/>
      <c r="POB25" s="88"/>
      <c r="POC25" s="90"/>
      <c r="POD25" s="90"/>
      <c r="POE25" s="88"/>
      <c r="POF25" s="88"/>
      <c r="POG25" s="90"/>
      <c r="POH25" s="93"/>
      <c r="POI25" s="88"/>
      <c r="POJ25" s="88"/>
      <c r="POK25" s="91"/>
      <c r="POL25" s="93"/>
      <c r="POM25" s="93"/>
      <c r="PON25" s="88"/>
      <c r="POO25" s="88"/>
      <c r="POP25" s="90"/>
      <c r="POQ25" s="90"/>
      <c r="POR25" s="88"/>
      <c r="POS25" s="88"/>
      <c r="POT25" s="90"/>
      <c r="POU25" s="93"/>
      <c r="POV25" s="88"/>
      <c r="POW25" s="88"/>
      <c r="POX25" s="91"/>
      <c r="POY25" s="93"/>
      <c r="POZ25" s="93"/>
      <c r="PPA25" s="88"/>
      <c r="PPB25" s="88"/>
      <c r="PPC25" s="90"/>
      <c r="PPD25" s="90"/>
      <c r="PPE25" s="88"/>
      <c r="PPF25" s="88"/>
      <c r="PPG25" s="90"/>
      <c r="PPH25" s="93"/>
      <c r="PPI25" s="88"/>
      <c r="PPJ25" s="88"/>
      <c r="PPK25" s="91"/>
      <c r="PPL25" s="93"/>
      <c r="PPM25" s="93"/>
      <c r="PPN25" s="88"/>
      <c r="PPO25" s="88"/>
      <c r="PPP25" s="90"/>
      <c r="PPQ25" s="90"/>
      <c r="PPR25" s="88"/>
      <c r="PPS25" s="88"/>
      <c r="PPT25" s="90"/>
      <c r="PPU25" s="93"/>
      <c r="PPV25" s="88"/>
      <c r="PPW25" s="88"/>
      <c r="PPX25" s="91"/>
      <c r="PPY25" s="93"/>
      <c r="PPZ25" s="93"/>
      <c r="PQA25" s="88"/>
      <c r="PQB25" s="88"/>
      <c r="PQC25" s="90"/>
      <c r="PQD25" s="90"/>
      <c r="PQE25" s="88"/>
      <c r="PQF25" s="88"/>
      <c r="PQG25" s="90"/>
      <c r="PQH25" s="93"/>
      <c r="PQI25" s="88"/>
      <c r="PQJ25" s="88"/>
      <c r="PQK25" s="91"/>
      <c r="PQL25" s="93"/>
      <c r="PQM25" s="93"/>
      <c r="PQN25" s="88"/>
      <c r="PQO25" s="88"/>
      <c r="PQP25" s="90"/>
      <c r="PQQ25" s="90"/>
      <c r="PQR25" s="88"/>
      <c r="PQS25" s="88"/>
      <c r="PQT25" s="90"/>
      <c r="PQU25" s="93"/>
      <c r="PQV25" s="88"/>
      <c r="PQW25" s="88"/>
      <c r="PQX25" s="91"/>
      <c r="PQY25" s="93"/>
      <c r="PQZ25" s="93"/>
      <c r="PRA25" s="88"/>
      <c r="PRB25" s="88"/>
      <c r="PRC25" s="90"/>
      <c r="PRD25" s="90"/>
      <c r="PRE25" s="88"/>
      <c r="PRF25" s="88"/>
      <c r="PRG25" s="90"/>
      <c r="PRH25" s="93"/>
      <c r="PRI25" s="88"/>
      <c r="PRJ25" s="88"/>
      <c r="PRK25" s="91"/>
      <c r="PRL25" s="93"/>
      <c r="PRM25" s="93"/>
      <c r="PRN25" s="88"/>
      <c r="PRO25" s="88"/>
      <c r="PRP25" s="90"/>
      <c r="PRQ25" s="90"/>
      <c r="PRR25" s="88"/>
      <c r="PRS25" s="88"/>
      <c r="PRT25" s="90"/>
      <c r="PRU25" s="93"/>
      <c r="PRV25" s="88"/>
      <c r="PRW25" s="88"/>
      <c r="PRX25" s="91"/>
      <c r="PRY25" s="93"/>
      <c r="PRZ25" s="93"/>
      <c r="PSA25" s="88"/>
      <c r="PSB25" s="88"/>
      <c r="PSC25" s="90"/>
      <c r="PSD25" s="90"/>
      <c r="PSE25" s="88"/>
      <c r="PSF25" s="88"/>
      <c r="PSG25" s="90"/>
      <c r="PSH25" s="93"/>
      <c r="PSI25" s="88"/>
      <c r="PSJ25" s="88"/>
      <c r="PSK25" s="91"/>
      <c r="PSL25" s="93"/>
      <c r="PSM25" s="93"/>
      <c r="PSN25" s="88"/>
      <c r="PSO25" s="88"/>
      <c r="PSP25" s="90"/>
      <c r="PSQ25" s="90"/>
      <c r="PSR25" s="88"/>
      <c r="PSS25" s="88"/>
      <c r="PST25" s="90"/>
      <c r="PSU25" s="93"/>
      <c r="PSV25" s="88"/>
      <c r="PSW25" s="88"/>
      <c r="PSX25" s="91"/>
      <c r="PSY25" s="93"/>
      <c r="PSZ25" s="93"/>
      <c r="PTA25" s="88"/>
      <c r="PTB25" s="88"/>
      <c r="PTC25" s="90"/>
      <c r="PTD25" s="90"/>
      <c r="PTE25" s="88"/>
      <c r="PTF25" s="88"/>
      <c r="PTG25" s="90"/>
      <c r="PTH25" s="93"/>
      <c r="PTI25" s="88"/>
      <c r="PTJ25" s="88"/>
      <c r="PTK25" s="91"/>
      <c r="PTL25" s="93"/>
      <c r="PTM25" s="93"/>
      <c r="PTN25" s="88"/>
      <c r="PTO25" s="88"/>
      <c r="PTP25" s="90"/>
      <c r="PTQ25" s="90"/>
      <c r="PTR25" s="88"/>
      <c r="PTS25" s="88"/>
      <c r="PTT25" s="90"/>
      <c r="PTU25" s="93"/>
      <c r="PTV25" s="88"/>
      <c r="PTW25" s="88"/>
      <c r="PTX25" s="91"/>
      <c r="PTY25" s="93"/>
      <c r="PTZ25" s="93"/>
      <c r="PUA25" s="88"/>
      <c r="PUB25" s="88"/>
      <c r="PUC25" s="90"/>
      <c r="PUD25" s="90"/>
      <c r="PUE25" s="88"/>
      <c r="PUF25" s="88"/>
      <c r="PUG25" s="90"/>
      <c r="PUH25" s="93"/>
      <c r="PUI25" s="88"/>
      <c r="PUJ25" s="88"/>
      <c r="PUK25" s="91"/>
      <c r="PUL25" s="93"/>
      <c r="PUM25" s="93"/>
      <c r="PUN25" s="88"/>
      <c r="PUO25" s="88"/>
      <c r="PUP25" s="90"/>
      <c r="PUQ25" s="90"/>
      <c r="PUR25" s="88"/>
      <c r="PUS25" s="88"/>
      <c r="PUT25" s="90"/>
      <c r="PUU25" s="93"/>
      <c r="PUV25" s="88"/>
      <c r="PUW25" s="88"/>
      <c r="PUX25" s="91"/>
      <c r="PUY25" s="93"/>
      <c r="PUZ25" s="93"/>
      <c r="PVA25" s="88"/>
      <c r="PVB25" s="88"/>
      <c r="PVC25" s="90"/>
      <c r="PVD25" s="90"/>
      <c r="PVE25" s="88"/>
      <c r="PVF25" s="88"/>
      <c r="PVG25" s="90"/>
      <c r="PVH25" s="93"/>
      <c r="PVI25" s="88"/>
      <c r="PVJ25" s="88"/>
      <c r="PVK25" s="91"/>
      <c r="PVL25" s="93"/>
      <c r="PVM25" s="93"/>
      <c r="PVN25" s="88"/>
      <c r="PVO25" s="88"/>
      <c r="PVP25" s="90"/>
      <c r="PVQ25" s="90"/>
      <c r="PVR25" s="88"/>
      <c r="PVS25" s="88"/>
      <c r="PVT25" s="90"/>
      <c r="PVU25" s="93"/>
      <c r="PVV25" s="88"/>
      <c r="PVW25" s="88"/>
      <c r="PVX25" s="91"/>
      <c r="PVY25" s="93"/>
      <c r="PVZ25" s="93"/>
      <c r="PWA25" s="88"/>
      <c r="PWB25" s="88"/>
      <c r="PWC25" s="90"/>
      <c r="PWD25" s="90"/>
      <c r="PWE25" s="88"/>
      <c r="PWF25" s="88"/>
      <c r="PWG25" s="90"/>
      <c r="PWH25" s="93"/>
      <c r="PWI25" s="88"/>
      <c r="PWJ25" s="88"/>
      <c r="PWK25" s="91"/>
      <c r="PWL25" s="93"/>
      <c r="PWM25" s="93"/>
      <c r="PWN25" s="88"/>
      <c r="PWO25" s="88"/>
      <c r="PWP25" s="90"/>
      <c r="PWQ25" s="90"/>
      <c r="PWR25" s="88"/>
      <c r="PWS25" s="88"/>
      <c r="PWT25" s="90"/>
      <c r="PWU25" s="93"/>
      <c r="PWV25" s="88"/>
      <c r="PWW25" s="88"/>
      <c r="PWX25" s="91"/>
      <c r="PWY25" s="93"/>
      <c r="PWZ25" s="93"/>
      <c r="PXA25" s="88"/>
      <c r="PXB25" s="88"/>
      <c r="PXC25" s="90"/>
      <c r="PXD25" s="90"/>
      <c r="PXE25" s="88"/>
      <c r="PXF25" s="88"/>
      <c r="PXG25" s="90"/>
      <c r="PXH25" s="93"/>
      <c r="PXI25" s="88"/>
      <c r="PXJ25" s="88"/>
      <c r="PXK25" s="91"/>
      <c r="PXL25" s="93"/>
      <c r="PXM25" s="93"/>
      <c r="PXN25" s="88"/>
      <c r="PXO25" s="88"/>
      <c r="PXP25" s="90"/>
      <c r="PXQ25" s="90"/>
      <c r="PXR25" s="88"/>
      <c r="PXS25" s="88"/>
      <c r="PXT25" s="90"/>
      <c r="PXU25" s="93"/>
      <c r="PXV25" s="88"/>
      <c r="PXW25" s="88"/>
      <c r="PXX25" s="91"/>
      <c r="PXY25" s="93"/>
      <c r="PXZ25" s="93"/>
      <c r="PYA25" s="88"/>
      <c r="PYB25" s="88"/>
      <c r="PYC25" s="90"/>
      <c r="PYD25" s="90"/>
      <c r="PYE25" s="88"/>
      <c r="PYF25" s="88"/>
      <c r="PYG25" s="90"/>
      <c r="PYH25" s="93"/>
      <c r="PYI25" s="88"/>
      <c r="PYJ25" s="88"/>
      <c r="PYK25" s="91"/>
      <c r="PYL25" s="93"/>
      <c r="PYM25" s="93"/>
      <c r="PYN25" s="88"/>
      <c r="PYO25" s="88"/>
      <c r="PYP25" s="90"/>
      <c r="PYQ25" s="90"/>
      <c r="PYR25" s="88"/>
      <c r="PYS25" s="88"/>
      <c r="PYT25" s="90"/>
      <c r="PYU25" s="93"/>
      <c r="PYV25" s="88"/>
      <c r="PYW25" s="88"/>
      <c r="PYX25" s="91"/>
      <c r="PYY25" s="93"/>
      <c r="PYZ25" s="93"/>
      <c r="PZA25" s="88"/>
      <c r="PZB25" s="88"/>
      <c r="PZC25" s="90"/>
      <c r="PZD25" s="90"/>
      <c r="PZE25" s="88"/>
      <c r="PZF25" s="88"/>
      <c r="PZG25" s="90"/>
      <c r="PZH25" s="93"/>
      <c r="PZI25" s="88"/>
      <c r="PZJ25" s="88"/>
      <c r="PZK25" s="91"/>
      <c r="PZL25" s="93"/>
      <c r="PZM25" s="93"/>
      <c r="PZN25" s="88"/>
      <c r="PZO25" s="88"/>
      <c r="PZP25" s="90"/>
      <c r="PZQ25" s="90"/>
      <c r="PZR25" s="88"/>
      <c r="PZS25" s="88"/>
      <c r="PZT25" s="90"/>
      <c r="PZU25" s="93"/>
      <c r="PZV25" s="88"/>
      <c r="PZW25" s="88"/>
      <c r="PZX25" s="91"/>
      <c r="PZY25" s="93"/>
      <c r="PZZ25" s="93"/>
      <c r="QAA25" s="88"/>
      <c r="QAB25" s="88"/>
      <c r="QAC25" s="90"/>
      <c r="QAD25" s="90"/>
      <c r="QAE25" s="88"/>
      <c r="QAF25" s="88"/>
      <c r="QAG25" s="90"/>
      <c r="QAH25" s="93"/>
      <c r="QAI25" s="88"/>
      <c r="QAJ25" s="88"/>
      <c r="QAK25" s="91"/>
      <c r="QAL25" s="93"/>
      <c r="QAM25" s="93"/>
      <c r="QAN25" s="88"/>
      <c r="QAO25" s="88"/>
      <c r="QAP25" s="90"/>
      <c r="QAQ25" s="90"/>
      <c r="QAR25" s="88"/>
      <c r="QAS25" s="88"/>
      <c r="QAT25" s="90"/>
      <c r="QAU25" s="93"/>
      <c r="QAV25" s="88"/>
      <c r="QAW25" s="88"/>
      <c r="QAX25" s="91"/>
      <c r="QAY25" s="93"/>
      <c r="QAZ25" s="93"/>
      <c r="QBA25" s="88"/>
      <c r="QBB25" s="88"/>
      <c r="QBC25" s="90"/>
      <c r="QBD25" s="90"/>
      <c r="QBE25" s="88"/>
      <c r="QBF25" s="88"/>
      <c r="QBG25" s="90"/>
      <c r="QBH25" s="93"/>
      <c r="QBI25" s="88"/>
      <c r="QBJ25" s="88"/>
      <c r="QBK25" s="91"/>
      <c r="QBL25" s="93"/>
      <c r="QBM25" s="93"/>
      <c r="QBN25" s="88"/>
      <c r="QBO25" s="88"/>
      <c r="QBP25" s="90"/>
      <c r="QBQ25" s="90"/>
      <c r="QBR25" s="88"/>
      <c r="QBS25" s="88"/>
      <c r="QBT25" s="90"/>
      <c r="QBU25" s="93"/>
      <c r="QBV25" s="88"/>
      <c r="QBW25" s="88"/>
      <c r="QBX25" s="91"/>
      <c r="QBY25" s="93"/>
      <c r="QBZ25" s="93"/>
      <c r="QCA25" s="88"/>
      <c r="QCB25" s="88"/>
      <c r="QCC25" s="90"/>
      <c r="QCD25" s="90"/>
      <c r="QCE25" s="88"/>
      <c r="QCF25" s="88"/>
      <c r="QCG25" s="90"/>
      <c r="QCH25" s="93"/>
      <c r="QCI25" s="88"/>
      <c r="QCJ25" s="88"/>
      <c r="QCK25" s="91"/>
      <c r="QCL25" s="93"/>
      <c r="QCM25" s="93"/>
      <c r="QCN25" s="88"/>
      <c r="QCO25" s="88"/>
      <c r="QCP25" s="90"/>
      <c r="QCQ25" s="90"/>
      <c r="QCR25" s="88"/>
      <c r="QCS25" s="88"/>
      <c r="QCT25" s="90"/>
      <c r="QCU25" s="93"/>
      <c r="QCV25" s="88"/>
      <c r="QCW25" s="88"/>
      <c r="QCX25" s="91"/>
      <c r="QCY25" s="93"/>
      <c r="QCZ25" s="93"/>
      <c r="QDA25" s="88"/>
      <c r="QDB25" s="88"/>
      <c r="QDC25" s="90"/>
      <c r="QDD25" s="90"/>
      <c r="QDE25" s="88"/>
      <c r="QDF25" s="88"/>
      <c r="QDG25" s="90"/>
      <c r="QDH25" s="93"/>
      <c r="QDI25" s="88"/>
      <c r="QDJ25" s="88"/>
      <c r="QDK25" s="91"/>
      <c r="QDL25" s="93"/>
      <c r="QDM25" s="93"/>
      <c r="QDN25" s="88"/>
      <c r="QDO25" s="88"/>
      <c r="QDP25" s="90"/>
      <c r="QDQ25" s="90"/>
      <c r="QDR25" s="88"/>
      <c r="QDS25" s="88"/>
      <c r="QDT25" s="90"/>
      <c r="QDU25" s="93"/>
      <c r="QDV25" s="88"/>
      <c r="QDW25" s="88"/>
      <c r="QDX25" s="91"/>
      <c r="QDY25" s="93"/>
      <c r="QDZ25" s="93"/>
      <c r="QEA25" s="88"/>
      <c r="QEB25" s="88"/>
      <c r="QEC25" s="90"/>
      <c r="QED25" s="90"/>
      <c r="QEE25" s="88"/>
      <c r="QEF25" s="88"/>
      <c r="QEG25" s="90"/>
      <c r="QEH25" s="93"/>
      <c r="QEI25" s="88"/>
      <c r="QEJ25" s="88"/>
      <c r="QEK25" s="91"/>
      <c r="QEL25" s="93"/>
      <c r="QEM25" s="93"/>
      <c r="QEN25" s="88"/>
      <c r="QEO25" s="88"/>
      <c r="QEP25" s="90"/>
      <c r="QEQ25" s="90"/>
      <c r="QER25" s="88"/>
      <c r="QES25" s="88"/>
      <c r="QET25" s="90"/>
      <c r="QEU25" s="93"/>
      <c r="QEV25" s="88"/>
      <c r="QEW25" s="88"/>
      <c r="QEX25" s="91"/>
      <c r="QEY25" s="93"/>
      <c r="QEZ25" s="93"/>
      <c r="QFA25" s="88"/>
      <c r="QFB25" s="88"/>
      <c r="QFC25" s="90"/>
      <c r="QFD25" s="90"/>
      <c r="QFE25" s="88"/>
      <c r="QFF25" s="88"/>
      <c r="QFG25" s="90"/>
      <c r="QFH25" s="93"/>
      <c r="QFI25" s="88"/>
      <c r="QFJ25" s="88"/>
      <c r="QFK25" s="91"/>
      <c r="QFL25" s="93"/>
      <c r="QFM25" s="93"/>
      <c r="QFN25" s="88"/>
      <c r="QFO25" s="88"/>
      <c r="QFP25" s="90"/>
      <c r="QFQ25" s="90"/>
      <c r="QFR25" s="88"/>
      <c r="QFS25" s="88"/>
      <c r="QFT25" s="90"/>
      <c r="QFU25" s="93"/>
      <c r="QFV25" s="88"/>
      <c r="QFW25" s="88"/>
      <c r="QFX25" s="91"/>
      <c r="QFY25" s="93"/>
      <c r="QFZ25" s="93"/>
      <c r="QGA25" s="88"/>
      <c r="QGB25" s="88"/>
      <c r="QGC25" s="90"/>
      <c r="QGD25" s="90"/>
      <c r="QGE25" s="88"/>
      <c r="QGF25" s="88"/>
      <c r="QGG25" s="90"/>
      <c r="QGH25" s="93"/>
      <c r="QGI25" s="88"/>
      <c r="QGJ25" s="88"/>
      <c r="QGK25" s="91"/>
      <c r="QGL25" s="93"/>
      <c r="QGM25" s="93"/>
      <c r="QGN25" s="88"/>
      <c r="QGO25" s="88"/>
      <c r="QGP25" s="90"/>
      <c r="QGQ25" s="90"/>
      <c r="QGR25" s="88"/>
      <c r="QGS25" s="88"/>
      <c r="QGT25" s="90"/>
      <c r="QGU25" s="93"/>
      <c r="QGV25" s="88"/>
      <c r="QGW25" s="88"/>
      <c r="QGX25" s="91"/>
      <c r="QGY25" s="93"/>
      <c r="QGZ25" s="93"/>
      <c r="QHA25" s="88"/>
      <c r="QHB25" s="88"/>
      <c r="QHC25" s="90"/>
      <c r="QHD25" s="90"/>
      <c r="QHE25" s="88"/>
      <c r="QHF25" s="88"/>
      <c r="QHG25" s="90"/>
      <c r="QHH25" s="93"/>
      <c r="QHI25" s="88"/>
      <c r="QHJ25" s="88"/>
      <c r="QHK25" s="91"/>
      <c r="QHL25" s="93"/>
      <c r="QHM25" s="93"/>
      <c r="QHN25" s="88"/>
      <c r="QHO25" s="88"/>
      <c r="QHP25" s="90"/>
      <c r="QHQ25" s="90"/>
      <c r="QHR25" s="88"/>
      <c r="QHS25" s="88"/>
      <c r="QHT25" s="90"/>
      <c r="QHU25" s="93"/>
      <c r="QHV25" s="88"/>
      <c r="QHW25" s="88"/>
      <c r="QHX25" s="91"/>
      <c r="QHY25" s="93"/>
      <c r="QHZ25" s="93"/>
      <c r="QIA25" s="88"/>
      <c r="QIB25" s="88"/>
      <c r="QIC25" s="90"/>
      <c r="QID25" s="90"/>
      <c r="QIE25" s="88"/>
      <c r="QIF25" s="88"/>
      <c r="QIG25" s="90"/>
      <c r="QIH25" s="93"/>
      <c r="QII25" s="88"/>
      <c r="QIJ25" s="88"/>
      <c r="QIK25" s="91"/>
      <c r="QIL25" s="93"/>
      <c r="QIM25" s="93"/>
      <c r="QIN25" s="88"/>
      <c r="QIO25" s="88"/>
      <c r="QIP25" s="90"/>
      <c r="QIQ25" s="90"/>
      <c r="QIR25" s="88"/>
      <c r="QIS25" s="88"/>
      <c r="QIT25" s="90"/>
      <c r="QIU25" s="93"/>
      <c r="QIV25" s="88"/>
      <c r="QIW25" s="88"/>
      <c r="QIX25" s="91"/>
      <c r="QIY25" s="93"/>
      <c r="QIZ25" s="93"/>
      <c r="QJA25" s="88"/>
      <c r="QJB25" s="88"/>
      <c r="QJC25" s="90"/>
      <c r="QJD25" s="90"/>
      <c r="QJE25" s="88"/>
      <c r="QJF25" s="88"/>
      <c r="QJG25" s="90"/>
      <c r="QJH25" s="93"/>
      <c r="QJI25" s="88"/>
      <c r="QJJ25" s="88"/>
      <c r="QJK25" s="91"/>
      <c r="QJL25" s="93"/>
      <c r="QJM25" s="93"/>
      <c r="QJN25" s="88"/>
      <c r="QJO25" s="88"/>
      <c r="QJP25" s="90"/>
      <c r="QJQ25" s="90"/>
      <c r="QJR25" s="88"/>
      <c r="QJS25" s="88"/>
      <c r="QJT25" s="90"/>
      <c r="QJU25" s="93"/>
      <c r="QJV25" s="88"/>
      <c r="QJW25" s="88"/>
      <c r="QJX25" s="91"/>
      <c r="QJY25" s="93"/>
      <c r="QJZ25" s="93"/>
      <c r="QKA25" s="88"/>
      <c r="QKB25" s="88"/>
      <c r="QKC25" s="90"/>
      <c r="QKD25" s="90"/>
      <c r="QKE25" s="88"/>
      <c r="QKF25" s="88"/>
      <c r="QKG25" s="90"/>
      <c r="QKH25" s="93"/>
      <c r="QKI25" s="88"/>
      <c r="QKJ25" s="88"/>
      <c r="QKK25" s="91"/>
      <c r="QKL25" s="93"/>
      <c r="QKM25" s="93"/>
      <c r="QKN25" s="88"/>
      <c r="QKO25" s="88"/>
      <c r="QKP25" s="90"/>
      <c r="QKQ25" s="90"/>
      <c r="QKR25" s="88"/>
      <c r="QKS25" s="88"/>
      <c r="QKT25" s="90"/>
      <c r="QKU25" s="93"/>
      <c r="QKV25" s="88"/>
      <c r="QKW25" s="88"/>
      <c r="QKX25" s="91"/>
      <c r="QKY25" s="93"/>
      <c r="QKZ25" s="93"/>
      <c r="QLA25" s="88"/>
      <c r="QLB25" s="88"/>
      <c r="QLC25" s="90"/>
      <c r="QLD25" s="90"/>
      <c r="QLE25" s="88"/>
      <c r="QLF25" s="88"/>
      <c r="QLG25" s="90"/>
      <c r="QLH25" s="93"/>
      <c r="QLI25" s="88"/>
      <c r="QLJ25" s="88"/>
      <c r="QLK25" s="91"/>
      <c r="QLL25" s="93"/>
      <c r="QLM25" s="93"/>
      <c r="QLN25" s="88"/>
      <c r="QLO25" s="88"/>
      <c r="QLP25" s="90"/>
      <c r="QLQ25" s="90"/>
      <c r="QLR25" s="88"/>
      <c r="QLS25" s="88"/>
      <c r="QLT25" s="90"/>
      <c r="QLU25" s="93"/>
      <c r="QLV25" s="88"/>
      <c r="QLW25" s="88"/>
      <c r="QLX25" s="91"/>
      <c r="QLY25" s="93"/>
      <c r="QLZ25" s="93"/>
      <c r="QMA25" s="88"/>
      <c r="QMB25" s="88"/>
      <c r="QMC25" s="90"/>
      <c r="QMD25" s="90"/>
      <c r="QME25" s="88"/>
      <c r="QMF25" s="88"/>
      <c r="QMG25" s="90"/>
      <c r="QMH25" s="93"/>
      <c r="QMI25" s="88"/>
      <c r="QMJ25" s="88"/>
      <c r="QMK25" s="91"/>
      <c r="QML25" s="93"/>
      <c r="QMM25" s="93"/>
      <c r="QMN25" s="88"/>
      <c r="QMO25" s="88"/>
      <c r="QMP25" s="90"/>
      <c r="QMQ25" s="90"/>
      <c r="QMR25" s="88"/>
      <c r="QMS25" s="88"/>
      <c r="QMT25" s="90"/>
      <c r="QMU25" s="93"/>
      <c r="QMV25" s="88"/>
      <c r="QMW25" s="88"/>
      <c r="QMX25" s="91"/>
      <c r="QMY25" s="93"/>
      <c r="QMZ25" s="93"/>
      <c r="QNA25" s="88"/>
      <c r="QNB25" s="88"/>
      <c r="QNC25" s="90"/>
      <c r="QND25" s="90"/>
      <c r="QNE25" s="88"/>
      <c r="QNF25" s="88"/>
      <c r="QNG25" s="90"/>
      <c r="QNH25" s="93"/>
      <c r="QNI25" s="88"/>
      <c r="QNJ25" s="88"/>
      <c r="QNK25" s="91"/>
      <c r="QNL25" s="93"/>
      <c r="QNM25" s="93"/>
      <c r="QNN25" s="88"/>
      <c r="QNO25" s="88"/>
      <c r="QNP25" s="90"/>
      <c r="QNQ25" s="90"/>
      <c r="QNR25" s="88"/>
      <c r="QNS25" s="88"/>
      <c r="QNT25" s="90"/>
      <c r="QNU25" s="93"/>
      <c r="QNV25" s="88"/>
      <c r="QNW25" s="88"/>
      <c r="QNX25" s="91"/>
      <c r="QNY25" s="93"/>
      <c r="QNZ25" s="93"/>
      <c r="QOA25" s="88"/>
      <c r="QOB25" s="88"/>
      <c r="QOC25" s="90"/>
      <c r="QOD25" s="90"/>
      <c r="QOE25" s="88"/>
      <c r="QOF25" s="88"/>
      <c r="QOG25" s="90"/>
      <c r="QOH25" s="93"/>
      <c r="QOI25" s="88"/>
      <c r="QOJ25" s="88"/>
      <c r="QOK25" s="91"/>
      <c r="QOL25" s="93"/>
      <c r="QOM25" s="93"/>
      <c r="QON25" s="88"/>
      <c r="QOO25" s="88"/>
      <c r="QOP25" s="90"/>
      <c r="QOQ25" s="90"/>
      <c r="QOR25" s="88"/>
      <c r="QOS25" s="88"/>
      <c r="QOT25" s="90"/>
      <c r="QOU25" s="93"/>
      <c r="QOV25" s="88"/>
      <c r="QOW25" s="88"/>
      <c r="QOX25" s="91"/>
      <c r="QOY25" s="93"/>
      <c r="QOZ25" s="93"/>
      <c r="QPA25" s="88"/>
      <c r="QPB25" s="88"/>
      <c r="QPC25" s="90"/>
      <c r="QPD25" s="90"/>
      <c r="QPE25" s="88"/>
      <c r="QPF25" s="88"/>
      <c r="QPG25" s="90"/>
      <c r="QPH25" s="93"/>
      <c r="QPI25" s="88"/>
      <c r="QPJ25" s="88"/>
      <c r="QPK25" s="91"/>
      <c r="QPL25" s="93"/>
      <c r="QPM25" s="93"/>
      <c r="QPN25" s="88"/>
      <c r="QPO25" s="88"/>
      <c r="QPP25" s="90"/>
      <c r="QPQ25" s="90"/>
      <c r="QPR25" s="88"/>
      <c r="QPS25" s="88"/>
      <c r="QPT25" s="90"/>
      <c r="QPU25" s="93"/>
      <c r="QPV25" s="88"/>
      <c r="QPW25" s="88"/>
      <c r="QPX25" s="91"/>
      <c r="QPY25" s="93"/>
      <c r="QPZ25" s="93"/>
      <c r="QQA25" s="88"/>
      <c r="QQB25" s="88"/>
      <c r="QQC25" s="90"/>
      <c r="QQD25" s="90"/>
      <c r="QQE25" s="88"/>
      <c r="QQF25" s="88"/>
      <c r="QQG25" s="90"/>
      <c r="QQH25" s="93"/>
      <c r="QQI25" s="88"/>
      <c r="QQJ25" s="88"/>
      <c r="QQK25" s="91"/>
      <c r="QQL25" s="93"/>
      <c r="QQM25" s="93"/>
      <c r="QQN25" s="88"/>
      <c r="QQO25" s="88"/>
      <c r="QQP25" s="90"/>
      <c r="QQQ25" s="90"/>
      <c r="QQR25" s="88"/>
      <c r="QQS25" s="88"/>
      <c r="QQT25" s="90"/>
      <c r="QQU25" s="93"/>
      <c r="QQV25" s="88"/>
      <c r="QQW25" s="88"/>
      <c r="QQX25" s="91"/>
      <c r="QQY25" s="93"/>
      <c r="QQZ25" s="93"/>
      <c r="QRA25" s="88"/>
      <c r="QRB25" s="88"/>
      <c r="QRC25" s="90"/>
      <c r="QRD25" s="90"/>
      <c r="QRE25" s="88"/>
      <c r="QRF25" s="88"/>
      <c r="QRG25" s="90"/>
      <c r="QRH25" s="93"/>
      <c r="QRI25" s="88"/>
      <c r="QRJ25" s="88"/>
      <c r="QRK25" s="91"/>
      <c r="QRL25" s="93"/>
      <c r="QRM25" s="93"/>
      <c r="QRN25" s="88"/>
      <c r="QRO25" s="88"/>
      <c r="QRP25" s="90"/>
      <c r="QRQ25" s="90"/>
      <c r="QRR25" s="88"/>
      <c r="QRS25" s="88"/>
      <c r="QRT25" s="90"/>
      <c r="QRU25" s="93"/>
      <c r="QRV25" s="88"/>
      <c r="QRW25" s="88"/>
      <c r="QRX25" s="91"/>
      <c r="QRY25" s="93"/>
      <c r="QRZ25" s="93"/>
      <c r="QSA25" s="88"/>
      <c r="QSB25" s="88"/>
      <c r="QSC25" s="90"/>
      <c r="QSD25" s="90"/>
      <c r="QSE25" s="88"/>
      <c r="QSF25" s="88"/>
      <c r="QSG25" s="90"/>
      <c r="QSH25" s="93"/>
      <c r="QSI25" s="88"/>
      <c r="QSJ25" s="88"/>
      <c r="QSK25" s="91"/>
      <c r="QSL25" s="93"/>
      <c r="QSM25" s="93"/>
      <c r="QSN25" s="88"/>
      <c r="QSO25" s="88"/>
      <c r="QSP25" s="90"/>
      <c r="QSQ25" s="90"/>
      <c r="QSR25" s="88"/>
      <c r="QSS25" s="88"/>
      <c r="QST25" s="90"/>
      <c r="QSU25" s="93"/>
      <c r="QSV25" s="88"/>
      <c r="QSW25" s="88"/>
      <c r="QSX25" s="91"/>
      <c r="QSY25" s="93"/>
      <c r="QSZ25" s="93"/>
      <c r="QTA25" s="88"/>
      <c r="QTB25" s="88"/>
      <c r="QTC25" s="90"/>
      <c r="QTD25" s="90"/>
      <c r="QTE25" s="88"/>
      <c r="QTF25" s="88"/>
      <c r="QTG25" s="90"/>
      <c r="QTH25" s="93"/>
      <c r="QTI25" s="88"/>
      <c r="QTJ25" s="88"/>
      <c r="QTK25" s="91"/>
      <c r="QTL25" s="93"/>
      <c r="QTM25" s="93"/>
      <c r="QTN25" s="88"/>
      <c r="QTO25" s="88"/>
      <c r="QTP25" s="90"/>
      <c r="QTQ25" s="90"/>
      <c r="QTR25" s="88"/>
      <c r="QTS25" s="88"/>
      <c r="QTT25" s="90"/>
      <c r="QTU25" s="93"/>
      <c r="QTV25" s="88"/>
      <c r="QTW25" s="88"/>
      <c r="QTX25" s="91"/>
      <c r="QTY25" s="93"/>
      <c r="QTZ25" s="93"/>
      <c r="QUA25" s="88"/>
      <c r="QUB25" s="88"/>
      <c r="QUC25" s="90"/>
      <c r="QUD25" s="90"/>
      <c r="QUE25" s="88"/>
      <c r="QUF25" s="88"/>
      <c r="QUG25" s="90"/>
      <c r="QUH25" s="93"/>
      <c r="QUI25" s="88"/>
      <c r="QUJ25" s="88"/>
      <c r="QUK25" s="91"/>
      <c r="QUL25" s="93"/>
      <c r="QUM25" s="93"/>
      <c r="QUN25" s="88"/>
      <c r="QUO25" s="88"/>
      <c r="QUP25" s="90"/>
      <c r="QUQ25" s="90"/>
      <c r="QUR25" s="88"/>
      <c r="QUS25" s="88"/>
      <c r="QUT25" s="90"/>
      <c r="QUU25" s="93"/>
      <c r="QUV25" s="88"/>
      <c r="QUW25" s="88"/>
      <c r="QUX25" s="91"/>
      <c r="QUY25" s="93"/>
      <c r="QUZ25" s="93"/>
      <c r="QVA25" s="88"/>
      <c r="QVB25" s="88"/>
      <c r="QVC25" s="90"/>
      <c r="QVD25" s="90"/>
      <c r="QVE25" s="88"/>
      <c r="QVF25" s="88"/>
      <c r="QVG25" s="90"/>
      <c r="QVH25" s="93"/>
      <c r="QVI25" s="88"/>
      <c r="QVJ25" s="88"/>
      <c r="QVK25" s="91"/>
      <c r="QVL25" s="93"/>
      <c r="QVM25" s="93"/>
      <c r="QVN25" s="88"/>
      <c r="QVO25" s="88"/>
      <c r="QVP25" s="90"/>
      <c r="QVQ25" s="90"/>
      <c r="QVR25" s="88"/>
      <c r="QVS25" s="88"/>
      <c r="QVT25" s="90"/>
      <c r="QVU25" s="93"/>
      <c r="QVV25" s="88"/>
      <c r="QVW25" s="88"/>
      <c r="QVX25" s="91"/>
      <c r="QVY25" s="93"/>
      <c r="QVZ25" s="93"/>
      <c r="QWA25" s="88"/>
      <c r="QWB25" s="88"/>
      <c r="QWC25" s="90"/>
      <c r="QWD25" s="90"/>
      <c r="QWE25" s="88"/>
      <c r="QWF25" s="88"/>
      <c r="QWG25" s="90"/>
      <c r="QWH25" s="93"/>
      <c r="QWI25" s="88"/>
      <c r="QWJ25" s="88"/>
      <c r="QWK25" s="91"/>
      <c r="QWL25" s="93"/>
      <c r="QWM25" s="93"/>
      <c r="QWN25" s="88"/>
      <c r="QWO25" s="88"/>
      <c r="QWP25" s="90"/>
      <c r="QWQ25" s="90"/>
      <c r="QWR25" s="88"/>
      <c r="QWS25" s="88"/>
      <c r="QWT25" s="90"/>
      <c r="QWU25" s="93"/>
      <c r="QWV25" s="88"/>
      <c r="QWW25" s="88"/>
      <c r="QWX25" s="91"/>
      <c r="QWY25" s="93"/>
      <c r="QWZ25" s="93"/>
      <c r="QXA25" s="88"/>
      <c r="QXB25" s="88"/>
      <c r="QXC25" s="90"/>
      <c r="QXD25" s="90"/>
      <c r="QXE25" s="88"/>
      <c r="QXF25" s="88"/>
      <c r="QXG25" s="90"/>
      <c r="QXH25" s="93"/>
      <c r="QXI25" s="88"/>
      <c r="QXJ25" s="88"/>
      <c r="QXK25" s="91"/>
      <c r="QXL25" s="93"/>
      <c r="QXM25" s="93"/>
      <c r="QXN25" s="88"/>
      <c r="QXO25" s="88"/>
      <c r="QXP25" s="90"/>
      <c r="QXQ25" s="90"/>
      <c r="QXR25" s="88"/>
      <c r="QXS25" s="88"/>
      <c r="QXT25" s="90"/>
      <c r="QXU25" s="93"/>
      <c r="QXV25" s="88"/>
      <c r="QXW25" s="88"/>
      <c r="QXX25" s="91"/>
      <c r="QXY25" s="93"/>
      <c r="QXZ25" s="93"/>
      <c r="QYA25" s="88"/>
      <c r="QYB25" s="88"/>
      <c r="QYC25" s="90"/>
      <c r="QYD25" s="90"/>
      <c r="QYE25" s="88"/>
      <c r="QYF25" s="88"/>
      <c r="QYG25" s="90"/>
      <c r="QYH25" s="93"/>
      <c r="QYI25" s="88"/>
      <c r="QYJ25" s="88"/>
      <c r="QYK25" s="91"/>
      <c r="QYL25" s="93"/>
      <c r="QYM25" s="93"/>
      <c r="QYN25" s="88"/>
      <c r="QYO25" s="88"/>
      <c r="QYP25" s="90"/>
      <c r="QYQ25" s="90"/>
      <c r="QYR25" s="88"/>
      <c r="QYS25" s="88"/>
      <c r="QYT25" s="90"/>
      <c r="QYU25" s="93"/>
      <c r="QYV25" s="88"/>
      <c r="QYW25" s="88"/>
      <c r="QYX25" s="91"/>
      <c r="QYY25" s="93"/>
      <c r="QYZ25" s="93"/>
      <c r="QZA25" s="88"/>
      <c r="QZB25" s="88"/>
      <c r="QZC25" s="90"/>
      <c r="QZD25" s="90"/>
      <c r="QZE25" s="88"/>
      <c r="QZF25" s="88"/>
      <c r="QZG25" s="90"/>
      <c r="QZH25" s="93"/>
      <c r="QZI25" s="88"/>
      <c r="QZJ25" s="88"/>
      <c r="QZK25" s="91"/>
      <c r="QZL25" s="93"/>
      <c r="QZM25" s="93"/>
      <c r="QZN25" s="88"/>
      <c r="QZO25" s="88"/>
      <c r="QZP25" s="90"/>
      <c r="QZQ25" s="90"/>
      <c r="QZR25" s="88"/>
      <c r="QZS25" s="88"/>
      <c r="QZT25" s="90"/>
      <c r="QZU25" s="93"/>
      <c r="QZV25" s="88"/>
      <c r="QZW25" s="88"/>
      <c r="QZX25" s="91"/>
      <c r="QZY25" s="93"/>
      <c r="QZZ25" s="93"/>
      <c r="RAA25" s="88"/>
      <c r="RAB25" s="88"/>
      <c r="RAC25" s="90"/>
      <c r="RAD25" s="90"/>
      <c r="RAE25" s="88"/>
      <c r="RAF25" s="88"/>
      <c r="RAG25" s="90"/>
      <c r="RAH25" s="93"/>
      <c r="RAI25" s="88"/>
      <c r="RAJ25" s="88"/>
      <c r="RAK25" s="91"/>
      <c r="RAL25" s="93"/>
      <c r="RAM25" s="93"/>
      <c r="RAN25" s="88"/>
      <c r="RAO25" s="88"/>
      <c r="RAP25" s="90"/>
      <c r="RAQ25" s="90"/>
      <c r="RAR25" s="88"/>
      <c r="RAS25" s="88"/>
      <c r="RAT25" s="90"/>
      <c r="RAU25" s="93"/>
      <c r="RAV25" s="88"/>
      <c r="RAW25" s="88"/>
      <c r="RAX25" s="91"/>
      <c r="RAY25" s="93"/>
      <c r="RAZ25" s="93"/>
      <c r="RBA25" s="88"/>
      <c r="RBB25" s="88"/>
      <c r="RBC25" s="90"/>
      <c r="RBD25" s="90"/>
      <c r="RBE25" s="88"/>
      <c r="RBF25" s="88"/>
      <c r="RBG25" s="90"/>
      <c r="RBH25" s="93"/>
      <c r="RBI25" s="88"/>
      <c r="RBJ25" s="88"/>
      <c r="RBK25" s="91"/>
      <c r="RBL25" s="93"/>
      <c r="RBM25" s="93"/>
      <c r="RBN25" s="88"/>
      <c r="RBO25" s="88"/>
      <c r="RBP25" s="90"/>
      <c r="RBQ25" s="90"/>
      <c r="RBR25" s="88"/>
      <c r="RBS25" s="88"/>
      <c r="RBT25" s="90"/>
      <c r="RBU25" s="93"/>
      <c r="RBV25" s="88"/>
      <c r="RBW25" s="88"/>
      <c r="RBX25" s="91"/>
      <c r="RBY25" s="93"/>
      <c r="RBZ25" s="93"/>
      <c r="RCA25" s="88"/>
      <c r="RCB25" s="88"/>
      <c r="RCC25" s="90"/>
      <c r="RCD25" s="90"/>
      <c r="RCE25" s="88"/>
      <c r="RCF25" s="88"/>
      <c r="RCG25" s="90"/>
      <c r="RCH25" s="93"/>
      <c r="RCI25" s="88"/>
      <c r="RCJ25" s="88"/>
      <c r="RCK25" s="91"/>
      <c r="RCL25" s="93"/>
      <c r="RCM25" s="93"/>
      <c r="RCN25" s="88"/>
      <c r="RCO25" s="88"/>
      <c r="RCP25" s="90"/>
      <c r="RCQ25" s="90"/>
      <c r="RCR25" s="88"/>
      <c r="RCS25" s="88"/>
      <c r="RCT25" s="90"/>
      <c r="RCU25" s="93"/>
      <c r="RCV25" s="88"/>
      <c r="RCW25" s="88"/>
      <c r="RCX25" s="91"/>
      <c r="RCY25" s="93"/>
      <c r="RCZ25" s="93"/>
      <c r="RDA25" s="88"/>
      <c r="RDB25" s="88"/>
      <c r="RDC25" s="90"/>
      <c r="RDD25" s="90"/>
      <c r="RDE25" s="88"/>
      <c r="RDF25" s="88"/>
      <c r="RDG25" s="90"/>
      <c r="RDH25" s="93"/>
      <c r="RDI25" s="88"/>
      <c r="RDJ25" s="88"/>
      <c r="RDK25" s="91"/>
      <c r="RDL25" s="93"/>
      <c r="RDM25" s="93"/>
      <c r="RDN25" s="88"/>
      <c r="RDO25" s="88"/>
      <c r="RDP25" s="90"/>
      <c r="RDQ25" s="90"/>
      <c r="RDR25" s="88"/>
      <c r="RDS25" s="88"/>
      <c r="RDT25" s="90"/>
      <c r="RDU25" s="93"/>
      <c r="RDV25" s="88"/>
      <c r="RDW25" s="88"/>
      <c r="RDX25" s="91"/>
      <c r="RDY25" s="93"/>
      <c r="RDZ25" s="93"/>
      <c r="REA25" s="88"/>
      <c r="REB25" s="88"/>
      <c r="REC25" s="90"/>
      <c r="RED25" s="90"/>
      <c r="REE25" s="88"/>
      <c r="REF25" s="88"/>
      <c r="REG25" s="90"/>
      <c r="REH25" s="93"/>
      <c r="REI25" s="88"/>
      <c r="REJ25" s="88"/>
      <c r="REK25" s="91"/>
      <c r="REL25" s="93"/>
      <c r="REM25" s="93"/>
      <c r="REN25" s="88"/>
      <c r="REO25" s="88"/>
      <c r="REP25" s="90"/>
      <c r="REQ25" s="90"/>
      <c r="RER25" s="88"/>
      <c r="RES25" s="88"/>
      <c r="RET25" s="90"/>
      <c r="REU25" s="93"/>
      <c r="REV25" s="88"/>
      <c r="REW25" s="88"/>
      <c r="REX25" s="91"/>
      <c r="REY25" s="93"/>
      <c r="REZ25" s="93"/>
      <c r="RFA25" s="88"/>
      <c r="RFB25" s="88"/>
      <c r="RFC25" s="90"/>
      <c r="RFD25" s="90"/>
      <c r="RFE25" s="88"/>
      <c r="RFF25" s="88"/>
      <c r="RFG25" s="90"/>
      <c r="RFH25" s="93"/>
      <c r="RFI25" s="88"/>
      <c r="RFJ25" s="88"/>
      <c r="RFK25" s="91"/>
      <c r="RFL25" s="93"/>
      <c r="RFM25" s="93"/>
      <c r="RFN25" s="88"/>
      <c r="RFO25" s="88"/>
      <c r="RFP25" s="90"/>
      <c r="RFQ25" s="90"/>
      <c r="RFR25" s="88"/>
      <c r="RFS25" s="88"/>
      <c r="RFT25" s="90"/>
      <c r="RFU25" s="93"/>
      <c r="RFV25" s="88"/>
      <c r="RFW25" s="88"/>
      <c r="RFX25" s="91"/>
      <c r="RFY25" s="93"/>
      <c r="RFZ25" s="93"/>
      <c r="RGA25" s="88"/>
      <c r="RGB25" s="88"/>
      <c r="RGC25" s="90"/>
      <c r="RGD25" s="90"/>
      <c r="RGE25" s="88"/>
      <c r="RGF25" s="88"/>
      <c r="RGG25" s="90"/>
      <c r="RGH25" s="93"/>
      <c r="RGI25" s="88"/>
      <c r="RGJ25" s="88"/>
      <c r="RGK25" s="91"/>
      <c r="RGL25" s="93"/>
      <c r="RGM25" s="93"/>
      <c r="RGN25" s="88"/>
      <c r="RGO25" s="88"/>
      <c r="RGP25" s="90"/>
      <c r="RGQ25" s="90"/>
      <c r="RGR25" s="88"/>
      <c r="RGS25" s="88"/>
      <c r="RGT25" s="90"/>
      <c r="RGU25" s="93"/>
      <c r="RGV25" s="88"/>
      <c r="RGW25" s="88"/>
      <c r="RGX25" s="91"/>
      <c r="RGY25" s="93"/>
      <c r="RGZ25" s="93"/>
      <c r="RHA25" s="88"/>
      <c r="RHB25" s="88"/>
      <c r="RHC25" s="90"/>
      <c r="RHD25" s="90"/>
      <c r="RHE25" s="88"/>
      <c r="RHF25" s="88"/>
      <c r="RHG25" s="90"/>
      <c r="RHH25" s="93"/>
      <c r="RHI25" s="88"/>
      <c r="RHJ25" s="88"/>
      <c r="RHK25" s="91"/>
      <c r="RHL25" s="93"/>
      <c r="RHM25" s="93"/>
      <c r="RHN25" s="88"/>
      <c r="RHO25" s="88"/>
      <c r="RHP25" s="90"/>
      <c r="RHQ25" s="90"/>
      <c r="RHR25" s="88"/>
      <c r="RHS25" s="88"/>
      <c r="RHT25" s="90"/>
      <c r="RHU25" s="93"/>
      <c r="RHV25" s="88"/>
      <c r="RHW25" s="88"/>
      <c r="RHX25" s="91"/>
      <c r="RHY25" s="93"/>
      <c r="RHZ25" s="93"/>
      <c r="RIA25" s="88"/>
      <c r="RIB25" s="88"/>
      <c r="RIC25" s="90"/>
      <c r="RID25" s="90"/>
      <c r="RIE25" s="88"/>
      <c r="RIF25" s="88"/>
      <c r="RIG25" s="90"/>
      <c r="RIH25" s="93"/>
      <c r="RII25" s="88"/>
      <c r="RIJ25" s="88"/>
      <c r="RIK25" s="91"/>
      <c r="RIL25" s="93"/>
      <c r="RIM25" s="93"/>
      <c r="RIN25" s="88"/>
      <c r="RIO25" s="88"/>
      <c r="RIP25" s="90"/>
      <c r="RIQ25" s="90"/>
      <c r="RIR25" s="88"/>
      <c r="RIS25" s="88"/>
      <c r="RIT25" s="90"/>
      <c r="RIU25" s="93"/>
      <c r="RIV25" s="88"/>
      <c r="RIW25" s="88"/>
      <c r="RIX25" s="91"/>
      <c r="RIY25" s="93"/>
      <c r="RIZ25" s="93"/>
      <c r="RJA25" s="88"/>
      <c r="RJB25" s="88"/>
      <c r="RJC25" s="90"/>
      <c r="RJD25" s="90"/>
      <c r="RJE25" s="88"/>
      <c r="RJF25" s="88"/>
      <c r="RJG25" s="90"/>
      <c r="RJH25" s="93"/>
      <c r="RJI25" s="88"/>
      <c r="RJJ25" s="88"/>
      <c r="RJK25" s="91"/>
      <c r="RJL25" s="93"/>
      <c r="RJM25" s="93"/>
      <c r="RJN25" s="88"/>
      <c r="RJO25" s="88"/>
      <c r="RJP25" s="90"/>
      <c r="RJQ25" s="90"/>
      <c r="RJR25" s="88"/>
      <c r="RJS25" s="88"/>
      <c r="RJT25" s="90"/>
      <c r="RJU25" s="93"/>
      <c r="RJV25" s="88"/>
      <c r="RJW25" s="88"/>
      <c r="RJX25" s="91"/>
      <c r="RJY25" s="93"/>
      <c r="RJZ25" s="93"/>
      <c r="RKA25" s="88"/>
      <c r="RKB25" s="88"/>
      <c r="RKC25" s="90"/>
      <c r="RKD25" s="90"/>
      <c r="RKE25" s="88"/>
      <c r="RKF25" s="88"/>
      <c r="RKG25" s="90"/>
      <c r="RKH25" s="93"/>
      <c r="RKI25" s="88"/>
      <c r="RKJ25" s="88"/>
      <c r="RKK25" s="91"/>
      <c r="RKL25" s="93"/>
      <c r="RKM25" s="93"/>
      <c r="RKN25" s="88"/>
      <c r="RKO25" s="88"/>
      <c r="RKP25" s="90"/>
      <c r="RKQ25" s="90"/>
      <c r="RKR25" s="88"/>
      <c r="RKS25" s="88"/>
      <c r="RKT25" s="90"/>
      <c r="RKU25" s="93"/>
      <c r="RKV25" s="88"/>
      <c r="RKW25" s="88"/>
      <c r="RKX25" s="91"/>
      <c r="RKY25" s="93"/>
      <c r="RKZ25" s="93"/>
      <c r="RLA25" s="88"/>
      <c r="RLB25" s="88"/>
      <c r="RLC25" s="90"/>
      <c r="RLD25" s="90"/>
      <c r="RLE25" s="88"/>
      <c r="RLF25" s="88"/>
      <c r="RLG25" s="90"/>
      <c r="RLH25" s="93"/>
      <c r="RLI25" s="88"/>
      <c r="RLJ25" s="88"/>
      <c r="RLK25" s="91"/>
      <c r="RLL25" s="93"/>
      <c r="RLM25" s="93"/>
      <c r="RLN25" s="88"/>
      <c r="RLO25" s="88"/>
      <c r="RLP25" s="90"/>
      <c r="RLQ25" s="90"/>
      <c r="RLR25" s="88"/>
      <c r="RLS25" s="88"/>
      <c r="RLT25" s="90"/>
      <c r="RLU25" s="93"/>
      <c r="RLV25" s="88"/>
      <c r="RLW25" s="88"/>
      <c r="RLX25" s="91"/>
      <c r="RLY25" s="93"/>
      <c r="RLZ25" s="93"/>
      <c r="RMA25" s="88"/>
      <c r="RMB25" s="88"/>
      <c r="RMC25" s="90"/>
      <c r="RMD25" s="90"/>
      <c r="RME25" s="88"/>
      <c r="RMF25" s="88"/>
      <c r="RMG25" s="90"/>
      <c r="RMH25" s="93"/>
      <c r="RMI25" s="88"/>
      <c r="RMJ25" s="88"/>
      <c r="RMK25" s="91"/>
      <c r="RML25" s="93"/>
      <c r="RMM25" s="93"/>
      <c r="RMN25" s="88"/>
      <c r="RMO25" s="88"/>
      <c r="RMP25" s="90"/>
      <c r="RMQ25" s="90"/>
      <c r="RMR25" s="88"/>
      <c r="RMS25" s="88"/>
      <c r="RMT25" s="90"/>
      <c r="RMU25" s="93"/>
      <c r="RMV25" s="88"/>
      <c r="RMW25" s="88"/>
      <c r="RMX25" s="91"/>
      <c r="RMY25" s="93"/>
      <c r="RMZ25" s="93"/>
      <c r="RNA25" s="88"/>
      <c r="RNB25" s="88"/>
      <c r="RNC25" s="90"/>
      <c r="RND25" s="90"/>
      <c r="RNE25" s="88"/>
      <c r="RNF25" s="88"/>
      <c r="RNG25" s="90"/>
      <c r="RNH25" s="93"/>
      <c r="RNI25" s="88"/>
      <c r="RNJ25" s="88"/>
      <c r="RNK25" s="91"/>
      <c r="RNL25" s="93"/>
      <c r="RNM25" s="93"/>
      <c r="RNN25" s="88"/>
      <c r="RNO25" s="88"/>
      <c r="RNP25" s="90"/>
      <c r="RNQ25" s="90"/>
      <c r="RNR25" s="88"/>
      <c r="RNS25" s="88"/>
      <c r="RNT25" s="90"/>
      <c r="RNU25" s="93"/>
      <c r="RNV25" s="88"/>
      <c r="RNW25" s="88"/>
      <c r="RNX25" s="91"/>
      <c r="RNY25" s="93"/>
      <c r="RNZ25" s="93"/>
      <c r="ROA25" s="88"/>
      <c r="ROB25" s="88"/>
      <c r="ROC25" s="90"/>
      <c r="ROD25" s="90"/>
      <c r="ROE25" s="88"/>
      <c r="ROF25" s="88"/>
      <c r="ROG25" s="90"/>
      <c r="ROH25" s="93"/>
      <c r="ROI25" s="88"/>
      <c r="ROJ25" s="88"/>
      <c r="ROK25" s="91"/>
      <c r="ROL25" s="93"/>
      <c r="ROM25" s="93"/>
      <c r="RON25" s="88"/>
      <c r="ROO25" s="88"/>
      <c r="ROP25" s="90"/>
      <c r="ROQ25" s="90"/>
      <c r="ROR25" s="88"/>
      <c r="ROS25" s="88"/>
      <c r="ROT25" s="90"/>
      <c r="ROU25" s="93"/>
      <c r="ROV25" s="88"/>
      <c r="ROW25" s="88"/>
      <c r="ROX25" s="91"/>
      <c r="ROY25" s="93"/>
      <c r="ROZ25" s="93"/>
      <c r="RPA25" s="88"/>
      <c r="RPB25" s="88"/>
      <c r="RPC25" s="90"/>
      <c r="RPD25" s="90"/>
      <c r="RPE25" s="88"/>
      <c r="RPF25" s="88"/>
      <c r="RPG25" s="90"/>
      <c r="RPH25" s="93"/>
      <c r="RPI25" s="88"/>
      <c r="RPJ25" s="88"/>
      <c r="RPK25" s="91"/>
      <c r="RPL25" s="93"/>
      <c r="RPM25" s="93"/>
      <c r="RPN25" s="88"/>
      <c r="RPO25" s="88"/>
      <c r="RPP25" s="90"/>
      <c r="RPQ25" s="90"/>
      <c r="RPR25" s="88"/>
      <c r="RPS25" s="88"/>
      <c r="RPT25" s="90"/>
      <c r="RPU25" s="93"/>
      <c r="RPV25" s="88"/>
      <c r="RPW25" s="88"/>
      <c r="RPX25" s="91"/>
      <c r="RPY25" s="93"/>
      <c r="RPZ25" s="93"/>
      <c r="RQA25" s="88"/>
      <c r="RQB25" s="88"/>
      <c r="RQC25" s="90"/>
      <c r="RQD25" s="90"/>
      <c r="RQE25" s="88"/>
      <c r="RQF25" s="88"/>
      <c r="RQG25" s="90"/>
      <c r="RQH25" s="93"/>
      <c r="RQI25" s="88"/>
      <c r="RQJ25" s="88"/>
      <c r="RQK25" s="91"/>
      <c r="RQL25" s="93"/>
      <c r="RQM25" s="93"/>
      <c r="RQN25" s="88"/>
      <c r="RQO25" s="88"/>
      <c r="RQP25" s="90"/>
      <c r="RQQ25" s="90"/>
      <c r="RQR25" s="88"/>
      <c r="RQS25" s="88"/>
      <c r="RQT25" s="90"/>
      <c r="RQU25" s="93"/>
      <c r="RQV25" s="88"/>
      <c r="RQW25" s="88"/>
      <c r="RQX25" s="91"/>
      <c r="RQY25" s="93"/>
      <c r="RQZ25" s="93"/>
      <c r="RRA25" s="88"/>
      <c r="RRB25" s="88"/>
      <c r="RRC25" s="90"/>
      <c r="RRD25" s="90"/>
      <c r="RRE25" s="88"/>
      <c r="RRF25" s="88"/>
      <c r="RRG25" s="90"/>
      <c r="RRH25" s="93"/>
      <c r="RRI25" s="88"/>
      <c r="RRJ25" s="88"/>
      <c r="RRK25" s="91"/>
      <c r="RRL25" s="93"/>
      <c r="RRM25" s="93"/>
      <c r="RRN25" s="88"/>
      <c r="RRO25" s="88"/>
      <c r="RRP25" s="90"/>
      <c r="RRQ25" s="90"/>
      <c r="RRR25" s="88"/>
      <c r="RRS25" s="88"/>
      <c r="RRT25" s="90"/>
      <c r="RRU25" s="93"/>
      <c r="RRV25" s="88"/>
      <c r="RRW25" s="88"/>
      <c r="RRX25" s="91"/>
      <c r="RRY25" s="93"/>
      <c r="RRZ25" s="93"/>
      <c r="RSA25" s="88"/>
      <c r="RSB25" s="88"/>
      <c r="RSC25" s="90"/>
      <c r="RSD25" s="90"/>
      <c r="RSE25" s="88"/>
      <c r="RSF25" s="88"/>
      <c r="RSG25" s="90"/>
      <c r="RSH25" s="93"/>
      <c r="RSI25" s="88"/>
      <c r="RSJ25" s="88"/>
      <c r="RSK25" s="91"/>
      <c r="RSL25" s="93"/>
      <c r="RSM25" s="93"/>
      <c r="RSN25" s="88"/>
      <c r="RSO25" s="88"/>
      <c r="RSP25" s="90"/>
      <c r="RSQ25" s="90"/>
      <c r="RSR25" s="88"/>
      <c r="RSS25" s="88"/>
      <c r="RST25" s="90"/>
      <c r="RSU25" s="93"/>
      <c r="RSV25" s="88"/>
      <c r="RSW25" s="88"/>
      <c r="RSX25" s="91"/>
      <c r="RSY25" s="93"/>
      <c r="RSZ25" s="93"/>
      <c r="RTA25" s="88"/>
      <c r="RTB25" s="88"/>
      <c r="RTC25" s="90"/>
      <c r="RTD25" s="90"/>
      <c r="RTE25" s="88"/>
      <c r="RTF25" s="88"/>
      <c r="RTG25" s="90"/>
      <c r="RTH25" s="93"/>
      <c r="RTI25" s="88"/>
      <c r="RTJ25" s="88"/>
      <c r="RTK25" s="91"/>
      <c r="RTL25" s="93"/>
      <c r="RTM25" s="93"/>
      <c r="RTN25" s="88"/>
      <c r="RTO25" s="88"/>
      <c r="RTP25" s="90"/>
      <c r="RTQ25" s="90"/>
      <c r="RTR25" s="88"/>
      <c r="RTS25" s="88"/>
      <c r="RTT25" s="90"/>
      <c r="RTU25" s="93"/>
      <c r="RTV25" s="88"/>
      <c r="RTW25" s="88"/>
      <c r="RTX25" s="91"/>
      <c r="RTY25" s="93"/>
      <c r="RTZ25" s="93"/>
      <c r="RUA25" s="88"/>
      <c r="RUB25" s="88"/>
      <c r="RUC25" s="90"/>
      <c r="RUD25" s="90"/>
      <c r="RUE25" s="88"/>
      <c r="RUF25" s="88"/>
      <c r="RUG25" s="90"/>
      <c r="RUH25" s="93"/>
      <c r="RUI25" s="88"/>
      <c r="RUJ25" s="88"/>
      <c r="RUK25" s="91"/>
      <c r="RUL25" s="93"/>
      <c r="RUM25" s="93"/>
      <c r="RUN25" s="88"/>
      <c r="RUO25" s="88"/>
      <c r="RUP25" s="90"/>
      <c r="RUQ25" s="90"/>
      <c r="RUR25" s="88"/>
      <c r="RUS25" s="88"/>
      <c r="RUT25" s="90"/>
      <c r="RUU25" s="93"/>
      <c r="RUV25" s="88"/>
      <c r="RUW25" s="88"/>
      <c r="RUX25" s="91"/>
      <c r="RUY25" s="93"/>
      <c r="RUZ25" s="93"/>
      <c r="RVA25" s="88"/>
      <c r="RVB25" s="88"/>
      <c r="RVC25" s="90"/>
      <c r="RVD25" s="90"/>
      <c r="RVE25" s="88"/>
      <c r="RVF25" s="88"/>
      <c r="RVG25" s="90"/>
      <c r="RVH25" s="93"/>
      <c r="RVI25" s="88"/>
      <c r="RVJ25" s="88"/>
      <c r="RVK25" s="91"/>
      <c r="RVL25" s="93"/>
      <c r="RVM25" s="93"/>
      <c r="RVN25" s="88"/>
      <c r="RVO25" s="88"/>
      <c r="RVP25" s="90"/>
      <c r="RVQ25" s="90"/>
      <c r="RVR25" s="88"/>
      <c r="RVS25" s="88"/>
      <c r="RVT25" s="90"/>
      <c r="RVU25" s="93"/>
      <c r="RVV25" s="88"/>
      <c r="RVW25" s="88"/>
      <c r="RVX25" s="91"/>
      <c r="RVY25" s="93"/>
      <c r="RVZ25" s="93"/>
      <c r="RWA25" s="88"/>
      <c r="RWB25" s="88"/>
      <c r="RWC25" s="90"/>
      <c r="RWD25" s="90"/>
      <c r="RWE25" s="88"/>
      <c r="RWF25" s="88"/>
      <c r="RWG25" s="90"/>
      <c r="RWH25" s="93"/>
      <c r="RWI25" s="88"/>
      <c r="RWJ25" s="88"/>
      <c r="RWK25" s="91"/>
      <c r="RWL25" s="93"/>
      <c r="RWM25" s="93"/>
      <c r="RWN25" s="88"/>
      <c r="RWO25" s="88"/>
      <c r="RWP25" s="90"/>
      <c r="RWQ25" s="90"/>
      <c r="RWR25" s="88"/>
      <c r="RWS25" s="88"/>
      <c r="RWT25" s="90"/>
      <c r="RWU25" s="93"/>
      <c r="RWV25" s="88"/>
      <c r="RWW25" s="88"/>
      <c r="RWX25" s="91"/>
      <c r="RWY25" s="93"/>
      <c r="RWZ25" s="93"/>
      <c r="RXA25" s="88"/>
      <c r="RXB25" s="88"/>
      <c r="RXC25" s="90"/>
      <c r="RXD25" s="90"/>
      <c r="RXE25" s="88"/>
      <c r="RXF25" s="88"/>
      <c r="RXG25" s="90"/>
      <c r="RXH25" s="93"/>
      <c r="RXI25" s="88"/>
      <c r="RXJ25" s="88"/>
      <c r="RXK25" s="91"/>
      <c r="RXL25" s="93"/>
      <c r="RXM25" s="93"/>
      <c r="RXN25" s="88"/>
      <c r="RXO25" s="88"/>
      <c r="RXP25" s="90"/>
      <c r="RXQ25" s="90"/>
      <c r="RXR25" s="88"/>
      <c r="RXS25" s="88"/>
      <c r="RXT25" s="90"/>
      <c r="RXU25" s="93"/>
      <c r="RXV25" s="88"/>
      <c r="RXW25" s="88"/>
      <c r="RXX25" s="91"/>
      <c r="RXY25" s="93"/>
      <c r="RXZ25" s="93"/>
      <c r="RYA25" s="88"/>
      <c r="RYB25" s="88"/>
      <c r="RYC25" s="90"/>
      <c r="RYD25" s="90"/>
      <c r="RYE25" s="88"/>
      <c r="RYF25" s="88"/>
      <c r="RYG25" s="90"/>
      <c r="RYH25" s="93"/>
      <c r="RYI25" s="88"/>
      <c r="RYJ25" s="88"/>
      <c r="RYK25" s="91"/>
      <c r="RYL25" s="93"/>
      <c r="RYM25" s="93"/>
      <c r="RYN25" s="88"/>
      <c r="RYO25" s="88"/>
      <c r="RYP25" s="90"/>
      <c r="RYQ25" s="90"/>
      <c r="RYR25" s="88"/>
      <c r="RYS25" s="88"/>
      <c r="RYT25" s="90"/>
      <c r="RYU25" s="93"/>
      <c r="RYV25" s="88"/>
      <c r="RYW25" s="88"/>
      <c r="RYX25" s="91"/>
      <c r="RYY25" s="93"/>
      <c r="RYZ25" s="93"/>
      <c r="RZA25" s="88"/>
      <c r="RZB25" s="88"/>
      <c r="RZC25" s="90"/>
      <c r="RZD25" s="90"/>
      <c r="RZE25" s="88"/>
      <c r="RZF25" s="88"/>
      <c r="RZG25" s="90"/>
      <c r="RZH25" s="93"/>
      <c r="RZI25" s="88"/>
      <c r="RZJ25" s="88"/>
      <c r="RZK25" s="91"/>
      <c r="RZL25" s="93"/>
      <c r="RZM25" s="93"/>
      <c r="RZN25" s="88"/>
      <c r="RZO25" s="88"/>
      <c r="RZP25" s="90"/>
      <c r="RZQ25" s="90"/>
      <c r="RZR25" s="88"/>
      <c r="RZS25" s="88"/>
      <c r="RZT25" s="90"/>
      <c r="RZU25" s="93"/>
      <c r="RZV25" s="88"/>
      <c r="RZW25" s="88"/>
      <c r="RZX25" s="91"/>
      <c r="RZY25" s="93"/>
      <c r="RZZ25" s="93"/>
      <c r="SAA25" s="88"/>
      <c r="SAB25" s="88"/>
      <c r="SAC25" s="90"/>
      <c r="SAD25" s="90"/>
      <c r="SAE25" s="88"/>
      <c r="SAF25" s="88"/>
      <c r="SAG25" s="90"/>
      <c r="SAH25" s="93"/>
      <c r="SAI25" s="88"/>
      <c r="SAJ25" s="88"/>
      <c r="SAK25" s="91"/>
      <c r="SAL25" s="93"/>
      <c r="SAM25" s="93"/>
      <c r="SAN25" s="88"/>
      <c r="SAO25" s="88"/>
      <c r="SAP25" s="90"/>
      <c r="SAQ25" s="90"/>
      <c r="SAR25" s="88"/>
      <c r="SAS25" s="88"/>
      <c r="SAT25" s="90"/>
      <c r="SAU25" s="93"/>
      <c r="SAV25" s="88"/>
      <c r="SAW25" s="88"/>
      <c r="SAX25" s="91"/>
      <c r="SAY25" s="93"/>
      <c r="SAZ25" s="93"/>
      <c r="SBA25" s="88"/>
      <c r="SBB25" s="88"/>
      <c r="SBC25" s="90"/>
      <c r="SBD25" s="90"/>
      <c r="SBE25" s="88"/>
      <c r="SBF25" s="88"/>
      <c r="SBG25" s="90"/>
      <c r="SBH25" s="93"/>
      <c r="SBI25" s="88"/>
      <c r="SBJ25" s="88"/>
      <c r="SBK25" s="91"/>
      <c r="SBL25" s="93"/>
      <c r="SBM25" s="93"/>
      <c r="SBN25" s="88"/>
      <c r="SBO25" s="88"/>
      <c r="SBP25" s="90"/>
      <c r="SBQ25" s="90"/>
      <c r="SBR25" s="88"/>
      <c r="SBS25" s="88"/>
      <c r="SBT25" s="90"/>
      <c r="SBU25" s="93"/>
      <c r="SBV25" s="88"/>
      <c r="SBW25" s="88"/>
      <c r="SBX25" s="91"/>
      <c r="SBY25" s="93"/>
      <c r="SBZ25" s="93"/>
      <c r="SCA25" s="88"/>
      <c r="SCB25" s="88"/>
      <c r="SCC25" s="90"/>
      <c r="SCD25" s="90"/>
      <c r="SCE25" s="88"/>
      <c r="SCF25" s="88"/>
      <c r="SCG25" s="90"/>
      <c r="SCH25" s="93"/>
      <c r="SCI25" s="88"/>
      <c r="SCJ25" s="88"/>
      <c r="SCK25" s="91"/>
      <c r="SCL25" s="93"/>
      <c r="SCM25" s="93"/>
      <c r="SCN25" s="88"/>
      <c r="SCO25" s="88"/>
      <c r="SCP25" s="90"/>
      <c r="SCQ25" s="90"/>
      <c r="SCR25" s="88"/>
      <c r="SCS25" s="88"/>
      <c r="SCT25" s="90"/>
      <c r="SCU25" s="93"/>
      <c r="SCV25" s="88"/>
      <c r="SCW25" s="88"/>
      <c r="SCX25" s="91"/>
      <c r="SCY25" s="93"/>
      <c r="SCZ25" s="93"/>
      <c r="SDA25" s="88"/>
      <c r="SDB25" s="88"/>
      <c r="SDC25" s="90"/>
      <c r="SDD25" s="90"/>
      <c r="SDE25" s="88"/>
      <c r="SDF25" s="88"/>
      <c r="SDG25" s="90"/>
      <c r="SDH25" s="93"/>
      <c r="SDI25" s="88"/>
      <c r="SDJ25" s="88"/>
      <c r="SDK25" s="91"/>
      <c r="SDL25" s="93"/>
      <c r="SDM25" s="93"/>
      <c r="SDN25" s="88"/>
      <c r="SDO25" s="88"/>
      <c r="SDP25" s="90"/>
      <c r="SDQ25" s="90"/>
      <c r="SDR25" s="88"/>
      <c r="SDS25" s="88"/>
      <c r="SDT25" s="90"/>
      <c r="SDU25" s="93"/>
      <c r="SDV25" s="88"/>
      <c r="SDW25" s="88"/>
      <c r="SDX25" s="91"/>
      <c r="SDY25" s="93"/>
      <c r="SDZ25" s="93"/>
      <c r="SEA25" s="88"/>
      <c r="SEB25" s="88"/>
      <c r="SEC25" s="90"/>
      <c r="SED25" s="90"/>
      <c r="SEE25" s="88"/>
      <c r="SEF25" s="88"/>
      <c r="SEG25" s="90"/>
      <c r="SEH25" s="93"/>
      <c r="SEI25" s="88"/>
      <c r="SEJ25" s="88"/>
      <c r="SEK25" s="91"/>
      <c r="SEL25" s="93"/>
      <c r="SEM25" s="93"/>
      <c r="SEN25" s="88"/>
      <c r="SEO25" s="88"/>
      <c r="SEP25" s="90"/>
      <c r="SEQ25" s="90"/>
      <c r="SER25" s="88"/>
      <c r="SES25" s="88"/>
      <c r="SET25" s="90"/>
      <c r="SEU25" s="93"/>
      <c r="SEV25" s="88"/>
      <c r="SEW25" s="88"/>
      <c r="SEX25" s="91"/>
      <c r="SEY25" s="93"/>
      <c r="SEZ25" s="93"/>
      <c r="SFA25" s="88"/>
      <c r="SFB25" s="88"/>
      <c r="SFC25" s="90"/>
      <c r="SFD25" s="90"/>
      <c r="SFE25" s="88"/>
      <c r="SFF25" s="88"/>
      <c r="SFG25" s="90"/>
      <c r="SFH25" s="93"/>
      <c r="SFI25" s="88"/>
      <c r="SFJ25" s="88"/>
      <c r="SFK25" s="91"/>
      <c r="SFL25" s="93"/>
      <c r="SFM25" s="93"/>
      <c r="SFN25" s="88"/>
      <c r="SFO25" s="88"/>
      <c r="SFP25" s="90"/>
      <c r="SFQ25" s="90"/>
      <c r="SFR25" s="88"/>
      <c r="SFS25" s="88"/>
      <c r="SFT25" s="90"/>
      <c r="SFU25" s="93"/>
      <c r="SFV25" s="88"/>
      <c r="SFW25" s="88"/>
      <c r="SFX25" s="91"/>
      <c r="SFY25" s="93"/>
      <c r="SFZ25" s="93"/>
      <c r="SGA25" s="88"/>
      <c r="SGB25" s="88"/>
      <c r="SGC25" s="90"/>
      <c r="SGD25" s="90"/>
      <c r="SGE25" s="88"/>
      <c r="SGF25" s="88"/>
      <c r="SGG25" s="90"/>
      <c r="SGH25" s="93"/>
      <c r="SGI25" s="88"/>
      <c r="SGJ25" s="88"/>
      <c r="SGK25" s="91"/>
      <c r="SGL25" s="93"/>
      <c r="SGM25" s="93"/>
      <c r="SGN25" s="88"/>
      <c r="SGO25" s="88"/>
      <c r="SGP25" s="90"/>
      <c r="SGQ25" s="90"/>
      <c r="SGR25" s="88"/>
      <c r="SGS25" s="88"/>
      <c r="SGT25" s="90"/>
      <c r="SGU25" s="93"/>
      <c r="SGV25" s="88"/>
      <c r="SGW25" s="88"/>
      <c r="SGX25" s="91"/>
      <c r="SGY25" s="93"/>
      <c r="SGZ25" s="93"/>
      <c r="SHA25" s="88"/>
      <c r="SHB25" s="88"/>
      <c r="SHC25" s="90"/>
      <c r="SHD25" s="90"/>
      <c r="SHE25" s="88"/>
      <c r="SHF25" s="88"/>
      <c r="SHG25" s="90"/>
      <c r="SHH25" s="93"/>
      <c r="SHI25" s="88"/>
      <c r="SHJ25" s="88"/>
      <c r="SHK25" s="91"/>
      <c r="SHL25" s="93"/>
      <c r="SHM25" s="93"/>
      <c r="SHN25" s="88"/>
      <c r="SHO25" s="88"/>
      <c r="SHP25" s="90"/>
      <c r="SHQ25" s="90"/>
      <c r="SHR25" s="88"/>
      <c r="SHS25" s="88"/>
      <c r="SHT25" s="90"/>
      <c r="SHU25" s="93"/>
      <c r="SHV25" s="88"/>
      <c r="SHW25" s="88"/>
      <c r="SHX25" s="91"/>
      <c r="SHY25" s="93"/>
      <c r="SHZ25" s="93"/>
      <c r="SIA25" s="88"/>
      <c r="SIB25" s="88"/>
      <c r="SIC25" s="90"/>
      <c r="SID25" s="90"/>
      <c r="SIE25" s="88"/>
      <c r="SIF25" s="88"/>
      <c r="SIG25" s="90"/>
      <c r="SIH25" s="93"/>
      <c r="SII25" s="88"/>
      <c r="SIJ25" s="88"/>
      <c r="SIK25" s="91"/>
      <c r="SIL25" s="93"/>
      <c r="SIM25" s="93"/>
      <c r="SIN25" s="88"/>
      <c r="SIO25" s="88"/>
      <c r="SIP25" s="90"/>
      <c r="SIQ25" s="90"/>
      <c r="SIR25" s="88"/>
      <c r="SIS25" s="88"/>
      <c r="SIT25" s="90"/>
      <c r="SIU25" s="93"/>
      <c r="SIV25" s="88"/>
      <c r="SIW25" s="88"/>
      <c r="SIX25" s="91"/>
      <c r="SIY25" s="93"/>
      <c r="SIZ25" s="93"/>
      <c r="SJA25" s="88"/>
      <c r="SJB25" s="88"/>
      <c r="SJC25" s="90"/>
      <c r="SJD25" s="90"/>
      <c r="SJE25" s="88"/>
      <c r="SJF25" s="88"/>
      <c r="SJG25" s="90"/>
      <c r="SJH25" s="93"/>
      <c r="SJI25" s="88"/>
      <c r="SJJ25" s="88"/>
      <c r="SJK25" s="91"/>
      <c r="SJL25" s="93"/>
      <c r="SJM25" s="93"/>
      <c r="SJN25" s="88"/>
      <c r="SJO25" s="88"/>
      <c r="SJP25" s="90"/>
      <c r="SJQ25" s="90"/>
      <c r="SJR25" s="88"/>
      <c r="SJS25" s="88"/>
      <c r="SJT25" s="90"/>
      <c r="SJU25" s="93"/>
      <c r="SJV25" s="88"/>
      <c r="SJW25" s="88"/>
      <c r="SJX25" s="91"/>
      <c r="SJY25" s="93"/>
      <c r="SJZ25" s="93"/>
      <c r="SKA25" s="88"/>
      <c r="SKB25" s="88"/>
      <c r="SKC25" s="90"/>
      <c r="SKD25" s="90"/>
      <c r="SKE25" s="88"/>
      <c r="SKF25" s="88"/>
      <c r="SKG25" s="90"/>
      <c r="SKH25" s="93"/>
      <c r="SKI25" s="88"/>
      <c r="SKJ25" s="88"/>
      <c r="SKK25" s="91"/>
      <c r="SKL25" s="93"/>
      <c r="SKM25" s="93"/>
      <c r="SKN25" s="88"/>
      <c r="SKO25" s="88"/>
      <c r="SKP25" s="90"/>
      <c r="SKQ25" s="90"/>
      <c r="SKR25" s="88"/>
      <c r="SKS25" s="88"/>
      <c r="SKT25" s="90"/>
      <c r="SKU25" s="93"/>
      <c r="SKV25" s="88"/>
      <c r="SKW25" s="88"/>
      <c r="SKX25" s="91"/>
      <c r="SKY25" s="93"/>
      <c r="SKZ25" s="93"/>
      <c r="SLA25" s="88"/>
      <c r="SLB25" s="88"/>
      <c r="SLC25" s="90"/>
      <c r="SLD25" s="90"/>
      <c r="SLE25" s="88"/>
      <c r="SLF25" s="88"/>
      <c r="SLG25" s="90"/>
      <c r="SLH25" s="93"/>
      <c r="SLI25" s="88"/>
      <c r="SLJ25" s="88"/>
      <c r="SLK25" s="91"/>
      <c r="SLL25" s="93"/>
      <c r="SLM25" s="93"/>
      <c r="SLN25" s="88"/>
      <c r="SLO25" s="88"/>
      <c r="SLP25" s="90"/>
      <c r="SLQ25" s="90"/>
      <c r="SLR25" s="88"/>
      <c r="SLS25" s="88"/>
      <c r="SLT25" s="90"/>
      <c r="SLU25" s="93"/>
      <c r="SLV25" s="88"/>
      <c r="SLW25" s="88"/>
      <c r="SLX25" s="91"/>
      <c r="SLY25" s="93"/>
      <c r="SLZ25" s="93"/>
      <c r="SMA25" s="88"/>
      <c r="SMB25" s="88"/>
      <c r="SMC25" s="90"/>
      <c r="SMD25" s="90"/>
      <c r="SME25" s="88"/>
      <c r="SMF25" s="88"/>
      <c r="SMG25" s="90"/>
      <c r="SMH25" s="93"/>
      <c r="SMI25" s="88"/>
      <c r="SMJ25" s="88"/>
      <c r="SMK25" s="91"/>
      <c r="SML25" s="93"/>
      <c r="SMM25" s="93"/>
      <c r="SMN25" s="88"/>
      <c r="SMO25" s="88"/>
      <c r="SMP25" s="90"/>
      <c r="SMQ25" s="90"/>
      <c r="SMR25" s="88"/>
      <c r="SMS25" s="88"/>
      <c r="SMT25" s="90"/>
      <c r="SMU25" s="93"/>
      <c r="SMV25" s="88"/>
      <c r="SMW25" s="88"/>
      <c r="SMX25" s="91"/>
      <c r="SMY25" s="93"/>
      <c r="SMZ25" s="93"/>
      <c r="SNA25" s="88"/>
      <c r="SNB25" s="88"/>
      <c r="SNC25" s="90"/>
      <c r="SND25" s="90"/>
      <c r="SNE25" s="88"/>
      <c r="SNF25" s="88"/>
      <c r="SNG25" s="90"/>
      <c r="SNH25" s="93"/>
      <c r="SNI25" s="88"/>
      <c r="SNJ25" s="88"/>
      <c r="SNK25" s="91"/>
      <c r="SNL25" s="93"/>
      <c r="SNM25" s="93"/>
      <c r="SNN25" s="88"/>
      <c r="SNO25" s="88"/>
      <c r="SNP25" s="90"/>
      <c r="SNQ25" s="90"/>
      <c r="SNR25" s="88"/>
      <c r="SNS25" s="88"/>
      <c r="SNT25" s="90"/>
      <c r="SNU25" s="93"/>
      <c r="SNV25" s="88"/>
      <c r="SNW25" s="88"/>
      <c r="SNX25" s="91"/>
      <c r="SNY25" s="93"/>
      <c r="SNZ25" s="93"/>
      <c r="SOA25" s="88"/>
      <c r="SOB25" s="88"/>
      <c r="SOC25" s="90"/>
      <c r="SOD25" s="90"/>
      <c r="SOE25" s="88"/>
      <c r="SOF25" s="88"/>
      <c r="SOG25" s="90"/>
      <c r="SOH25" s="93"/>
      <c r="SOI25" s="88"/>
      <c r="SOJ25" s="88"/>
      <c r="SOK25" s="91"/>
      <c r="SOL25" s="93"/>
      <c r="SOM25" s="93"/>
      <c r="SON25" s="88"/>
      <c r="SOO25" s="88"/>
      <c r="SOP25" s="90"/>
      <c r="SOQ25" s="90"/>
      <c r="SOR25" s="88"/>
      <c r="SOS25" s="88"/>
      <c r="SOT25" s="90"/>
      <c r="SOU25" s="93"/>
      <c r="SOV25" s="88"/>
      <c r="SOW25" s="88"/>
      <c r="SOX25" s="91"/>
      <c r="SOY25" s="93"/>
      <c r="SOZ25" s="93"/>
      <c r="SPA25" s="88"/>
      <c r="SPB25" s="88"/>
      <c r="SPC25" s="90"/>
      <c r="SPD25" s="90"/>
      <c r="SPE25" s="88"/>
      <c r="SPF25" s="88"/>
      <c r="SPG25" s="90"/>
      <c r="SPH25" s="93"/>
      <c r="SPI25" s="88"/>
      <c r="SPJ25" s="88"/>
      <c r="SPK25" s="91"/>
      <c r="SPL25" s="93"/>
      <c r="SPM25" s="93"/>
      <c r="SPN25" s="88"/>
      <c r="SPO25" s="88"/>
      <c r="SPP25" s="90"/>
      <c r="SPQ25" s="90"/>
      <c r="SPR25" s="88"/>
      <c r="SPS25" s="88"/>
      <c r="SPT25" s="90"/>
      <c r="SPU25" s="93"/>
      <c r="SPV25" s="88"/>
      <c r="SPW25" s="88"/>
      <c r="SPX25" s="91"/>
      <c r="SPY25" s="93"/>
      <c r="SPZ25" s="93"/>
      <c r="SQA25" s="88"/>
      <c r="SQB25" s="88"/>
      <c r="SQC25" s="90"/>
      <c r="SQD25" s="90"/>
      <c r="SQE25" s="88"/>
      <c r="SQF25" s="88"/>
      <c r="SQG25" s="90"/>
      <c r="SQH25" s="93"/>
      <c r="SQI25" s="88"/>
      <c r="SQJ25" s="88"/>
      <c r="SQK25" s="91"/>
      <c r="SQL25" s="93"/>
      <c r="SQM25" s="93"/>
      <c r="SQN25" s="88"/>
      <c r="SQO25" s="88"/>
      <c r="SQP25" s="90"/>
      <c r="SQQ25" s="90"/>
      <c r="SQR25" s="88"/>
      <c r="SQS25" s="88"/>
      <c r="SQT25" s="90"/>
      <c r="SQU25" s="93"/>
      <c r="SQV25" s="88"/>
      <c r="SQW25" s="88"/>
      <c r="SQX25" s="91"/>
      <c r="SQY25" s="93"/>
      <c r="SQZ25" s="93"/>
      <c r="SRA25" s="88"/>
      <c r="SRB25" s="88"/>
      <c r="SRC25" s="90"/>
      <c r="SRD25" s="90"/>
      <c r="SRE25" s="88"/>
      <c r="SRF25" s="88"/>
      <c r="SRG25" s="90"/>
      <c r="SRH25" s="93"/>
      <c r="SRI25" s="88"/>
      <c r="SRJ25" s="88"/>
      <c r="SRK25" s="91"/>
      <c r="SRL25" s="93"/>
      <c r="SRM25" s="93"/>
      <c r="SRN25" s="88"/>
      <c r="SRO25" s="88"/>
      <c r="SRP25" s="90"/>
      <c r="SRQ25" s="90"/>
      <c r="SRR25" s="88"/>
      <c r="SRS25" s="88"/>
      <c r="SRT25" s="90"/>
      <c r="SRU25" s="93"/>
      <c r="SRV25" s="88"/>
      <c r="SRW25" s="88"/>
      <c r="SRX25" s="91"/>
      <c r="SRY25" s="93"/>
      <c r="SRZ25" s="93"/>
      <c r="SSA25" s="88"/>
      <c r="SSB25" s="88"/>
      <c r="SSC25" s="90"/>
      <c r="SSD25" s="90"/>
      <c r="SSE25" s="88"/>
      <c r="SSF25" s="88"/>
      <c r="SSG25" s="90"/>
      <c r="SSH25" s="93"/>
      <c r="SSI25" s="88"/>
      <c r="SSJ25" s="88"/>
      <c r="SSK25" s="91"/>
      <c r="SSL25" s="93"/>
      <c r="SSM25" s="93"/>
      <c r="SSN25" s="88"/>
      <c r="SSO25" s="88"/>
      <c r="SSP25" s="90"/>
      <c r="SSQ25" s="90"/>
      <c r="SSR25" s="88"/>
      <c r="SSS25" s="88"/>
      <c r="SST25" s="90"/>
      <c r="SSU25" s="93"/>
      <c r="SSV25" s="88"/>
      <c r="SSW25" s="88"/>
      <c r="SSX25" s="91"/>
      <c r="SSY25" s="93"/>
      <c r="SSZ25" s="93"/>
      <c r="STA25" s="88"/>
      <c r="STB25" s="88"/>
      <c r="STC25" s="90"/>
      <c r="STD25" s="90"/>
      <c r="STE25" s="88"/>
      <c r="STF25" s="88"/>
      <c r="STG25" s="90"/>
      <c r="STH25" s="93"/>
      <c r="STI25" s="88"/>
      <c r="STJ25" s="88"/>
      <c r="STK25" s="91"/>
      <c r="STL25" s="93"/>
      <c r="STM25" s="93"/>
      <c r="STN25" s="88"/>
      <c r="STO25" s="88"/>
      <c r="STP25" s="90"/>
      <c r="STQ25" s="90"/>
      <c r="STR25" s="88"/>
      <c r="STS25" s="88"/>
      <c r="STT25" s="90"/>
      <c r="STU25" s="93"/>
      <c r="STV25" s="88"/>
      <c r="STW25" s="88"/>
      <c r="STX25" s="91"/>
      <c r="STY25" s="93"/>
      <c r="STZ25" s="93"/>
      <c r="SUA25" s="88"/>
      <c r="SUB25" s="88"/>
      <c r="SUC25" s="90"/>
      <c r="SUD25" s="90"/>
      <c r="SUE25" s="88"/>
      <c r="SUF25" s="88"/>
      <c r="SUG25" s="90"/>
      <c r="SUH25" s="93"/>
      <c r="SUI25" s="88"/>
      <c r="SUJ25" s="88"/>
      <c r="SUK25" s="91"/>
      <c r="SUL25" s="93"/>
      <c r="SUM25" s="93"/>
      <c r="SUN25" s="88"/>
      <c r="SUO25" s="88"/>
      <c r="SUP25" s="90"/>
      <c r="SUQ25" s="90"/>
      <c r="SUR25" s="88"/>
      <c r="SUS25" s="88"/>
      <c r="SUT25" s="90"/>
      <c r="SUU25" s="93"/>
      <c r="SUV25" s="88"/>
      <c r="SUW25" s="88"/>
      <c r="SUX25" s="91"/>
      <c r="SUY25" s="93"/>
      <c r="SUZ25" s="93"/>
      <c r="SVA25" s="88"/>
      <c r="SVB25" s="88"/>
      <c r="SVC25" s="90"/>
      <c r="SVD25" s="90"/>
      <c r="SVE25" s="88"/>
      <c r="SVF25" s="88"/>
      <c r="SVG25" s="90"/>
      <c r="SVH25" s="93"/>
      <c r="SVI25" s="88"/>
      <c r="SVJ25" s="88"/>
      <c r="SVK25" s="91"/>
      <c r="SVL25" s="93"/>
      <c r="SVM25" s="93"/>
      <c r="SVN25" s="88"/>
      <c r="SVO25" s="88"/>
      <c r="SVP25" s="90"/>
      <c r="SVQ25" s="90"/>
      <c r="SVR25" s="88"/>
      <c r="SVS25" s="88"/>
      <c r="SVT25" s="90"/>
      <c r="SVU25" s="93"/>
      <c r="SVV25" s="88"/>
      <c r="SVW25" s="88"/>
      <c r="SVX25" s="91"/>
      <c r="SVY25" s="93"/>
      <c r="SVZ25" s="93"/>
      <c r="SWA25" s="88"/>
      <c r="SWB25" s="88"/>
      <c r="SWC25" s="90"/>
      <c r="SWD25" s="90"/>
      <c r="SWE25" s="88"/>
      <c r="SWF25" s="88"/>
      <c r="SWG25" s="90"/>
      <c r="SWH25" s="93"/>
      <c r="SWI25" s="88"/>
      <c r="SWJ25" s="88"/>
      <c r="SWK25" s="91"/>
      <c r="SWL25" s="93"/>
      <c r="SWM25" s="93"/>
      <c r="SWN25" s="88"/>
      <c r="SWO25" s="88"/>
      <c r="SWP25" s="90"/>
      <c r="SWQ25" s="90"/>
      <c r="SWR25" s="88"/>
      <c r="SWS25" s="88"/>
      <c r="SWT25" s="90"/>
      <c r="SWU25" s="93"/>
      <c r="SWV25" s="88"/>
      <c r="SWW25" s="88"/>
      <c r="SWX25" s="91"/>
      <c r="SWY25" s="93"/>
      <c r="SWZ25" s="93"/>
      <c r="SXA25" s="88"/>
      <c r="SXB25" s="88"/>
      <c r="SXC25" s="90"/>
      <c r="SXD25" s="90"/>
      <c r="SXE25" s="88"/>
      <c r="SXF25" s="88"/>
      <c r="SXG25" s="90"/>
      <c r="SXH25" s="93"/>
      <c r="SXI25" s="88"/>
      <c r="SXJ25" s="88"/>
      <c r="SXK25" s="91"/>
      <c r="SXL25" s="93"/>
      <c r="SXM25" s="93"/>
      <c r="SXN25" s="88"/>
      <c r="SXO25" s="88"/>
      <c r="SXP25" s="90"/>
      <c r="SXQ25" s="90"/>
      <c r="SXR25" s="88"/>
      <c r="SXS25" s="88"/>
      <c r="SXT25" s="90"/>
      <c r="SXU25" s="93"/>
      <c r="SXV25" s="88"/>
      <c r="SXW25" s="88"/>
      <c r="SXX25" s="91"/>
      <c r="SXY25" s="93"/>
      <c r="SXZ25" s="93"/>
      <c r="SYA25" s="88"/>
      <c r="SYB25" s="88"/>
      <c r="SYC25" s="90"/>
      <c r="SYD25" s="90"/>
      <c r="SYE25" s="88"/>
      <c r="SYF25" s="88"/>
      <c r="SYG25" s="90"/>
      <c r="SYH25" s="93"/>
      <c r="SYI25" s="88"/>
      <c r="SYJ25" s="88"/>
      <c r="SYK25" s="91"/>
      <c r="SYL25" s="93"/>
      <c r="SYM25" s="93"/>
      <c r="SYN25" s="88"/>
      <c r="SYO25" s="88"/>
      <c r="SYP25" s="90"/>
      <c r="SYQ25" s="90"/>
      <c r="SYR25" s="88"/>
      <c r="SYS25" s="88"/>
      <c r="SYT25" s="90"/>
      <c r="SYU25" s="93"/>
      <c r="SYV25" s="88"/>
      <c r="SYW25" s="88"/>
      <c r="SYX25" s="91"/>
      <c r="SYY25" s="93"/>
      <c r="SYZ25" s="93"/>
      <c r="SZA25" s="88"/>
      <c r="SZB25" s="88"/>
      <c r="SZC25" s="90"/>
      <c r="SZD25" s="90"/>
      <c r="SZE25" s="88"/>
      <c r="SZF25" s="88"/>
      <c r="SZG25" s="90"/>
      <c r="SZH25" s="93"/>
      <c r="SZI25" s="88"/>
      <c r="SZJ25" s="88"/>
      <c r="SZK25" s="91"/>
      <c r="SZL25" s="93"/>
      <c r="SZM25" s="93"/>
      <c r="SZN25" s="88"/>
      <c r="SZO25" s="88"/>
      <c r="SZP25" s="90"/>
      <c r="SZQ25" s="90"/>
      <c r="SZR25" s="88"/>
      <c r="SZS25" s="88"/>
      <c r="SZT25" s="90"/>
      <c r="SZU25" s="93"/>
      <c r="SZV25" s="88"/>
      <c r="SZW25" s="88"/>
      <c r="SZX25" s="91"/>
      <c r="SZY25" s="93"/>
      <c r="SZZ25" s="93"/>
      <c r="TAA25" s="88"/>
      <c r="TAB25" s="88"/>
      <c r="TAC25" s="90"/>
      <c r="TAD25" s="90"/>
      <c r="TAE25" s="88"/>
      <c r="TAF25" s="88"/>
      <c r="TAG25" s="90"/>
      <c r="TAH25" s="93"/>
      <c r="TAI25" s="88"/>
      <c r="TAJ25" s="88"/>
      <c r="TAK25" s="91"/>
      <c r="TAL25" s="93"/>
      <c r="TAM25" s="93"/>
      <c r="TAN25" s="88"/>
      <c r="TAO25" s="88"/>
      <c r="TAP25" s="90"/>
      <c r="TAQ25" s="90"/>
      <c r="TAR25" s="88"/>
      <c r="TAS25" s="88"/>
      <c r="TAT25" s="90"/>
      <c r="TAU25" s="93"/>
      <c r="TAV25" s="88"/>
      <c r="TAW25" s="88"/>
      <c r="TAX25" s="91"/>
      <c r="TAY25" s="93"/>
      <c r="TAZ25" s="93"/>
      <c r="TBA25" s="88"/>
      <c r="TBB25" s="88"/>
      <c r="TBC25" s="90"/>
      <c r="TBD25" s="90"/>
      <c r="TBE25" s="88"/>
      <c r="TBF25" s="88"/>
      <c r="TBG25" s="90"/>
      <c r="TBH25" s="93"/>
      <c r="TBI25" s="88"/>
      <c r="TBJ25" s="88"/>
      <c r="TBK25" s="91"/>
      <c r="TBL25" s="93"/>
      <c r="TBM25" s="93"/>
      <c r="TBN25" s="88"/>
      <c r="TBO25" s="88"/>
      <c r="TBP25" s="90"/>
      <c r="TBQ25" s="90"/>
      <c r="TBR25" s="88"/>
      <c r="TBS25" s="88"/>
      <c r="TBT25" s="90"/>
      <c r="TBU25" s="93"/>
      <c r="TBV25" s="88"/>
      <c r="TBW25" s="88"/>
      <c r="TBX25" s="91"/>
      <c r="TBY25" s="93"/>
      <c r="TBZ25" s="93"/>
      <c r="TCA25" s="88"/>
      <c r="TCB25" s="88"/>
      <c r="TCC25" s="90"/>
      <c r="TCD25" s="90"/>
      <c r="TCE25" s="88"/>
      <c r="TCF25" s="88"/>
      <c r="TCG25" s="90"/>
      <c r="TCH25" s="93"/>
      <c r="TCI25" s="88"/>
      <c r="TCJ25" s="88"/>
      <c r="TCK25" s="91"/>
      <c r="TCL25" s="93"/>
      <c r="TCM25" s="93"/>
      <c r="TCN25" s="88"/>
      <c r="TCO25" s="88"/>
      <c r="TCP25" s="90"/>
      <c r="TCQ25" s="90"/>
      <c r="TCR25" s="88"/>
      <c r="TCS25" s="88"/>
      <c r="TCT25" s="90"/>
      <c r="TCU25" s="93"/>
      <c r="TCV25" s="88"/>
      <c r="TCW25" s="88"/>
      <c r="TCX25" s="91"/>
      <c r="TCY25" s="93"/>
      <c r="TCZ25" s="93"/>
      <c r="TDA25" s="88"/>
      <c r="TDB25" s="88"/>
      <c r="TDC25" s="90"/>
      <c r="TDD25" s="90"/>
      <c r="TDE25" s="88"/>
      <c r="TDF25" s="88"/>
      <c r="TDG25" s="90"/>
      <c r="TDH25" s="93"/>
      <c r="TDI25" s="88"/>
      <c r="TDJ25" s="88"/>
      <c r="TDK25" s="91"/>
      <c r="TDL25" s="93"/>
      <c r="TDM25" s="93"/>
      <c r="TDN25" s="88"/>
      <c r="TDO25" s="88"/>
      <c r="TDP25" s="90"/>
      <c r="TDQ25" s="90"/>
      <c r="TDR25" s="88"/>
      <c r="TDS25" s="88"/>
      <c r="TDT25" s="90"/>
      <c r="TDU25" s="93"/>
      <c r="TDV25" s="88"/>
      <c r="TDW25" s="88"/>
      <c r="TDX25" s="91"/>
      <c r="TDY25" s="93"/>
      <c r="TDZ25" s="93"/>
      <c r="TEA25" s="88"/>
      <c r="TEB25" s="88"/>
      <c r="TEC25" s="90"/>
      <c r="TED25" s="90"/>
      <c r="TEE25" s="88"/>
      <c r="TEF25" s="88"/>
      <c r="TEG25" s="90"/>
      <c r="TEH25" s="93"/>
      <c r="TEI25" s="88"/>
      <c r="TEJ25" s="88"/>
      <c r="TEK25" s="91"/>
      <c r="TEL25" s="93"/>
      <c r="TEM25" s="93"/>
      <c r="TEN25" s="88"/>
      <c r="TEO25" s="88"/>
      <c r="TEP25" s="90"/>
      <c r="TEQ25" s="90"/>
      <c r="TER25" s="88"/>
      <c r="TES25" s="88"/>
      <c r="TET25" s="90"/>
      <c r="TEU25" s="93"/>
      <c r="TEV25" s="88"/>
      <c r="TEW25" s="88"/>
      <c r="TEX25" s="91"/>
      <c r="TEY25" s="93"/>
      <c r="TEZ25" s="93"/>
      <c r="TFA25" s="88"/>
      <c r="TFB25" s="88"/>
      <c r="TFC25" s="90"/>
      <c r="TFD25" s="90"/>
      <c r="TFE25" s="88"/>
      <c r="TFF25" s="88"/>
      <c r="TFG25" s="90"/>
      <c r="TFH25" s="93"/>
      <c r="TFI25" s="88"/>
      <c r="TFJ25" s="88"/>
      <c r="TFK25" s="91"/>
      <c r="TFL25" s="93"/>
      <c r="TFM25" s="93"/>
      <c r="TFN25" s="88"/>
      <c r="TFO25" s="88"/>
      <c r="TFP25" s="90"/>
      <c r="TFQ25" s="90"/>
      <c r="TFR25" s="88"/>
      <c r="TFS25" s="88"/>
      <c r="TFT25" s="90"/>
      <c r="TFU25" s="93"/>
      <c r="TFV25" s="88"/>
      <c r="TFW25" s="88"/>
      <c r="TFX25" s="91"/>
      <c r="TFY25" s="93"/>
      <c r="TFZ25" s="93"/>
      <c r="TGA25" s="88"/>
      <c r="TGB25" s="88"/>
      <c r="TGC25" s="90"/>
      <c r="TGD25" s="90"/>
      <c r="TGE25" s="88"/>
      <c r="TGF25" s="88"/>
      <c r="TGG25" s="90"/>
      <c r="TGH25" s="93"/>
      <c r="TGI25" s="88"/>
      <c r="TGJ25" s="88"/>
      <c r="TGK25" s="91"/>
      <c r="TGL25" s="93"/>
      <c r="TGM25" s="93"/>
      <c r="TGN25" s="88"/>
      <c r="TGO25" s="88"/>
      <c r="TGP25" s="90"/>
      <c r="TGQ25" s="90"/>
      <c r="TGR25" s="88"/>
      <c r="TGS25" s="88"/>
      <c r="TGT25" s="90"/>
      <c r="TGU25" s="93"/>
      <c r="TGV25" s="88"/>
      <c r="TGW25" s="88"/>
      <c r="TGX25" s="91"/>
      <c r="TGY25" s="93"/>
      <c r="TGZ25" s="93"/>
      <c r="THA25" s="88"/>
      <c r="THB25" s="88"/>
      <c r="THC25" s="90"/>
      <c r="THD25" s="90"/>
      <c r="THE25" s="88"/>
      <c r="THF25" s="88"/>
      <c r="THG25" s="90"/>
      <c r="THH25" s="93"/>
      <c r="THI25" s="88"/>
      <c r="THJ25" s="88"/>
      <c r="THK25" s="91"/>
      <c r="THL25" s="93"/>
      <c r="THM25" s="93"/>
      <c r="THN25" s="88"/>
      <c r="THO25" s="88"/>
      <c r="THP25" s="90"/>
      <c r="THQ25" s="90"/>
      <c r="THR25" s="88"/>
      <c r="THS25" s="88"/>
      <c r="THT25" s="90"/>
      <c r="THU25" s="93"/>
      <c r="THV25" s="88"/>
      <c r="THW25" s="88"/>
      <c r="THX25" s="91"/>
      <c r="THY25" s="93"/>
      <c r="THZ25" s="93"/>
      <c r="TIA25" s="88"/>
      <c r="TIB25" s="88"/>
      <c r="TIC25" s="90"/>
      <c r="TID25" s="90"/>
      <c r="TIE25" s="88"/>
      <c r="TIF25" s="88"/>
      <c r="TIG25" s="90"/>
      <c r="TIH25" s="93"/>
      <c r="TII25" s="88"/>
      <c r="TIJ25" s="88"/>
      <c r="TIK25" s="91"/>
      <c r="TIL25" s="93"/>
      <c r="TIM25" s="93"/>
      <c r="TIN25" s="88"/>
      <c r="TIO25" s="88"/>
      <c r="TIP25" s="90"/>
      <c r="TIQ25" s="90"/>
      <c r="TIR25" s="88"/>
      <c r="TIS25" s="88"/>
      <c r="TIT25" s="90"/>
      <c r="TIU25" s="93"/>
      <c r="TIV25" s="88"/>
      <c r="TIW25" s="88"/>
      <c r="TIX25" s="91"/>
      <c r="TIY25" s="93"/>
      <c r="TIZ25" s="93"/>
      <c r="TJA25" s="88"/>
      <c r="TJB25" s="88"/>
      <c r="TJC25" s="90"/>
      <c r="TJD25" s="90"/>
      <c r="TJE25" s="88"/>
      <c r="TJF25" s="88"/>
      <c r="TJG25" s="90"/>
      <c r="TJH25" s="93"/>
      <c r="TJI25" s="88"/>
      <c r="TJJ25" s="88"/>
      <c r="TJK25" s="91"/>
      <c r="TJL25" s="93"/>
      <c r="TJM25" s="93"/>
      <c r="TJN25" s="88"/>
      <c r="TJO25" s="88"/>
      <c r="TJP25" s="90"/>
      <c r="TJQ25" s="90"/>
      <c r="TJR25" s="88"/>
      <c r="TJS25" s="88"/>
      <c r="TJT25" s="90"/>
      <c r="TJU25" s="93"/>
      <c r="TJV25" s="88"/>
      <c r="TJW25" s="88"/>
      <c r="TJX25" s="91"/>
      <c r="TJY25" s="93"/>
      <c r="TJZ25" s="93"/>
      <c r="TKA25" s="88"/>
      <c r="TKB25" s="88"/>
      <c r="TKC25" s="90"/>
      <c r="TKD25" s="90"/>
      <c r="TKE25" s="88"/>
      <c r="TKF25" s="88"/>
      <c r="TKG25" s="90"/>
      <c r="TKH25" s="93"/>
      <c r="TKI25" s="88"/>
      <c r="TKJ25" s="88"/>
      <c r="TKK25" s="91"/>
      <c r="TKL25" s="93"/>
      <c r="TKM25" s="93"/>
      <c r="TKN25" s="88"/>
      <c r="TKO25" s="88"/>
      <c r="TKP25" s="90"/>
      <c r="TKQ25" s="90"/>
      <c r="TKR25" s="88"/>
      <c r="TKS25" s="88"/>
      <c r="TKT25" s="90"/>
      <c r="TKU25" s="93"/>
      <c r="TKV25" s="88"/>
      <c r="TKW25" s="88"/>
      <c r="TKX25" s="91"/>
      <c r="TKY25" s="93"/>
      <c r="TKZ25" s="93"/>
      <c r="TLA25" s="88"/>
      <c r="TLB25" s="88"/>
      <c r="TLC25" s="90"/>
      <c r="TLD25" s="90"/>
      <c r="TLE25" s="88"/>
      <c r="TLF25" s="88"/>
      <c r="TLG25" s="90"/>
      <c r="TLH25" s="93"/>
      <c r="TLI25" s="88"/>
      <c r="TLJ25" s="88"/>
      <c r="TLK25" s="91"/>
      <c r="TLL25" s="93"/>
      <c r="TLM25" s="93"/>
      <c r="TLN25" s="88"/>
      <c r="TLO25" s="88"/>
      <c r="TLP25" s="90"/>
      <c r="TLQ25" s="90"/>
      <c r="TLR25" s="88"/>
      <c r="TLS25" s="88"/>
      <c r="TLT25" s="90"/>
      <c r="TLU25" s="93"/>
      <c r="TLV25" s="88"/>
      <c r="TLW25" s="88"/>
      <c r="TLX25" s="91"/>
      <c r="TLY25" s="93"/>
      <c r="TLZ25" s="93"/>
      <c r="TMA25" s="88"/>
      <c r="TMB25" s="88"/>
      <c r="TMC25" s="90"/>
      <c r="TMD25" s="90"/>
      <c r="TME25" s="88"/>
      <c r="TMF25" s="88"/>
      <c r="TMG25" s="90"/>
      <c r="TMH25" s="93"/>
      <c r="TMI25" s="88"/>
      <c r="TMJ25" s="88"/>
      <c r="TMK25" s="91"/>
      <c r="TML25" s="93"/>
      <c r="TMM25" s="93"/>
      <c r="TMN25" s="88"/>
      <c r="TMO25" s="88"/>
      <c r="TMP25" s="90"/>
      <c r="TMQ25" s="90"/>
      <c r="TMR25" s="88"/>
      <c r="TMS25" s="88"/>
      <c r="TMT25" s="90"/>
      <c r="TMU25" s="93"/>
      <c r="TMV25" s="88"/>
      <c r="TMW25" s="88"/>
      <c r="TMX25" s="91"/>
      <c r="TMY25" s="93"/>
      <c r="TMZ25" s="93"/>
      <c r="TNA25" s="88"/>
      <c r="TNB25" s="88"/>
      <c r="TNC25" s="90"/>
      <c r="TND25" s="90"/>
      <c r="TNE25" s="88"/>
      <c r="TNF25" s="88"/>
      <c r="TNG25" s="90"/>
      <c r="TNH25" s="93"/>
      <c r="TNI25" s="88"/>
      <c r="TNJ25" s="88"/>
      <c r="TNK25" s="91"/>
      <c r="TNL25" s="93"/>
      <c r="TNM25" s="93"/>
      <c r="TNN25" s="88"/>
      <c r="TNO25" s="88"/>
      <c r="TNP25" s="90"/>
      <c r="TNQ25" s="90"/>
      <c r="TNR25" s="88"/>
      <c r="TNS25" s="88"/>
      <c r="TNT25" s="90"/>
      <c r="TNU25" s="93"/>
      <c r="TNV25" s="88"/>
      <c r="TNW25" s="88"/>
      <c r="TNX25" s="91"/>
      <c r="TNY25" s="93"/>
      <c r="TNZ25" s="93"/>
      <c r="TOA25" s="88"/>
      <c r="TOB25" s="88"/>
      <c r="TOC25" s="90"/>
      <c r="TOD25" s="90"/>
      <c r="TOE25" s="88"/>
      <c r="TOF25" s="88"/>
      <c r="TOG25" s="90"/>
      <c r="TOH25" s="93"/>
      <c r="TOI25" s="88"/>
      <c r="TOJ25" s="88"/>
      <c r="TOK25" s="91"/>
      <c r="TOL25" s="93"/>
      <c r="TOM25" s="93"/>
      <c r="TON25" s="88"/>
      <c r="TOO25" s="88"/>
      <c r="TOP25" s="90"/>
      <c r="TOQ25" s="90"/>
      <c r="TOR25" s="88"/>
      <c r="TOS25" s="88"/>
      <c r="TOT25" s="90"/>
      <c r="TOU25" s="93"/>
      <c r="TOV25" s="88"/>
      <c r="TOW25" s="88"/>
      <c r="TOX25" s="91"/>
      <c r="TOY25" s="93"/>
      <c r="TOZ25" s="93"/>
      <c r="TPA25" s="88"/>
      <c r="TPB25" s="88"/>
      <c r="TPC25" s="90"/>
      <c r="TPD25" s="90"/>
      <c r="TPE25" s="88"/>
      <c r="TPF25" s="88"/>
      <c r="TPG25" s="90"/>
      <c r="TPH25" s="93"/>
      <c r="TPI25" s="88"/>
      <c r="TPJ25" s="88"/>
      <c r="TPK25" s="91"/>
      <c r="TPL25" s="93"/>
      <c r="TPM25" s="93"/>
      <c r="TPN25" s="88"/>
      <c r="TPO25" s="88"/>
      <c r="TPP25" s="90"/>
      <c r="TPQ25" s="90"/>
      <c r="TPR25" s="88"/>
      <c r="TPS25" s="88"/>
      <c r="TPT25" s="90"/>
      <c r="TPU25" s="93"/>
      <c r="TPV25" s="88"/>
      <c r="TPW25" s="88"/>
      <c r="TPX25" s="91"/>
      <c r="TPY25" s="93"/>
      <c r="TPZ25" s="93"/>
      <c r="TQA25" s="88"/>
      <c r="TQB25" s="88"/>
      <c r="TQC25" s="90"/>
      <c r="TQD25" s="90"/>
      <c r="TQE25" s="88"/>
      <c r="TQF25" s="88"/>
      <c r="TQG25" s="90"/>
      <c r="TQH25" s="93"/>
      <c r="TQI25" s="88"/>
      <c r="TQJ25" s="88"/>
      <c r="TQK25" s="91"/>
      <c r="TQL25" s="93"/>
      <c r="TQM25" s="93"/>
      <c r="TQN25" s="88"/>
      <c r="TQO25" s="88"/>
      <c r="TQP25" s="90"/>
      <c r="TQQ25" s="90"/>
      <c r="TQR25" s="88"/>
      <c r="TQS25" s="88"/>
      <c r="TQT25" s="90"/>
      <c r="TQU25" s="93"/>
      <c r="TQV25" s="88"/>
      <c r="TQW25" s="88"/>
      <c r="TQX25" s="91"/>
      <c r="TQY25" s="93"/>
      <c r="TQZ25" s="93"/>
      <c r="TRA25" s="88"/>
      <c r="TRB25" s="88"/>
      <c r="TRC25" s="90"/>
      <c r="TRD25" s="90"/>
      <c r="TRE25" s="88"/>
      <c r="TRF25" s="88"/>
      <c r="TRG25" s="90"/>
      <c r="TRH25" s="93"/>
      <c r="TRI25" s="88"/>
      <c r="TRJ25" s="88"/>
      <c r="TRK25" s="91"/>
      <c r="TRL25" s="93"/>
      <c r="TRM25" s="93"/>
      <c r="TRN25" s="88"/>
      <c r="TRO25" s="88"/>
      <c r="TRP25" s="90"/>
      <c r="TRQ25" s="90"/>
      <c r="TRR25" s="88"/>
      <c r="TRS25" s="88"/>
      <c r="TRT25" s="90"/>
      <c r="TRU25" s="93"/>
      <c r="TRV25" s="88"/>
      <c r="TRW25" s="88"/>
      <c r="TRX25" s="91"/>
      <c r="TRY25" s="93"/>
      <c r="TRZ25" s="93"/>
      <c r="TSA25" s="88"/>
      <c r="TSB25" s="88"/>
      <c r="TSC25" s="90"/>
      <c r="TSD25" s="90"/>
      <c r="TSE25" s="88"/>
      <c r="TSF25" s="88"/>
      <c r="TSG25" s="90"/>
      <c r="TSH25" s="93"/>
      <c r="TSI25" s="88"/>
      <c r="TSJ25" s="88"/>
      <c r="TSK25" s="91"/>
      <c r="TSL25" s="93"/>
      <c r="TSM25" s="93"/>
      <c r="TSN25" s="88"/>
      <c r="TSO25" s="88"/>
      <c r="TSP25" s="90"/>
      <c r="TSQ25" s="90"/>
      <c r="TSR25" s="88"/>
      <c r="TSS25" s="88"/>
      <c r="TST25" s="90"/>
      <c r="TSU25" s="93"/>
      <c r="TSV25" s="88"/>
      <c r="TSW25" s="88"/>
      <c r="TSX25" s="91"/>
      <c r="TSY25" s="93"/>
      <c r="TSZ25" s="93"/>
      <c r="TTA25" s="88"/>
      <c r="TTB25" s="88"/>
      <c r="TTC25" s="90"/>
      <c r="TTD25" s="90"/>
      <c r="TTE25" s="88"/>
      <c r="TTF25" s="88"/>
      <c r="TTG25" s="90"/>
      <c r="TTH25" s="93"/>
      <c r="TTI25" s="88"/>
      <c r="TTJ25" s="88"/>
      <c r="TTK25" s="91"/>
      <c r="TTL25" s="93"/>
      <c r="TTM25" s="93"/>
      <c r="TTN25" s="88"/>
      <c r="TTO25" s="88"/>
      <c r="TTP25" s="90"/>
      <c r="TTQ25" s="90"/>
      <c r="TTR25" s="88"/>
      <c r="TTS25" s="88"/>
      <c r="TTT25" s="90"/>
      <c r="TTU25" s="93"/>
      <c r="TTV25" s="88"/>
      <c r="TTW25" s="88"/>
      <c r="TTX25" s="91"/>
      <c r="TTY25" s="93"/>
      <c r="TTZ25" s="93"/>
      <c r="TUA25" s="88"/>
      <c r="TUB25" s="88"/>
      <c r="TUC25" s="90"/>
      <c r="TUD25" s="90"/>
      <c r="TUE25" s="88"/>
      <c r="TUF25" s="88"/>
      <c r="TUG25" s="90"/>
      <c r="TUH25" s="93"/>
      <c r="TUI25" s="88"/>
      <c r="TUJ25" s="88"/>
      <c r="TUK25" s="91"/>
      <c r="TUL25" s="93"/>
      <c r="TUM25" s="93"/>
      <c r="TUN25" s="88"/>
      <c r="TUO25" s="88"/>
      <c r="TUP25" s="90"/>
      <c r="TUQ25" s="90"/>
      <c r="TUR25" s="88"/>
      <c r="TUS25" s="88"/>
      <c r="TUT25" s="90"/>
      <c r="TUU25" s="93"/>
      <c r="TUV25" s="88"/>
      <c r="TUW25" s="88"/>
      <c r="TUX25" s="91"/>
      <c r="TUY25" s="93"/>
      <c r="TUZ25" s="93"/>
      <c r="TVA25" s="88"/>
      <c r="TVB25" s="88"/>
      <c r="TVC25" s="90"/>
      <c r="TVD25" s="90"/>
      <c r="TVE25" s="88"/>
      <c r="TVF25" s="88"/>
      <c r="TVG25" s="90"/>
      <c r="TVH25" s="93"/>
      <c r="TVI25" s="88"/>
      <c r="TVJ25" s="88"/>
      <c r="TVK25" s="91"/>
      <c r="TVL25" s="93"/>
      <c r="TVM25" s="93"/>
      <c r="TVN25" s="88"/>
      <c r="TVO25" s="88"/>
      <c r="TVP25" s="90"/>
      <c r="TVQ25" s="90"/>
      <c r="TVR25" s="88"/>
      <c r="TVS25" s="88"/>
      <c r="TVT25" s="90"/>
      <c r="TVU25" s="93"/>
      <c r="TVV25" s="88"/>
      <c r="TVW25" s="88"/>
      <c r="TVX25" s="91"/>
      <c r="TVY25" s="93"/>
      <c r="TVZ25" s="93"/>
      <c r="TWA25" s="88"/>
      <c r="TWB25" s="88"/>
      <c r="TWC25" s="90"/>
      <c r="TWD25" s="90"/>
      <c r="TWE25" s="88"/>
      <c r="TWF25" s="88"/>
      <c r="TWG25" s="90"/>
      <c r="TWH25" s="93"/>
      <c r="TWI25" s="88"/>
      <c r="TWJ25" s="88"/>
      <c r="TWK25" s="91"/>
      <c r="TWL25" s="93"/>
      <c r="TWM25" s="93"/>
      <c r="TWN25" s="88"/>
      <c r="TWO25" s="88"/>
      <c r="TWP25" s="90"/>
      <c r="TWQ25" s="90"/>
      <c r="TWR25" s="88"/>
      <c r="TWS25" s="88"/>
      <c r="TWT25" s="90"/>
      <c r="TWU25" s="93"/>
      <c r="TWV25" s="88"/>
      <c r="TWW25" s="88"/>
      <c r="TWX25" s="91"/>
      <c r="TWY25" s="93"/>
      <c r="TWZ25" s="93"/>
      <c r="TXA25" s="88"/>
      <c r="TXB25" s="88"/>
      <c r="TXC25" s="90"/>
      <c r="TXD25" s="90"/>
      <c r="TXE25" s="88"/>
      <c r="TXF25" s="88"/>
      <c r="TXG25" s="90"/>
      <c r="TXH25" s="93"/>
      <c r="TXI25" s="88"/>
      <c r="TXJ25" s="88"/>
      <c r="TXK25" s="91"/>
      <c r="TXL25" s="93"/>
      <c r="TXM25" s="93"/>
      <c r="TXN25" s="88"/>
      <c r="TXO25" s="88"/>
      <c r="TXP25" s="90"/>
      <c r="TXQ25" s="90"/>
      <c r="TXR25" s="88"/>
      <c r="TXS25" s="88"/>
      <c r="TXT25" s="90"/>
      <c r="TXU25" s="93"/>
      <c r="TXV25" s="88"/>
      <c r="TXW25" s="88"/>
      <c r="TXX25" s="91"/>
      <c r="TXY25" s="93"/>
      <c r="TXZ25" s="93"/>
      <c r="TYA25" s="88"/>
      <c r="TYB25" s="88"/>
      <c r="TYC25" s="90"/>
      <c r="TYD25" s="90"/>
      <c r="TYE25" s="88"/>
      <c r="TYF25" s="88"/>
      <c r="TYG25" s="90"/>
      <c r="TYH25" s="93"/>
      <c r="TYI25" s="88"/>
      <c r="TYJ25" s="88"/>
      <c r="TYK25" s="91"/>
      <c r="TYL25" s="93"/>
      <c r="TYM25" s="93"/>
      <c r="TYN25" s="88"/>
      <c r="TYO25" s="88"/>
      <c r="TYP25" s="90"/>
      <c r="TYQ25" s="90"/>
      <c r="TYR25" s="88"/>
      <c r="TYS25" s="88"/>
      <c r="TYT25" s="90"/>
      <c r="TYU25" s="93"/>
      <c r="TYV25" s="88"/>
      <c r="TYW25" s="88"/>
      <c r="TYX25" s="91"/>
      <c r="TYY25" s="93"/>
      <c r="TYZ25" s="93"/>
      <c r="TZA25" s="88"/>
      <c r="TZB25" s="88"/>
      <c r="TZC25" s="90"/>
      <c r="TZD25" s="90"/>
      <c r="TZE25" s="88"/>
      <c r="TZF25" s="88"/>
      <c r="TZG25" s="90"/>
      <c r="TZH25" s="93"/>
      <c r="TZI25" s="88"/>
      <c r="TZJ25" s="88"/>
      <c r="TZK25" s="91"/>
      <c r="TZL25" s="93"/>
      <c r="TZM25" s="93"/>
      <c r="TZN25" s="88"/>
      <c r="TZO25" s="88"/>
      <c r="TZP25" s="90"/>
      <c r="TZQ25" s="90"/>
      <c r="TZR25" s="88"/>
      <c r="TZS25" s="88"/>
      <c r="TZT25" s="90"/>
      <c r="TZU25" s="93"/>
      <c r="TZV25" s="88"/>
      <c r="TZW25" s="88"/>
      <c r="TZX25" s="91"/>
      <c r="TZY25" s="93"/>
      <c r="TZZ25" s="93"/>
      <c r="UAA25" s="88"/>
      <c r="UAB25" s="88"/>
      <c r="UAC25" s="90"/>
      <c r="UAD25" s="90"/>
      <c r="UAE25" s="88"/>
      <c r="UAF25" s="88"/>
      <c r="UAG25" s="90"/>
      <c r="UAH25" s="93"/>
      <c r="UAI25" s="88"/>
      <c r="UAJ25" s="88"/>
      <c r="UAK25" s="91"/>
      <c r="UAL25" s="93"/>
      <c r="UAM25" s="93"/>
      <c r="UAN25" s="88"/>
      <c r="UAO25" s="88"/>
      <c r="UAP25" s="90"/>
      <c r="UAQ25" s="90"/>
      <c r="UAR25" s="88"/>
      <c r="UAS25" s="88"/>
      <c r="UAT25" s="90"/>
      <c r="UAU25" s="93"/>
      <c r="UAV25" s="88"/>
      <c r="UAW25" s="88"/>
      <c r="UAX25" s="91"/>
      <c r="UAY25" s="93"/>
      <c r="UAZ25" s="93"/>
      <c r="UBA25" s="88"/>
      <c r="UBB25" s="88"/>
      <c r="UBC25" s="90"/>
      <c r="UBD25" s="90"/>
      <c r="UBE25" s="88"/>
      <c r="UBF25" s="88"/>
      <c r="UBG25" s="90"/>
      <c r="UBH25" s="93"/>
      <c r="UBI25" s="88"/>
      <c r="UBJ25" s="88"/>
      <c r="UBK25" s="91"/>
      <c r="UBL25" s="93"/>
      <c r="UBM25" s="93"/>
      <c r="UBN25" s="88"/>
      <c r="UBO25" s="88"/>
      <c r="UBP25" s="90"/>
      <c r="UBQ25" s="90"/>
      <c r="UBR25" s="88"/>
      <c r="UBS25" s="88"/>
      <c r="UBT25" s="90"/>
      <c r="UBU25" s="93"/>
      <c r="UBV25" s="88"/>
      <c r="UBW25" s="88"/>
      <c r="UBX25" s="91"/>
      <c r="UBY25" s="93"/>
      <c r="UBZ25" s="93"/>
      <c r="UCA25" s="88"/>
      <c r="UCB25" s="88"/>
      <c r="UCC25" s="90"/>
      <c r="UCD25" s="90"/>
      <c r="UCE25" s="88"/>
      <c r="UCF25" s="88"/>
      <c r="UCG25" s="90"/>
      <c r="UCH25" s="93"/>
      <c r="UCI25" s="88"/>
      <c r="UCJ25" s="88"/>
      <c r="UCK25" s="91"/>
      <c r="UCL25" s="93"/>
      <c r="UCM25" s="93"/>
      <c r="UCN25" s="88"/>
      <c r="UCO25" s="88"/>
      <c r="UCP25" s="90"/>
      <c r="UCQ25" s="90"/>
      <c r="UCR25" s="88"/>
      <c r="UCS25" s="88"/>
      <c r="UCT25" s="90"/>
      <c r="UCU25" s="93"/>
      <c r="UCV25" s="88"/>
      <c r="UCW25" s="88"/>
      <c r="UCX25" s="91"/>
      <c r="UCY25" s="93"/>
      <c r="UCZ25" s="93"/>
      <c r="UDA25" s="88"/>
      <c r="UDB25" s="88"/>
      <c r="UDC25" s="90"/>
      <c r="UDD25" s="90"/>
      <c r="UDE25" s="88"/>
      <c r="UDF25" s="88"/>
      <c r="UDG25" s="90"/>
      <c r="UDH25" s="93"/>
      <c r="UDI25" s="88"/>
      <c r="UDJ25" s="88"/>
      <c r="UDK25" s="91"/>
      <c r="UDL25" s="93"/>
      <c r="UDM25" s="93"/>
      <c r="UDN25" s="88"/>
      <c r="UDO25" s="88"/>
      <c r="UDP25" s="90"/>
      <c r="UDQ25" s="90"/>
      <c r="UDR25" s="88"/>
      <c r="UDS25" s="88"/>
      <c r="UDT25" s="90"/>
      <c r="UDU25" s="93"/>
      <c r="UDV25" s="88"/>
      <c r="UDW25" s="88"/>
      <c r="UDX25" s="91"/>
      <c r="UDY25" s="93"/>
      <c r="UDZ25" s="93"/>
      <c r="UEA25" s="88"/>
      <c r="UEB25" s="88"/>
      <c r="UEC25" s="90"/>
      <c r="UED25" s="90"/>
      <c r="UEE25" s="88"/>
      <c r="UEF25" s="88"/>
      <c r="UEG25" s="90"/>
      <c r="UEH25" s="93"/>
      <c r="UEI25" s="88"/>
      <c r="UEJ25" s="88"/>
      <c r="UEK25" s="91"/>
      <c r="UEL25" s="93"/>
      <c r="UEM25" s="93"/>
      <c r="UEN25" s="88"/>
      <c r="UEO25" s="88"/>
      <c r="UEP25" s="90"/>
      <c r="UEQ25" s="90"/>
      <c r="UER25" s="88"/>
      <c r="UES25" s="88"/>
      <c r="UET25" s="90"/>
      <c r="UEU25" s="93"/>
      <c r="UEV25" s="88"/>
      <c r="UEW25" s="88"/>
      <c r="UEX25" s="91"/>
      <c r="UEY25" s="93"/>
      <c r="UEZ25" s="93"/>
      <c r="UFA25" s="88"/>
      <c r="UFB25" s="88"/>
      <c r="UFC25" s="90"/>
      <c r="UFD25" s="90"/>
      <c r="UFE25" s="88"/>
      <c r="UFF25" s="88"/>
      <c r="UFG25" s="90"/>
      <c r="UFH25" s="93"/>
      <c r="UFI25" s="88"/>
      <c r="UFJ25" s="88"/>
      <c r="UFK25" s="91"/>
      <c r="UFL25" s="93"/>
      <c r="UFM25" s="93"/>
      <c r="UFN25" s="88"/>
      <c r="UFO25" s="88"/>
      <c r="UFP25" s="90"/>
      <c r="UFQ25" s="90"/>
      <c r="UFR25" s="88"/>
      <c r="UFS25" s="88"/>
      <c r="UFT25" s="90"/>
      <c r="UFU25" s="93"/>
      <c r="UFV25" s="88"/>
      <c r="UFW25" s="88"/>
      <c r="UFX25" s="91"/>
      <c r="UFY25" s="93"/>
      <c r="UFZ25" s="93"/>
      <c r="UGA25" s="88"/>
      <c r="UGB25" s="88"/>
      <c r="UGC25" s="90"/>
      <c r="UGD25" s="90"/>
      <c r="UGE25" s="88"/>
      <c r="UGF25" s="88"/>
      <c r="UGG25" s="90"/>
      <c r="UGH25" s="93"/>
      <c r="UGI25" s="88"/>
      <c r="UGJ25" s="88"/>
      <c r="UGK25" s="91"/>
      <c r="UGL25" s="93"/>
      <c r="UGM25" s="93"/>
      <c r="UGN25" s="88"/>
      <c r="UGO25" s="88"/>
      <c r="UGP25" s="90"/>
      <c r="UGQ25" s="90"/>
      <c r="UGR25" s="88"/>
      <c r="UGS25" s="88"/>
      <c r="UGT25" s="90"/>
      <c r="UGU25" s="93"/>
      <c r="UGV25" s="88"/>
      <c r="UGW25" s="88"/>
      <c r="UGX25" s="91"/>
      <c r="UGY25" s="93"/>
      <c r="UGZ25" s="93"/>
      <c r="UHA25" s="88"/>
      <c r="UHB25" s="88"/>
      <c r="UHC25" s="90"/>
      <c r="UHD25" s="90"/>
      <c r="UHE25" s="88"/>
      <c r="UHF25" s="88"/>
      <c r="UHG25" s="90"/>
      <c r="UHH25" s="93"/>
      <c r="UHI25" s="88"/>
      <c r="UHJ25" s="88"/>
      <c r="UHK25" s="91"/>
      <c r="UHL25" s="93"/>
      <c r="UHM25" s="93"/>
      <c r="UHN25" s="88"/>
      <c r="UHO25" s="88"/>
      <c r="UHP25" s="90"/>
      <c r="UHQ25" s="90"/>
      <c r="UHR25" s="88"/>
      <c r="UHS25" s="88"/>
      <c r="UHT25" s="90"/>
      <c r="UHU25" s="93"/>
      <c r="UHV25" s="88"/>
      <c r="UHW25" s="88"/>
      <c r="UHX25" s="91"/>
      <c r="UHY25" s="93"/>
      <c r="UHZ25" s="93"/>
      <c r="UIA25" s="88"/>
      <c r="UIB25" s="88"/>
      <c r="UIC25" s="90"/>
      <c r="UID25" s="90"/>
      <c r="UIE25" s="88"/>
      <c r="UIF25" s="88"/>
      <c r="UIG25" s="90"/>
      <c r="UIH25" s="93"/>
      <c r="UII25" s="88"/>
      <c r="UIJ25" s="88"/>
      <c r="UIK25" s="91"/>
      <c r="UIL25" s="93"/>
      <c r="UIM25" s="93"/>
      <c r="UIN25" s="88"/>
      <c r="UIO25" s="88"/>
      <c r="UIP25" s="90"/>
      <c r="UIQ25" s="90"/>
      <c r="UIR25" s="88"/>
      <c r="UIS25" s="88"/>
      <c r="UIT25" s="90"/>
      <c r="UIU25" s="93"/>
      <c r="UIV25" s="88"/>
      <c r="UIW25" s="88"/>
      <c r="UIX25" s="91"/>
      <c r="UIY25" s="93"/>
      <c r="UIZ25" s="93"/>
      <c r="UJA25" s="88"/>
      <c r="UJB25" s="88"/>
      <c r="UJC25" s="90"/>
      <c r="UJD25" s="90"/>
      <c r="UJE25" s="88"/>
      <c r="UJF25" s="88"/>
      <c r="UJG25" s="90"/>
      <c r="UJH25" s="93"/>
      <c r="UJI25" s="88"/>
      <c r="UJJ25" s="88"/>
      <c r="UJK25" s="91"/>
      <c r="UJL25" s="93"/>
      <c r="UJM25" s="93"/>
      <c r="UJN25" s="88"/>
      <c r="UJO25" s="88"/>
      <c r="UJP25" s="90"/>
      <c r="UJQ25" s="90"/>
      <c r="UJR25" s="88"/>
      <c r="UJS25" s="88"/>
      <c r="UJT25" s="90"/>
      <c r="UJU25" s="93"/>
      <c r="UJV25" s="88"/>
      <c r="UJW25" s="88"/>
      <c r="UJX25" s="91"/>
      <c r="UJY25" s="93"/>
      <c r="UJZ25" s="93"/>
      <c r="UKA25" s="88"/>
      <c r="UKB25" s="88"/>
      <c r="UKC25" s="90"/>
      <c r="UKD25" s="90"/>
      <c r="UKE25" s="88"/>
      <c r="UKF25" s="88"/>
      <c r="UKG25" s="90"/>
      <c r="UKH25" s="93"/>
      <c r="UKI25" s="88"/>
      <c r="UKJ25" s="88"/>
      <c r="UKK25" s="91"/>
      <c r="UKL25" s="93"/>
      <c r="UKM25" s="93"/>
      <c r="UKN25" s="88"/>
      <c r="UKO25" s="88"/>
      <c r="UKP25" s="90"/>
      <c r="UKQ25" s="90"/>
      <c r="UKR25" s="88"/>
      <c r="UKS25" s="88"/>
      <c r="UKT25" s="90"/>
      <c r="UKU25" s="93"/>
      <c r="UKV25" s="88"/>
      <c r="UKW25" s="88"/>
      <c r="UKX25" s="91"/>
      <c r="UKY25" s="93"/>
      <c r="UKZ25" s="93"/>
      <c r="ULA25" s="88"/>
      <c r="ULB25" s="88"/>
      <c r="ULC25" s="90"/>
      <c r="ULD25" s="90"/>
      <c r="ULE25" s="88"/>
      <c r="ULF25" s="88"/>
      <c r="ULG25" s="90"/>
      <c r="ULH25" s="93"/>
      <c r="ULI25" s="88"/>
      <c r="ULJ25" s="88"/>
      <c r="ULK25" s="91"/>
      <c r="ULL25" s="93"/>
      <c r="ULM25" s="93"/>
      <c r="ULN25" s="88"/>
      <c r="ULO25" s="88"/>
      <c r="ULP25" s="90"/>
      <c r="ULQ25" s="90"/>
      <c r="ULR25" s="88"/>
      <c r="ULS25" s="88"/>
      <c r="ULT25" s="90"/>
      <c r="ULU25" s="93"/>
      <c r="ULV25" s="88"/>
      <c r="ULW25" s="88"/>
      <c r="ULX25" s="91"/>
      <c r="ULY25" s="93"/>
      <c r="ULZ25" s="93"/>
      <c r="UMA25" s="88"/>
      <c r="UMB25" s="88"/>
      <c r="UMC25" s="90"/>
      <c r="UMD25" s="90"/>
      <c r="UME25" s="88"/>
      <c r="UMF25" s="88"/>
      <c r="UMG25" s="90"/>
      <c r="UMH25" s="93"/>
      <c r="UMI25" s="88"/>
      <c r="UMJ25" s="88"/>
      <c r="UMK25" s="91"/>
      <c r="UML25" s="93"/>
      <c r="UMM25" s="93"/>
      <c r="UMN25" s="88"/>
      <c r="UMO25" s="88"/>
      <c r="UMP25" s="90"/>
      <c r="UMQ25" s="90"/>
      <c r="UMR25" s="88"/>
      <c r="UMS25" s="88"/>
      <c r="UMT25" s="90"/>
      <c r="UMU25" s="93"/>
      <c r="UMV25" s="88"/>
      <c r="UMW25" s="88"/>
      <c r="UMX25" s="91"/>
      <c r="UMY25" s="93"/>
      <c r="UMZ25" s="93"/>
      <c r="UNA25" s="88"/>
      <c r="UNB25" s="88"/>
      <c r="UNC25" s="90"/>
      <c r="UND25" s="90"/>
      <c r="UNE25" s="88"/>
      <c r="UNF25" s="88"/>
      <c r="UNG25" s="90"/>
      <c r="UNH25" s="93"/>
      <c r="UNI25" s="88"/>
      <c r="UNJ25" s="88"/>
      <c r="UNK25" s="91"/>
      <c r="UNL25" s="93"/>
      <c r="UNM25" s="93"/>
      <c r="UNN25" s="88"/>
      <c r="UNO25" s="88"/>
      <c r="UNP25" s="90"/>
      <c r="UNQ25" s="90"/>
      <c r="UNR25" s="88"/>
      <c r="UNS25" s="88"/>
      <c r="UNT25" s="90"/>
      <c r="UNU25" s="93"/>
      <c r="UNV25" s="88"/>
      <c r="UNW25" s="88"/>
      <c r="UNX25" s="91"/>
      <c r="UNY25" s="93"/>
      <c r="UNZ25" s="93"/>
      <c r="UOA25" s="88"/>
      <c r="UOB25" s="88"/>
      <c r="UOC25" s="90"/>
      <c r="UOD25" s="90"/>
      <c r="UOE25" s="88"/>
      <c r="UOF25" s="88"/>
      <c r="UOG25" s="90"/>
      <c r="UOH25" s="93"/>
      <c r="UOI25" s="88"/>
      <c r="UOJ25" s="88"/>
      <c r="UOK25" s="91"/>
      <c r="UOL25" s="93"/>
      <c r="UOM25" s="93"/>
      <c r="UON25" s="88"/>
      <c r="UOO25" s="88"/>
      <c r="UOP25" s="90"/>
      <c r="UOQ25" s="90"/>
      <c r="UOR25" s="88"/>
      <c r="UOS25" s="88"/>
      <c r="UOT25" s="90"/>
      <c r="UOU25" s="93"/>
      <c r="UOV25" s="88"/>
      <c r="UOW25" s="88"/>
      <c r="UOX25" s="91"/>
      <c r="UOY25" s="93"/>
      <c r="UOZ25" s="93"/>
      <c r="UPA25" s="88"/>
      <c r="UPB25" s="88"/>
      <c r="UPC25" s="90"/>
      <c r="UPD25" s="90"/>
      <c r="UPE25" s="88"/>
      <c r="UPF25" s="88"/>
      <c r="UPG25" s="90"/>
      <c r="UPH25" s="93"/>
      <c r="UPI25" s="88"/>
      <c r="UPJ25" s="88"/>
      <c r="UPK25" s="91"/>
      <c r="UPL25" s="93"/>
      <c r="UPM25" s="93"/>
      <c r="UPN25" s="88"/>
      <c r="UPO25" s="88"/>
      <c r="UPP25" s="90"/>
      <c r="UPQ25" s="90"/>
      <c r="UPR25" s="88"/>
      <c r="UPS25" s="88"/>
      <c r="UPT25" s="90"/>
      <c r="UPU25" s="93"/>
      <c r="UPV25" s="88"/>
      <c r="UPW25" s="88"/>
      <c r="UPX25" s="91"/>
      <c r="UPY25" s="93"/>
      <c r="UPZ25" s="93"/>
      <c r="UQA25" s="88"/>
      <c r="UQB25" s="88"/>
      <c r="UQC25" s="90"/>
      <c r="UQD25" s="90"/>
      <c r="UQE25" s="88"/>
      <c r="UQF25" s="88"/>
      <c r="UQG25" s="90"/>
      <c r="UQH25" s="93"/>
      <c r="UQI25" s="88"/>
      <c r="UQJ25" s="88"/>
      <c r="UQK25" s="91"/>
      <c r="UQL25" s="93"/>
      <c r="UQM25" s="93"/>
      <c r="UQN25" s="88"/>
      <c r="UQO25" s="88"/>
      <c r="UQP25" s="90"/>
      <c r="UQQ25" s="90"/>
      <c r="UQR25" s="88"/>
      <c r="UQS25" s="88"/>
      <c r="UQT25" s="90"/>
      <c r="UQU25" s="93"/>
      <c r="UQV25" s="88"/>
      <c r="UQW25" s="88"/>
      <c r="UQX25" s="91"/>
      <c r="UQY25" s="93"/>
      <c r="UQZ25" s="93"/>
      <c r="URA25" s="88"/>
      <c r="URB25" s="88"/>
      <c r="URC25" s="90"/>
      <c r="URD25" s="90"/>
      <c r="URE25" s="88"/>
      <c r="URF25" s="88"/>
      <c r="URG25" s="90"/>
      <c r="URH25" s="93"/>
      <c r="URI25" s="88"/>
      <c r="URJ25" s="88"/>
      <c r="URK25" s="91"/>
      <c r="URL25" s="93"/>
      <c r="URM25" s="93"/>
      <c r="URN25" s="88"/>
      <c r="URO25" s="88"/>
      <c r="URP25" s="90"/>
      <c r="URQ25" s="90"/>
      <c r="URR25" s="88"/>
      <c r="URS25" s="88"/>
      <c r="URT25" s="90"/>
      <c r="URU25" s="93"/>
      <c r="URV25" s="88"/>
      <c r="URW25" s="88"/>
      <c r="URX25" s="91"/>
      <c r="URY25" s="93"/>
      <c r="URZ25" s="93"/>
      <c r="USA25" s="88"/>
      <c r="USB25" s="88"/>
      <c r="USC25" s="90"/>
      <c r="USD25" s="90"/>
      <c r="USE25" s="88"/>
      <c r="USF25" s="88"/>
      <c r="USG25" s="90"/>
      <c r="USH25" s="93"/>
      <c r="USI25" s="88"/>
      <c r="USJ25" s="88"/>
      <c r="USK25" s="91"/>
      <c r="USL25" s="93"/>
      <c r="USM25" s="93"/>
      <c r="USN25" s="88"/>
      <c r="USO25" s="88"/>
      <c r="USP25" s="90"/>
      <c r="USQ25" s="90"/>
      <c r="USR25" s="88"/>
      <c r="USS25" s="88"/>
      <c r="UST25" s="90"/>
      <c r="USU25" s="93"/>
      <c r="USV25" s="88"/>
      <c r="USW25" s="88"/>
      <c r="USX25" s="91"/>
      <c r="USY25" s="93"/>
      <c r="USZ25" s="93"/>
      <c r="UTA25" s="88"/>
      <c r="UTB25" s="88"/>
      <c r="UTC25" s="90"/>
      <c r="UTD25" s="90"/>
      <c r="UTE25" s="88"/>
      <c r="UTF25" s="88"/>
      <c r="UTG25" s="90"/>
      <c r="UTH25" s="93"/>
      <c r="UTI25" s="88"/>
      <c r="UTJ25" s="88"/>
      <c r="UTK25" s="91"/>
      <c r="UTL25" s="93"/>
      <c r="UTM25" s="93"/>
      <c r="UTN25" s="88"/>
      <c r="UTO25" s="88"/>
      <c r="UTP25" s="90"/>
      <c r="UTQ25" s="90"/>
      <c r="UTR25" s="88"/>
      <c r="UTS25" s="88"/>
      <c r="UTT25" s="90"/>
      <c r="UTU25" s="93"/>
      <c r="UTV25" s="88"/>
      <c r="UTW25" s="88"/>
      <c r="UTX25" s="91"/>
      <c r="UTY25" s="93"/>
      <c r="UTZ25" s="93"/>
      <c r="UUA25" s="88"/>
      <c r="UUB25" s="88"/>
      <c r="UUC25" s="90"/>
      <c r="UUD25" s="90"/>
      <c r="UUE25" s="88"/>
      <c r="UUF25" s="88"/>
      <c r="UUG25" s="90"/>
      <c r="UUH25" s="93"/>
      <c r="UUI25" s="88"/>
      <c r="UUJ25" s="88"/>
      <c r="UUK25" s="91"/>
      <c r="UUL25" s="93"/>
      <c r="UUM25" s="93"/>
      <c r="UUN25" s="88"/>
      <c r="UUO25" s="88"/>
      <c r="UUP25" s="90"/>
      <c r="UUQ25" s="90"/>
      <c r="UUR25" s="88"/>
      <c r="UUS25" s="88"/>
      <c r="UUT25" s="90"/>
      <c r="UUU25" s="93"/>
      <c r="UUV25" s="88"/>
      <c r="UUW25" s="88"/>
      <c r="UUX25" s="91"/>
      <c r="UUY25" s="93"/>
      <c r="UUZ25" s="93"/>
      <c r="UVA25" s="88"/>
      <c r="UVB25" s="88"/>
      <c r="UVC25" s="90"/>
      <c r="UVD25" s="90"/>
      <c r="UVE25" s="88"/>
      <c r="UVF25" s="88"/>
      <c r="UVG25" s="90"/>
      <c r="UVH25" s="93"/>
      <c r="UVI25" s="88"/>
      <c r="UVJ25" s="88"/>
      <c r="UVK25" s="91"/>
      <c r="UVL25" s="93"/>
      <c r="UVM25" s="93"/>
      <c r="UVN25" s="88"/>
      <c r="UVO25" s="88"/>
      <c r="UVP25" s="90"/>
      <c r="UVQ25" s="90"/>
      <c r="UVR25" s="88"/>
      <c r="UVS25" s="88"/>
      <c r="UVT25" s="90"/>
      <c r="UVU25" s="93"/>
      <c r="UVV25" s="88"/>
      <c r="UVW25" s="88"/>
      <c r="UVX25" s="91"/>
      <c r="UVY25" s="93"/>
      <c r="UVZ25" s="93"/>
      <c r="UWA25" s="88"/>
      <c r="UWB25" s="88"/>
      <c r="UWC25" s="90"/>
      <c r="UWD25" s="90"/>
      <c r="UWE25" s="88"/>
      <c r="UWF25" s="88"/>
      <c r="UWG25" s="90"/>
      <c r="UWH25" s="93"/>
      <c r="UWI25" s="88"/>
      <c r="UWJ25" s="88"/>
      <c r="UWK25" s="91"/>
      <c r="UWL25" s="93"/>
      <c r="UWM25" s="93"/>
      <c r="UWN25" s="88"/>
      <c r="UWO25" s="88"/>
      <c r="UWP25" s="90"/>
      <c r="UWQ25" s="90"/>
      <c r="UWR25" s="88"/>
      <c r="UWS25" s="88"/>
      <c r="UWT25" s="90"/>
      <c r="UWU25" s="93"/>
      <c r="UWV25" s="88"/>
      <c r="UWW25" s="88"/>
      <c r="UWX25" s="91"/>
      <c r="UWY25" s="93"/>
      <c r="UWZ25" s="93"/>
      <c r="UXA25" s="88"/>
      <c r="UXB25" s="88"/>
      <c r="UXC25" s="90"/>
      <c r="UXD25" s="90"/>
      <c r="UXE25" s="88"/>
      <c r="UXF25" s="88"/>
      <c r="UXG25" s="90"/>
      <c r="UXH25" s="93"/>
      <c r="UXI25" s="88"/>
      <c r="UXJ25" s="88"/>
      <c r="UXK25" s="91"/>
      <c r="UXL25" s="93"/>
      <c r="UXM25" s="93"/>
      <c r="UXN25" s="88"/>
      <c r="UXO25" s="88"/>
      <c r="UXP25" s="90"/>
      <c r="UXQ25" s="90"/>
      <c r="UXR25" s="88"/>
      <c r="UXS25" s="88"/>
      <c r="UXT25" s="90"/>
      <c r="UXU25" s="93"/>
      <c r="UXV25" s="88"/>
      <c r="UXW25" s="88"/>
      <c r="UXX25" s="91"/>
      <c r="UXY25" s="93"/>
      <c r="UXZ25" s="93"/>
      <c r="UYA25" s="88"/>
      <c r="UYB25" s="88"/>
      <c r="UYC25" s="90"/>
      <c r="UYD25" s="90"/>
      <c r="UYE25" s="88"/>
      <c r="UYF25" s="88"/>
      <c r="UYG25" s="90"/>
      <c r="UYH25" s="93"/>
      <c r="UYI25" s="88"/>
      <c r="UYJ25" s="88"/>
      <c r="UYK25" s="91"/>
      <c r="UYL25" s="93"/>
      <c r="UYM25" s="93"/>
      <c r="UYN25" s="88"/>
      <c r="UYO25" s="88"/>
      <c r="UYP25" s="90"/>
      <c r="UYQ25" s="90"/>
      <c r="UYR25" s="88"/>
      <c r="UYS25" s="88"/>
      <c r="UYT25" s="90"/>
      <c r="UYU25" s="93"/>
      <c r="UYV25" s="88"/>
      <c r="UYW25" s="88"/>
      <c r="UYX25" s="91"/>
      <c r="UYY25" s="93"/>
      <c r="UYZ25" s="93"/>
      <c r="UZA25" s="88"/>
      <c r="UZB25" s="88"/>
      <c r="UZC25" s="90"/>
      <c r="UZD25" s="90"/>
      <c r="UZE25" s="88"/>
      <c r="UZF25" s="88"/>
      <c r="UZG25" s="90"/>
      <c r="UZH25" s="93"/>
      <c r="UZI25" s="88"/>
      <c r="UZJ25" s="88"/>
      <c r="UZK25" s="91"/>
      <c r="UZL25" s="93"/>
      <c r="UZM25" s="93"/>
      <c r="UZN25" s="88"/>
      <c r="UZO25" s="88"/>
      <c r="UZP25" s="90"/>
      <c r="UZQ25" s="90"/>
      <c r="UZR25" s="88"/>
      <c r="UZS25" s="88"/>
      <c r="UZT25" s="90"/>
      <c r="UZU25" s="93"/>
      <c r="UZV25" s="88"/>
      <c r="UZW25" s="88"/>
      <c r="UZX25" s="91"/>
      <c r="UZY25" s="93"/>
      <c r="UZZ25" s="93"/>
      <c r="VAA25" s="88"/>
      <c r="VAB25" s="88"/>
      <c r="VAC25" s="90"/>
      <c r="VAD25" s="90"/>
      <c r="VAE25" s="88"/>
      <c r="VAF25" s="88"/>
      <c r="VAG25" s="90"/>
      <c r="VAH25" s="93"/>
      <c r="VAI25" s="88"/>
      <c r="VAJ25" s="88"/>
      <c r="VAK25" s="91"/>
      <c r="VAL25" s="93"/>
      <c r="VAM25" s="93"/>
      <c r="VAN25" s="88"/>
      <c r="VAO25" s="88"/>
      <c r="VAP25" s="90"/>
      <c r="VAQ25" s="90"/>
      <c r="VAR25" s="88"/>
      <c r="VAS25" s="88"/>
      <c r="VAT25" s="90"/>
      <c r="VAU25" s="93"/>
      <c r="VAV25" s="88"/>
      <c r="VAW25" s="88"/>
      <c r="VAX25" s="91"/>
      <c r="VAY25" s="93"/>
      <c r="VAZ25" s="93"/>
      <c r="VBA25" s="88"/>
      <c r="VBB25" s="88"/>
      <c r="VBC25" s="90"/>
      <c r="VBD25" s="90"/>
      <c r="VBE25" s="88"/>
      <c r="VBF25" s="88"/>
      <c r="VBG25" s="90"/>
      <c r="VBH25" s="93"/>
      <c r="VBI25" s="88"/>
      <c r="VBJ25" s="88"/>
      <c r="VBK25" s="91"/>
      <c r="VBL25" s="93"/>
      <c r="VBM25" s="93"/>
      <c r="VBN25" s="88"/>
      <c r="VBO25" s="88"/>
      <c r="VBP25" s="90"/>
      <c r="VBQ25" s="90"/>
      <c r="VBR25" s="88"/>
      <c r="VBS25" s="88"/>
      <c r="VBT25" s="90"/>
      <c r="VBU25" s="93"/>
      <c r="VBV25" s="88"/>
      <c r="VBW25" s="88"/>
      <c r="VBX25" s="91"/>
      <c r="VBY25" s="93"/>
      <c r="VBZ25" s="93"/>
      <c r="VCA25" s="88"/>
      <c r="VCB25" s="88"/>
      <c r="VCC25" s="90"/>
      <c r="VCD25" s="90"/>
      <c r="VCE25" s="88"/>
      <c r="VCF25" s="88"/>
      <c r="VCG25" s="90"/>
      <c r="VCH25" s="93"/>
      <c r="VCI25" s="88"/>
      <c r="VCJ25" s="88"/>
      <c r="VCK25" s="91"/>
      <c r="VCL25" s="93"/>
      <c r="VCM25" s="93"/>
      <c r="VCN25" s="88"/>
      <c r="VCO25" s="88"/>
      <c r="VCP25" s="90"/>
      <c r="VCQ25" s="90"/>
      <c r="VCR25" s="88"/>
      <c r="VCS25" s="88"/>
      <c r="VCT25" s="90"/>
      <c r="VCU25" s="93"/>
      <c r="VCV25" s="88"/>
      <c r="VCW25" s="88"/>
      <c r="VCX25" s="91"/>
      <c r="VCY25" s="93"/>
      <c r="VCZ25" s="93"/>
      <c r="VDA25" s="88"/>
      <c r="VDB25" s="88"/>
      <c r="VDC25" s="90"/>
      <c r="VDD25" s="90"/>
      <c r="VDE25" s="88"/>
      <c r="VDF25" s="88"/>
      <c r="VDG25" s="90"/>
      <c r="VDH25" s="93"/>
      <c r="VDI25" s="88"/>
      <c r="VDJ25" s="88"/>
      <c r="VDK25" s="91"/>
      <c r="VDL25" s="93"/>
      <c r="VDM25" s="93"/>
      <c r="VDN25" s="88"/>
      <c r="VDO25" s="88"/>
      <c r="VDP25" s="90"/>
      <c r="VDQ25" s="90"/>
      <c r="VDR25" s="88"/>
      <c r="VDS25" s="88"/>
      <c r="VDT25" s="90"/>
      <c r="VDU25" s="93"/>
      <c r="VDV25" s="88"/>
      <c r="VDW25" s="88"/>
      <c r="VDX25" s="91"/>
      <c r="VDY25" s="93"/>
      <c r="VDZ25" s="93"/>
      <c r="VEA25" s="88"/>
      <c r="VEB25" s="88"/>
      <c r="VEC25" s="90"/>
      <c r="VED25" s="90"/>
      <c r="VEE25" s="88"/>
      <c r="VEF25" s="88"/>
      <c r="VEG25" s="90"/>
      <c r="VEH25" s="93"/>
      <c r="VEI25" s="88"/>
      <c r="VEJ25" s="88"/>
      <c r="VEK25" s="91"/>
      <c r="VEL25" s="93"/>
      <c r="VEM25" s="93"/>
      <c r="VEN25" s="88"/>
      <c r="VEO25" s="88"/>
      <c r="VEP25" s="90"/>
      <c r="VEQ25" s="90"/>
      <c r="VER25" s="88"/>
      <c r="VES25" s="88"/>
      <c r="VET25" s="90"/>
      <c r="VEU25" s="93"/>
      <c r="VEV25" s="88"/>
      <c r="VEW25" s="88"/>
      <c r="VEX25" s="91"/>
      <c r="VEY25" s="93"/>
      <c r="VEZ25" s="93"/>
      <c r="VFA25" s="88"/>
      <c r="VFB25" s="88"/>
      <c r="VFC25" s="90"/>
      <c r="VFD25" s="90"/>
      <c r="VFE25" s="88"/>
      <c r="VFF25" s="88"/>
      <c r="VFG25" s="90"/>
      <c r="VFH25" s="93"/>
      <c r="VFI25" s="88"/>
      <c r="VFJ25" s="88"/>
      <c r="VFK25" s="91"/>
      <c r="VFL25" s="93"/>
      <c r="VFM25" s="93"/>
      <c r="VFN25" s="88"/>
      <c r="VFO25" s="88"/>
      <c r="VFP25" s="90"/>
      <c r="VFQ25" s="90"/>
      <c r="VFR25" s="88"/>
      <c r="VFS25" s="88"/>
      <c r="VFT25" s="90"/>
      <c r="VFU25" s="93"/>
      <c r="VFV25" s="88"/>
      <c r="VFW25" s="88"/>
      <c r="VFX25" s="91"/>
      <c r="VFY25" s="93"/>
      <c r="VFZ25" s="93"/>
      <c r="VGA25" s="88"/>
      <c r="VGB25" s="88"/>
      <c r="VGC25" s="90"/>
      <c r="VGD25" s="90"/>
      <c r="VGE25" s="88"/>
      <c r="VGF25" s="88"/>
      <c r="VGG25" s="90"/>
      <c r="VGH25" s="93"/>
      <c r="VGI25" s="88"/>
      <c r="VGJ25" s="88"/>
      <c r="VGK25" s="91"/>
      <c r="VGL25" s="93"/>
      <c r="VGM25" s="93"/>
      <c r="VGN25" s="88"/>
      <c r="VGO25" s="88"/>
      <c r="VGP25" s="90"/>
      <c r="VGQ25" s="90"/>
      <c r="VGR25" s="88"/>
      <c r="VGS25" s="88"/>
      <c r="VGT25" s="90"/>
      <c r="VGU25" s="93"/>
      <c r="VGV25" s="88"/>
      <c r="VGW25" s="88"/>
      <c r="VGX25" s="91"/>
      <c r="VGY25" s="93"/>
      <c r="VGZ25" s="93"/>
      <c r="VHA25" s="88"/>
      <c r="VHB25" s="88"/>
      <c r="VHC25" s="90"/>
      <c r="VHD25" s="90"/>
      <c r="VHE25" s="88"/>
      <c r="VHF25" s="88"/>
      <c r="VHG25" s="90"/>
      <c r="VHH25" s="93"/>
      <c r="VHI25" s="88"/>
      <c r="VHJ25" s="88"/>
      <c r="VHK25" s="91"/>
      <c r="VHL25" s="93"/>
      <c r="VHM25" s="93"/>
      <c r="VHN25" s="88"/>
      <c r="VHO25" s="88"/>
      <c r="VHP25" s="90"/>
      <c r="VHQ25" s="90"/>
      <c r="VHR25" s="88"/>
      <c r="VHS25" s="88"/>
      <c r="VHT25" s="90"/>
      <c r="VHU25" s="93"/>
      <c r="VHV25" s="88"/>
      <c r="VHW25" s="88"/>
      <c r="VHX25" s="91"/>
      <c r="VHY25" s="93"/>
      <c r="VHZ25" s="93"/>
      <c r="VIA25" s="88"/>
      <c r="VIB25" s="88"/>
      <c r="VIC25" s="90"/>
      <c r="VID25" s="90"/>
      <c r="VIE25" s="88"/>
      <c r="VIF25" s="88"/>
      <c r="VIG25" s="90"/>
      <c r="VIH25" s="93"/>
      <c r="VII25" s="88"/>
      <c r="VIJ25" s="88"/>
      <c r="VIK25" s="91"/>
      <c r="VIL25" s="93"/>
      <c r="VIM25" s="93"/>
      <c r="VIN25" s="88"/>
      <c r="VIO25" s="88"/>
      <c r="VIP25" s="90"/>
      <c r="VIQ25" s="90"/>
      <c r="VIR25" s="88"/>
      <c r="VIS25" s="88"/>
      <c r="VIT25" s="90"/>
      <c r="VIU25" s="93"/>
      <c r="VIV25" s="88"/>
      <c r="VIW25" s="88"/>
      <c r="VIX25" s="91"/>
      <c r="VIY25" s="93"/>
      <c r="VIZ25" s="93"/>
      <c r="VJA25" s="88"/>
      <c r="VJB25" s="88"/>
      <c r="VJC25" s="90"/>
      <c r="VJD25" s="90"/>
      <c r="VJE25" s="88"/>
      <c r="VJF25" s="88"/>
      <c r="VJG25" s="90"/>
      <c r="VJH25" s="93"/>
      <c r="VJI25" s="88"/>
      <c r="VJJ25" s="88"/>
      <c r="VJK25" s="91"/>
      <c r="VJL25" s="93"/>
      <c r="VJM25" s="93"/>
      <c r="VJN25" s="88"/>
      <c r="VJO25" s="88"/>
      <c r="VJP25" s="90"/>
      <c r="VJQ25" s="90"/>
      <c r="VJR25" s="88"/>
      <c r="VJS25" s="88"/>
      <c r="VJT25" s="90"/>
      <c r="VJU25" s="93"/>
      <c r="VJV25" s="88"/>
      <c r="VJW25" s="88"/>
      <c r="VJX25" s="91"/>
      <c r="VJY25" s="93"/>
      <c r="VJZ25" s="93"/>
      <c r="VKA25" s="88"/>
      <c r="VKB25" s="88"/>
      <c r="VKC25" s="90"/>
      <c r="VKD25" s="90"/>
      <c r="VKE25" s="88"/>
      <c r="VKF25" s="88"/>
      <c r="VKG25" s="90"/>
      <c r="VKH25" s="93"/>
      <c r="VKI25" s="88"/>
      <c r="VKJ25" s="88"/>
      <c r="VKK25" s="91"/>
      <c r="VKL25" s="93"/>
      <c r="VKM25" s="93"/>
      <c r="VKN25" s="88"/>
      <c r="VKO25" s="88"/>
      <c r="VKP25" s="90"/>
      <c r="VKQ25" s="90"/>
      <c r="VKR25" s="88"/>
      <c r="VKS25" s="88"/>
      <c r="VKT25" s="90"/>
      <c r="VKU25" s="93"/>
      <c r="VKV25" s="88"/>
      <c r="VKW25" s="88"/>
      <c r="VKX25" s="91"/>
      <c r="VKY25" s="93"/>
      <c r="VKZ25" s="93"/>
      <c r="VLA25" s="88"/>
      <c r="VLB25" s="88"/>
      <c r="VLC25" s="90"/>
      <c r="VLD25" s="90"/>
      <c r="VLE25" s="88"/>
      <c r="VLF25" s="88"/>
      <c r="VLG25" s="90"/>
      <c r="VLH25" s="93"/>
      <c r="VLI25" s="88"/>
      <c r="VLJ25" s="88"/>
      <c r="VLK25" s="91"/>
      <c r="VLL25" s="93"/>
      <c r="VLM25" s="93"/>
      <c r="VLN25" s="88"/>
      <c r="VLO25" s="88"/>
      <c r="VLP25" s="90"/>
      <c r="VLQ25" s="90"/>
      <c r="VLR25" s="88"/>
      <c r="VLS25" s="88"/>
      <c r="VLT25" s="90"/>
      <c r="VLU25" s="93"/>
      <c r="VLV25" s="88"/>
      <c r="VLW25" s="88"/>
      <c r="VLX25" s="91"/>
      <c r="VLY25" s="93"/>
      <c r="VLZ25" s="93"/>
      <c r="VMA25" s="88"/>
      <c r="VMB25" s="88"/>
      <c r="VMC25" s="90"/>
      <c r="VMD25" s="90"/>
      <c r="VME25" s="88"/>
      <c r="VMF25" s="88"/>
      <c r="VMG25" s="90"/>
      <c r="VMH25" s="93"/>
      <c r="VMI25" s="88"/>
      <c r="VMJ25" s="88"/>
      <c r="VMK25" s="91"/>
      <c r="VML25" s="93"/>
      <c r="VMM25" s="93"/>
      <c r="VMN25" s="88"/>
      <c r="VMO25" s="88"/>
      <c r="VMP25" s="90"/>
      <c r="VMQ25" s="90"/>
      <c r="VMR25" s="88"/>
      <c r="VMS25" s="88"/>
      <c r="VMT25" s="90"/>
      <c r="VMU25" s="93"/>
      <c r="VMV25" s="88"/>
      <c r="VMW25" s="88"/>
      <c r="VMX25" s="91"/>
      <c r="VMY25" s="93"/>
      <c r="VMZ25" s="93"/>
      <c r="VNA25" s="88"/>
      <c r="VNB25" s="88"/>
      <c r="VNC25" s="90"/>
      <c r="VND25" s="90"/>
      <c r="VNE25" s="88"/>
      <c r="VNF25" s="88"/>
      <c r="VNG25" s="90"/>
      <c r="VNH25" s="93"/>
      <c r="VNI25" s="88"/>
      <c r="VNJ25" s="88"/>
      <c r="VNK25" s="91"/>
      <c r="VNL25" s="93"/>
      <c r="VNM25" s="93"/>
      <c r="VNN25" s="88"/>
      <c r="VNO25" s="88"/>
      <c r="VNP25" s="90"/>
      <c r="VNQ25" s="90"/>
      <c r="VNR25" s="88"/>
      <c r="VNS25" s="88"/>
      <c r="VNT25" s="90"/>
      <c r="VNU25" s="93"/>
      <c r="VNV25" s="88"/>
      <c r="VNW25" s="88"/>
      <c r="VNX25" s="91"/>
      <c r="VNY25" s="93"/>
      <c r="VNZ25" s="93"/>
      <c r="VOA25" s="88"/>
      <c r="VOB25" s="88"/>
      <c r="VOC25" s="90"/>
      <c r="VOD25" s="90"/>
      <c r="VOE25" s="88"/>
      <c r="VOF25" s="88"/>
      <c r="VOG25" s="90"/>
      <c r="VOH25" s="93"/>
      <c r="VOI25" s="88"/>
      <c r="VOJ25" s="88"/>
      <c r="VOK25" s="91"/>
      <c r="VOL25" s="93"/>
      <c r="VOM25" s="93"/>
      <c r="VON25" s="88"/>
      <c r="VOO25" s="88"/>
      <c r="VOP25" s="90"/>
      <c r="VOQ25" s="90"/>
      <c r="VOR25" s="88"/>
      <c r="VOS25" s="88"/>
      <c r="VOT25" s="90"/>
      <c r="VOU25" s="93"/>
      <c r="VOV25" s="88"/>
      <c r="VOW25" s="88"/>
      <c r="VOX25" s="91"/>
      <c r="VOY25" s="93"/>
      <c r="VOZ25" s="93"/>
      <c r="VPA25" s="88"/>
      <c r="VPB25" s="88"/>
      <c r="VPC25" s="90"/>
      <c r="VPD25" s="90"/>
      <c r="VPE25" s="88"/>
      <c r="VPF25" s="88"/>
      <c r="VPG25" s="90"/>
      <c r="VPH25" s="93"/>
      <c r="VPI25" s="88"/>
      <c r="VPJ25" s="88"/>
      <c r="VPK25" s="91"/>
      <c r="VPL25" s="93"/>
      <c r="VPM25" s="93"/>
      <c r="VPN25" s="88"/>
      <c r="VPO25" s="88"/>
      <c r="VPP25" s="90"/>
      <c r="VPQ25" s="90"/>
      <c r="VPR25" s="88"/>
      <c r="VPS25" s="88"/>
      <c r="VPT25" s="90"/>
      <c r="VPU25" s="93"/>
      <c r="VPV25" s="88"/>
      <c r="VPW25" s="88"/>
      <c r="VPX25" s="91"/>
      <c r="VPY25" s="93"/>
      <c r="VPZ25" s="93"/>
      <c r="VQA25" s="88"/>
      <c r="VQB25" s="88"/>
      <c r="VQC25" s="90"/>
      <c r="VQD25" s="90"/>
      <c r="VQE25" s="88"/>
      <c r="VQF25" s="88"/>
      <c r="VQG25" s="90"/>
      <c r="VQH25" s="93"/>
      <c r="VQI25" s="88"/>
      <c r="VQJ25" s="88"/>
      <c r="VQK25" s="91"/>
      <c r="VQL25" s="93"/>
      <c r="VQM25" s="93"/>
      <c r="VQN25" s="88"/>
      <c r="VQO25" s="88"/>
      <c r="VQP25" s="90"/>
      <c r="VQQ25" s="90"/>
      <c r="VQR25" s="88"/>
      <c r="VQS25" s="88"/>
      <c r="VQT25" s="90"/>
      <c r="VQU25" s="93"/>
      <c r="VQV25" s="88"/>
      <c r="VQW25" s="88"/>
      <c r="VQX25" s="91"/>
      <c r="VQY25" s="93"/>
      <c r="VQZ25" s="93"/>
      <c r="VRA25" s="88"/>
      <c r="VRB25" s="88"/>
      <c r="VRC25" s="90"/>
      <c r="VRD25" s="90"/>
      <c r="VRE25" s="88"/>
      <c r="VRF25" s="88"/>
      <c r="VRG25" s="90"/>
      <c r="VRH25" s="93"/>
      <c r="VRI25" s="88"/>
      <c r="VRJ25" s="88"/>
      <c r="VRK25" s="91"/>
      <c r="VRL25" s="93"/>
      <c r="VRM25" s="93"/>
      <c r="VRN25" s="88"/>
      <c r="VRO25" s="88"/>
      <c r="VRP25" s="90"/>
      <c r="VRQ25" s="90"/>
      <c r="VRR25" s="88"/>
      <c r="VRS25" s="88"/>
      <c r="VRT25" s="90"/>
      <c r="VRU25" s="93"/>
      <c r="VRV25" s="88"/>
      <c r="VRW25" s="88"/>
      <c r="VRX25" s="91"/>
      <c r="VRY25" s="93"/>
      <c r="VRZ25" s="93"/>
      <c r="VSA25" s="88"/>
      <c r="VSB25" s="88"/>
      <c r="VSC25" s="90"/>
      <c r="VSD25" s="90"/>
      <c r="VSE25" s="88"/>
      <c r="VSF25" s="88"/>
      <c r="VSG25" s="90"/>
      <c r="VSH25" s="93"/>
      <c r="VSI25" s="88"/>
      <c r="VSJ25" s="88"/>
      <c r="VSK25" s="91"/>
      <c r="VSL25" s="93"/>
      <c r="VSM25" s="93"/>
      <c r="VSN25" s="88"/>
      <c r="VSO25" s="88"/>
      <c r="VSP25" s="90"/>
      <c r="VSQ25" s="90"/>
      <c r="VSR25" s="88"/>
      <c r="VSS25" s="88"/>
      <c r="VST25" s="90"/>
      <c r="VSU25" s="93"/>
      <c r="VSV25" s="88"/>
      <c r="VSW25" s="88"/>
      <c r="VSX25" s="91"/>
      <c r="VSY25" s="93"/>
      <c r="VSZ25" s="93"/>
      <c r="VTA25" s="88"/>
      <c r="VTB25" s="88"/>
      <c r="VTC25" s="90"/>
      <c r="VTD25" s="90"/>
      <c r="VTE25" s="88"/>
      <c r="VTF25" s="88"/>
      <c r="VTG25" s="90"/>
      <c r="VTH25" s="93"/>
      <c r="VTI25" s="88"/>
      <c r="VTJ25" s="88"/>
      <c r="VTK25" s="91"/>
      <c r="VTL25" s="93"/>
      <c r="VTM25" s="93"/>
      <c r="VTN25" s="88"/>
      <c r="VTO25" s="88"/>
      <c r="VTP25" s="90"/>
      <c r="VTQ25" s="90"/>
      <c r="VTR25" s="88"/>
      <c r="VTS25" s="88"/>
      <c r="VTT25" s="90"/>
      <c r="VTU25" s="93"/>
      <c r="VTV25" s="88"/>
      <c r="VTW25" s="88"/>
      <c r="VTX25" s="91"/>
      <c r="VTY25" s="93"/>
      <c r="VTZ25" s="93"/>
      <c r="VUA25" s="88"/>
      <c r="VUB25" s="88"/>
      <c r="VUC25" s="90"/>
      <c r="VUD25" s="90"/>
      <c r="VUE25" s="88"/>
      <c r="VUF25" s="88"/>
      <c r="VUG25" s="90"/>
      <c r="VUH25" s="93"/>
      <c r="VUI25" s="88"/>
      <c r="VUJ25" s="88"/>
      <c r="VUK25" s="91"/>
      <c r="VUL25" s="93"/>
      <c r="VUM25" s="93"/>
      <c r="VUN25" s="88"/>
      <c r="VUO25" s="88"/>
      <c r="VUP25" s="90"/>
      <c r="VUQ25" s="90"/>
      <c r="VUR25" s="88"/>
      <c r="VUS25" s="88"/>
      <c r="VUT25" s="90"/>
      <c r="VUU25" s="93"/>
      <c r="VUV25" s="88"/>
      <c r="VUW25" s="88"/>
      <c r="VUX25" s="91"/>
      <c r="VUY25" s="93"/>
      <c r="VUZ25" s="93"/>
      <c r="VVA25" s="88"/>
      <c r="VVB25" s="88"/>
      <c r="VVC25" s="90"/>
      <c r="VVD25" s="90"/>
      <c r="VVE25" s="88"/>
      <c r="VVF25" s="88"/>
      <c r="VVG25" s="90"/>
      <c r="VVH25" s="93"/>
      <c r="VVI25" s="88"/>
      <c r="VVJ25" s="88"/>
      <c r="VVK25" s="91"/>
      <c r="VVL25" s="93"/>
      <c r="VVM25" s="93"/>
      <c r="VVN25" s="88"/>
      <c r="VVO25" s="88"/>
      <c r="VVP25" s="90"/>
      <c r="VVQ25" s="90"/>
      <c r="VVR25" s="88"/>
      <c r="VVS25" s="88"/>
      <c r="VVT25" s="90"/>
      <c r="VVU25" s="93"/>
      <c r="VVV25" s="88"/>
      <c r="VVW25" s="88"/>
      <c r="VVX25" s="91"/>
      <c r="VVY25" s="93"/>
      <c r="VVZ25" s="93"/>
      <c r="VWA25" s="88"/>
      <c r="VWB25" s="88"/>
      <c r="VWC25" s="90"/>
      <c r="VWD25" s="90"/>
      <c r="VWE25" s="88"/>
      <c r="VWF25" s="88"/>
      <c r="VWG25" s="90"/>
      <c r="VWH25" s="93"/>
      <c r="VWI25" s="88"/>
      <c r="VWJ25" s="88"/>
      <c r="VWK25" s="91"/>
      <c r="VWL25" s="93"/>
      <c r="VWM25" s="93"/>
      <c r="VWN25" s="88"/>
      <c r="VWO25" s="88"/>
      <c r="VWP25" s="90"/>
      <c r="VWQ25" s="90"/>
      <c r="VWR25" s="88"/>
      <c r="VWS25" s="88"/>
      <c r="VWT25" s="90"/>
      <c r="VWU25" s="93"/>
      <c r="VWV25" s="88"/>
      <c r="VWW25" s="88"/>
      <c r="VWX25" s="91"/>
      <c r="VWY25" s="93"/>
      <c r="VWZ25" s="93"/>
      <c r="VXA25" s="88"/>
      <c r="VXB25" s="88"/>
      <c r="VXC25" s="90"/>
      <c r="VXD25" s="90"/>
      <c r="VXE25" s="88"/>
      <c r="VXF25" s="88"/>
      <c r="VXG25" s="90"/>
      <c r="VXH25" s="93"/>
      <c r="VXI25" s="88"/>
      <c r="VXJ25" s="88"/>
      <c r="VXK25" s="91"/>
      <c r="VXL25" s="93"/>
      <c r="VXM25" s="93"/>
      <c r="VXN25" s="88"/>
      <c r="VXO25" s="88"/>
      <c r="VXP25" s="90"/>
      <c r="VXQ25" s="90"/>
      <c r="VXR25" s="88"/>
      <c r="VXS25" s="88"/>
      <c r="VXT25" s="90"/>
      <c r="VXU25" s="93"/>
      <c r="VXV25" s="88"/>
      <c r="VXW25" s="88"/>
      <c r="VXX25" s="91"/>
      <c r="VXY25" s="93"/>
      <c r="VXZ25" s="93"/>
      <c r="VYA25" s="88"/>
      <c r="VYB25" s="88"/>
      <c r="VYC25" s="90"/>
      <c r="VYD25" s="90"/>
      <c r="VYE25" s="88"/>
      <c r="VYF25" s="88"/>
      <c r="VYG25" s="90"/>
      <c r="VYH25" s="93"/>
      <c r="VYI25" s="88"/>
      <c r="VYJ25" s="88"/>
      <c r="VYK25" s="91"/>
      <c r="VYL25" s="93"/>
      <c r="VYM25" s="93"/>
      <c r="VYN25" s="88"/>
      <c r="VYO25" s="88"/>
      <c r="VYP25" s="90"/>
      <c r="VYQ25" s="90"/>
      <c r="VYR25" s="88"/>
      <c r="VYS25" s="88"/>
      <c r="VYT25" s="90"/>
      <c r="VYU25" s="93"/>
      <c r="VYV25" s="88"/>
      <c r="VYW25" s="88"/>
      <c r="VYX25" s="91"/>
      <c r="VYY25" s="93"/>
      <c r="VYZ25" s="93"/>
      <c r="VZA25" s="88"/>
      <c r="VZB25" s="88"/>
      <c r="VZC25" s="90"/>
      <c r="VZD25" s="90"/>
      <c r="VZE25" s="88"/>
      <c r="VZF25" s="88"/>
      <c r="VZG25" s="90"/>
      <c r="VZH25" s="93"/>
      <c r="VZI25" s="88"/>
      <c r="VZJ25" s="88"/>
      <c r="VZK25" s="91"/>
      <c r="VZL25" s="93"/>
      <c r="VZM25" s="93"/>
      <c r="VZN25" s="88"/>
      <c r="VZO25" s="88"/>
      <c r="VZP25" s="90"/>
      <c r="VZQ25" s="90"/>
      <c r="VZR25" s="88"/>
      <c r="VZS25" s="88"/>
      <c r="VZT25" s="90"/>
      <c r="VZU25" s="93"/>
      <c r="VZV25" s="88"/>
      <c r="VZW25" s="88"/>
      <c r="VZX25" s="91"/>
      <c r="VZY25" s="93"/>
      <c r="VZZ25" s="93"/>
      <c r="WAA25" s="88"/>
      <c r="WAB25" s="88"/>
      <c r="WAC25" s="90"/>
      <c r="WAD25" s="90"/>
      <c r="WAE25" s="88"/>
      <c r="WAF25" s="88"/>
      <c r="WAG25" s="90"/>
      <c r="WAH25" s="93"/>
      <c r="WAI25" s="88"/>
      <c r="WAJ25" s="88"/>
      <c r="WAK25" s="91"/>
      <c r="WAL25" s="93"/>
      <c r="WAM25" s="93"/>
      <c r="WAN25" s="88"/>
      <c r="WAO25" s="88"/>
      <c r="WAP25" s="90"/>
      <c r="WAQ25" s="90"/>
      <c r="WAR25" s="88"/>
      <c r="WAS25" s="88"/>
      <c r="WAT25" s="90"/>
      <c r="WAU25" s="93"/>
      <c r="WAV25" s="88"/>
      <c r="WAW25" s="88"/>
      <c r="WAX25" s="91"/>
      <c r="WAY25" s="93"/>
      <c r="WAZ25" s="93"/>
      <c r="WBA25" s="88"/>
      <c r="WBB25" s="88"/>
      <c r="WBC25" s="90"/>
      <c r="WBD25" s="90"/>
      <c r="WBE25" s="88"/>
      <c r="WBF25" s="88"/>
      <c r="WBG25" s="90"/>
      <c r="WBH25" s="93"/>
      <c r="WBI25" s="88"/>
      <c r="WBJ25" s="88"/>
      <c r="WBK25" s="91"/>
      <c r="WBL25" s="93"/>
      <c r="WBM25" s="93"/>
      <c r="WBN25" s="88"/>
      <c r="WBO25" s="88"/>
      <c r="WBP25" s="90"/>
      <c r="WBQ25" s="90"/>
      <c r="WBR25" s="88"/>
      <c r="WBS25" s="88"/>
      <c r="WBT25" s="90"/>
      <c r="WBU25" s="93"/>
      <c r="WBV25" s="88"/>
      <c r="WBW25" s="88"/>
      <c r="WBX25" s="91"/>
      <c r="WBY25" s="93"/>
      <c r="WBZ25" s="93"/>
      <c r="WCA25" s="88"/>
      <c r="WCB25" s="88"/>
      <c r="WCC25" s="90"/>
      <c r="WCD25" s="90"/>
      <c r="WCE25" s="88"/>
      <c r="WCF25" s="88"/>
      <c r="WCG25" s="90"/>
      <c r="WCH25" s="93"/>
      <c r="WCI25" s="88"/>
      <c r="WCJ25" s="88"/>
      <c r="WCK25" s="91"/>
      <c r="WCL25" s="93"/>
      <c r="WCM25" s="93"/>
      <c r="WCN25" s="88"/>
      <c r="WCO25" s="88"/>
      <c r="WCP25" s="90"/>
      <c r="WCQ25" s="90"/>
      <c r="WCR25" s="88"/>
      <c r="WCS25" s="88"/>
      <c r="WCT25" s="90"/>
      <c r="WCU25" s="93"/>
      <c r="WCV25" s="88"/>
      <c r="WCW25" s="88"/>
      <c r="WCX25" s="91"/>
      <c r="WCY25" s="93"/>
      <c r="WCZ25" s="93"/>
      <c r="WDA25" s="88"/>
      <c r="WDB25" s="88"/>
      <c r="WDC25" s="90"/>
      <c r="WDD25" s="90"/>
      <c r="WDE25" s="88"/>
      <c r="WDF25" s="88"/>
      <c r="WDG25" s="90"/>
      <c r="WDH25" s="93"/>
      <c r="WDI25" s="88"/>
      <c r="WDJ25" s="88"/>
      <c r="WDK25" s="91"/>
      <c r="WDL25" s="93"/>
      <c r="WDM25" s="93"/>
      <c r="WDN25" s="88"/>
      <c r="WDO25" s="88"/>
      <c r="WDP25" s="90"/>
      <c r="WDQ25" s="90"/>
      <c r="WDR25" s="88"/>
      <c r="WDS25" s="88"/>
      <c r="WDT25" s="90"/>
      <c r="WDU25" s="93"/>
      <c r="WDV25" s="88"/>
      <c r="WDW25" s="88"/>
      <c r="WDX25" s="91"/>
      <c r="WDY25" s="93"/>
      <c r="WDZ25" s="93"/>
      <c r="WEA25" s="88"/>
      <c r="WEB25" s="88"/>
      <c r="WEC25" s="90"/>
      <c r="WED25" s="90"/>
      <c r="WEE25" s="88"/>
      <c r="WEF25" s="88"/>
      <c r="WEG25" s="90"/>
      <c r="WEH25" s="93"/>
      <c r="WEI25" s="88"/>
      <c r="WEJ25" s="88"/>
      <c r="WEK25" s="91"/>
      <c r="WEL25" s="93"/>
      <c r="WEM25" s="93"/>
      <c r="WEN25" s="88"/>
      <c r="WEO25" s="88"/>
      <c r="WEP25" s="90"/>
      <c r="WEQ25" s="90"/>
      <c r="WER25" s="88"/>
      <c r="WES25" s="88"/>
      <c r="WET25" s="90"/>
      <c r="WEU25" s="93"/>
      <c r="WEV25" s="88"/>
      <c r="WEW25" s="88"/>
      <c r="WEX25" s="91"/>
      <c r="WEY25" s="93"/>
      <c r="WEZ25" s="93"/>
      <c r="WFA25" s="88"/>
      <c r="WFB25" s="88"/>
      <c r="WFC25" s="90"/>
      <c r="WFD25" s="90"/>
      <c r="WFE25" s="88"/>
      <c r="WFF25" s="88"/>
      <c r="WFG25" s="90"/>
      <c r="WFH25" s="93"/>
      <c r="WFI25" s="88"/>
      <c r="WFJ25" s="88"/>
      <c r="WFK25" s="91"/>
      <c r="WFL25" s="93"/>
      <c r="WFM25" s="93"/>
      <c r="WFN25" s="88"/>
      <c r="WFO25" s="88"/>
      <c r="WFP25" s="90"/>
      <c r="WFQ25" s="90"/>
      <c r="WFR25" s="88"/>
      <c r="WFS25" s="88"/>
      <c r="WFT25" s="90"/>
      <c r="WFU25" s="93"/>
      <c r="WFV25" s="88"/>
      <c r="WFW25" s="88"/>
      <c r="WFX25" s="91"/>
      <c r="WFY25" s="93"/>
      <c r="WFZ25" s="93"/>
      <c r="WGA25" s="88"/>
      <c r="WGB25" s="88"/>
      <c r="WGC25" s="90"/>
      <c r="WGD25" s="90"/>
      <c r="WGE25" s="88"/>
      <c r="WGF25" s="88"/>
      <c r="WGG25" s="90"/>
      <c r="WGH25" s="93"/>
      <c r="WGI25" s="88"/>
      <c r="WGJ25" s="88"/>
      <c r="WGK25" s="91"/>
      <c r="WGL25" s="93"/>
      <c r="WGM25" s="93"/>
      <c r="WGN25" s="88"/>
      <c r="WGO25" s="88"/>
      <c r="WGP25" s="90"/>
      <c r="WGQ25" s="90"/>
      <c r="WGR25" s="88"/>
      <c r="WGS25" s="88"/>
      <c r="WGT25" s="90"/>
      <c r="WGU25" s="93"/>
      <c r="WGV25" s="88"/>
      <c r="WGW25" s="88"/>
      <c r="WGX25" s="91"/>
      <c r="WGY25" s="93"/>
      <c r="WGZ25" s="93"/>
      <c r="WHA25" s="88"/>
      <c r="WHB25" s="88"/>
      <c r="WHC25" s="90"/>
      <c r="WHD25" s="90"/>
      <c r="WHE25" s="88"/>
      <c r="WHF25" s="88"/>
      <c r="WHG25" s="90"/>
      <c r="WHH25" s="93"/>
      <c r="WHI25" s="88"/>
      <c r="WHJ25" s="88"/>
      <c r="WHK25" s="91"/>
      <c r="WHL25" s="93"/>
      <c r="WHM25" s="93"/>
      <c r="WHN25" s="88"/>
      <c r="WHO25" s="88"/>
      <c r="WHP25" s="90"/>
      <c r="WHQ25" s="90"/>
      <c r="WHR25" s="88"/>
      <c r="WHS25" s="88"/>
      <c r="WHT25" s="90"/>
      <c r="WHU25" s="93"/>
      <c r="WHV25" s="88"/>
      <c r="WHW25" s="88"/>
      <c r="WHX25" s="91"/>
      <c r="WHY25" s="93"/>
      <c r="WHZ25" s="93"/>
      <c r="WIA25" s="88"/>
      <c r="WIB25" s="88"/>
      <c r="WIC25" s="90"/>
      <c r="WID25" s="90"/>
      <c r="WIE25" s="88"/>
      <c r="WIF25" s="88"/>
      <c r="WIG25" s="90"/>
      <c r="WIH25" s="93"/>
      <c r="WII25" s="88"/>
      <c r="WIJ25" s="88"/>
      <c r="WIK25" s="91"/>
      <c r="WIL25" s="93"/>
      <c r="WIM25" s="93"/>
      <c r="WIN25" s="88"/>
      <c r="WIO25" s="88"/>
      <c r="WIP25" s="90"/>
      <c r="WIQ25" s="90"/>
      <c r="WIR25" s="88"/>
      <c r="WIS25" s="88"/>
      <c r="WIT25" s="90"/>
      <c r="WIU25" s="93"/>
      <c r="WIV25" s="88"/>
      <c r="WIW25" s="88"/>
      <c r="WIX25" s="91"/>
      <c r="WIY25" s="93"/>
      <c r="WIZ25" s="93"/>
      <c r="WJA25" s="88"/>
      <c r="WJB25" s="88"/>
      <c r="WJC25" s="90"/>
      <c r="WJD25" s="90"/>
      <c r="WJE25" s="88"/>
      <c r="WJF25" s="88"/>
      <c r="WJG25" s="90"/>
      <c r="WJH25" s="93"/>
      <c r="WJI25" s="88"/>
      <c r="WJJ25" s="88"/>
      <c r="WJK25" s="91"/>
      <c r="WJL25" s="93"/>
      <c r="WJM25" s="93"/>
      <c r="WJN25" s="88"/>
      <c r="WJO25" s="88"/>
      <c r="WJP25" s="90"/>
      <c r="WJQ25" s="90"/>
      <c r="WJR25" s="88"/>
      <c r="WJS25" s="88"/>
      <c r="WJT25" s="90"/>
      <c r="WJU25" s="93"/>
      <c r="WJV25" s="88"/>
      <c r="WJW25" s="88"/>
      <c r="WJX25" s="91"/>
      <c r="WJY25" s="93"/>
      <c r="WJZ25" s="93"/>
      <c r="WKA25" s="88"/>
      <c r="WKB25" s="88"/>
      <c r="WKC25" s="90"/>
      <c r="WKD25" s="90"/>
      <c r="WKE25" s="88"/>
      <c r="WKF25" s="88"/>
      <c r="WKG25" s="90"/>
      <c r="WKH25" s="93"/>
      <c r="WKI25" s="88"/>
      <c r="WKJ25" s="88"/>
      <c r="WKK25" s="91"/>
      <c r="WKL25" s="93"/>
      <c r="WKM25" s="93"/>
      <c r="WKN25" s="88"/>
      <c r="WKO25" s="88"/>
      <c r="WKP25" s="90"/>
      <c r="WKQ25" s="90"/>
      <c r="WKR25" s="88"/>
      <c r="WKS25" s="88"/>
      <c r="WKT25" s="90"/>
      <c r="WKU25" s="93"/>
      <c r="WKV25" s="88"/>
      <c r="WKW25" s="88"/>
      <c r="WKX25" s="91"/>
      <c r="WKY25" s="93"/>
      <c r="WKZ25" s="93"/>
      <c r="WLA25" s="88"/>
      <c r="WLB25" s="88"/>
      <c r="WLC25" s="90"/>
      <c r="WLD25" s="90"/>
      <c r="WLE25" s="88"/>
      <c r="WLF25" s="88"/>
      <c r="WLG25" s="90"/>
      <c r="WLH25" s="93"/>
      <c r="WLI25" s="88"/>
      <c r="WLJ25" s="88"/>
      <c r="WLK25" s="91"/>
      <c r="WLL25" s="93"/>
      <c r="WLM25" s="93"/>
      <c r="WLN25" s="88"/>
      <c r="WLO25" s="88"/>
      <c r="WLP25" s="90"/>
      <c r="WLQ25" s="90"/>
      <c r="WLR25" s="88"/>
      <c r="WLS25" s="88"/>
      <c r="WLT25" s="90"/>
      <c r="WLU25" s="93"/>
      <c r="WLV25" s="88"/>
      <c r="WLW25" s="88"/>
      <c r="WLX25" s="91"/>
      <c r="WLY25" s="93"/>
      <c r="WLZ25" s="93"/>
      <c r="WMA25" s="88"/>
      <c r="WMB25" s="88"/>
      <c r="WMC25" s="90"/>
      <c r="WMD25" s="90"/>
      <c r="WME25" s="88"/>
      <c r="WMF25" s="88"/>
      <c r="WMG25" s="90"/>
      <c r="WMH25" s="93"/>
      <c r="WMI25" s="88"/>
      <c r="WMJ25" s="88"/>
      <c r="WMK25" s="91"/>
      <c r="WML25" s="93"/>
      <c r="WMM25" s="93"/>
      <c r="WMN25" s="88"/>
      <c r="WMO25" s="88"/>
      <c r="WMP25" s="90"/>
      <c r="WMQ25" s="90"/>
      <c r="WMR25" s="88"/>
      <c r="WMS25" s="88"/>
      <c r="WMT25" s="90"/>
      <c r="WMU25" s="93"/>
      <c r="WMV25" s="88"/>
      <c r="WMW25" s="88"/>
      <c r="WMX25" s="91"/>
      <c r="WMY25" s="93"/>
      <c r="WMZ25" s="93"/>
      <c r="WNA25" s="88"/>
      <c r="WNB25" s="88"/>
      <c r="WNC25" s="90"/>
      <c r="WND25" s="90"/>
      <c r="WNE25" s="88"/>
      <c r="WNF25" s="88"/>
      <c r="WNG25" s="90"/>
      <c r="WNH25" s="93"/>
      <c r="WNI25" s="88"/>
      <c r="WNJ25" s="88"/>
      <c r="WNK25" s="91"/>
      <c r="WNL25" s="93"/>
      <c r="WNM25" s="93"/>
      <c r="WNN25" s="88"/>
      <c r="WNO25" s="88"/>
      <c r="WNP25" s="90"/>
      <c r="WNQ25" s="90"/>
      <c r="WNR25" s="88"/>
      <c r="WNS25" s="88"/>
      <c r="WNT25" s="90"/>
      <c r="WNU25" s="93"/>
      <c r="WNV25" s="88"/>
      <c r="WNW25" s="88"/>
      <c r="WNX25" s="91"/>
      <c r="WNY25" s="93"/>
      <c r="WNZ25" s="93"/>
      <c r="WOA25" s="88"/>
      <c r="WOB25" s="88"/>
      <c r="WOC25" s="90"/>
      <c r="WOD25" s="90"/>
      <c r="WOE25" s="88"/>
      <c r="WOF25" s="88"/>
      <c r="WOG25" s="90"/>
      <c r="WOH25" s="93"/>
      <c r="WOI25" s="88"/>
      <c r="WOJ25" s="88"/>
      <c r="WOK25" s="91"/>
      <c r="WOL25" s="93"/>
      <c r="WOM25" s="93"/>
      <c r="WON25" s="88"/>
      <c r="WOO25" s="88"/>
      <c r="WOP25" s="90"/>
      <c r="WOQ25" s="90"/>
      <c r="WOR25" s="88"/>
      <c r="WOS25" s="88"/>
      <c r="WOT25" s="90"/>
      <c r="WOU25" s="93"/>
      <c r="WOV25" s="88"/>
      <c r="WOW25" s="88"/>
      <c r="WOX25" s="91"/>
      <c r="WOY25" s="93"/>
      <c r="WOZ25" s="93"/>
      <c r="WPA25" s="88"/>
      <c r="WPB25" s="88"/>
      <c r="WPC25" s="90"/>
      <c r="WPD25" s="90"/>
      <c r="WPE25" s="88"/>
      <c r="WPF25" s="88"/>
      <c r="WPG25" s="90"/>
      <c r="WPH25" s="93"/>
      <c r="WPI25" s="88"/>
      <c r="WPJ25" s="88"/>
      <c r="WPK25" s="91"/>
      <c r="WPL25" s="93"/>
      <c r="WPM25" s="93"/>
      <c r="WPN25" s="88"/>
      <c r="WPO25" s="88"/>
      <c r="WPP25" s="90"/>
      <c r="WPQ25" s="90"/>
      <c r="WPR25" s="88"/>
      <c r="WPS25" s="88"/>
      <c r="WPT25" s="90"/>
      <c r="WPU25" s="93"/>
      <c r="WPV25" s="88"/>
      <c r="WPW25" s="88"/>
      <c r="WPX25" s="91"/>
      <c r="WPY25" s="93"/>
      <c r="WPZ25" s="93"/>
      <c r="WQA25" s="88"/>
      <c r="WQB25" s="88"/>
      <c r="WQC25" s="90"/>
      <c r="WQD25" s="90"/>
      <c r="WQE25" s="88"/>
      <c r="WQF25" s="88"/>
      <c r="WQG25" s="90"/>
      <c r="WQH25" s="93"/>
      <c r="WQI25" s="88"/>
      <c r="WQJ25" s="88"/>
      <c r="WQK25" s="91"/>
      <c r="WQL25" s="93"/>
      <c r="WQM25" s="93"/>
      <c r="WQN25" s="88"/>
      <c r="WQO25" s="88"/>
      <c r="WQP25" s="90"/>
      <c r="WQQ25" s="90"/>
      <c r="WQR25" s="88"/>
      <c r="WQS25" s="88"/>
      <c r="WQT25" s="90"/>
      <c r="WQU25" s="93"/>
      <c r="WQV25" s="88"/>
      <c r="WQW25" s="88"/>
      <c r="WQX25" s="91"/>
      <c r="WQY25" s="93"/>
      <c r="WQZ25" s="93"/>
      <c r="WRA25" s="88"/>
      <c r="WRB25" s="88"/>
      <c r="WRC25" s="90"/>
      <c r="WRD25" s="90"/>
      <c r="WRE25" s="88"/>
      <c r="WRF25" s="88"/>
      <c r="WRG25" s="90"/>
      <c r="WRH25" s="93"/>
      <c r="WRI25" s="88"/>
      <c r="WRJ25" s="88"/>
      <c r="WRK25" s="91"/>
      <c r="WRL25" s="93"/>
      <c r="WRM25" s="93"/>
      <c r="WRN25" s="88"/>
      <c r="WRO25" s="88"/>
      <c r="WRP25" s="90"/>
      <c r="WRQ25" s="90"/>
      <c r="WRR25" s="88"/>
      <c r="WRS25" s="88"/>
      <c r="WRT25" s="90"/>
      <c r="WRU25" s="93"/>
      <c r="WRV25" s="88"/>
      <c r="WRW25" s="88"/>
      <c r="WRX25" s="91"/>
      <c r="WRY25" s="93"/>
      <c r="WRZ25" s="93"/>
      <c r="WSA25" s="88"/>
      <c r="WSB25" s="88"/>
      <c r="WSC25" s="90"/>
      <c r="WSD25" s="90"/>
      <c r="WSE25" s="88"/>
      <c r="WSF25" s="88"/>
      <c r="WSG25" s="90"/>
      <c r="WSH25" s="93"/>
      <c r="WSI25" s="88"/>
      <c r="WSJ25" s="88"/>
      <c r="WSK25" s="91"/>
      <c r="WSL25" s="93"/>
      <c r="WSM25" s="93"/>
      <c r="WSN25" s="88"/>
      <c r="WSO25" s="88"/>
      <c r="WSP25" s="90"/>
      <c r="WSQ25" s="90"/>
      <c r="WSR25" s="88"/>
      <c r="WSS25" s="88"/>
      <c r="WST25" s="90"/>
      <c r="WSU25" s="93"/>
      <c r="WSV25" s="88"/>
      <c r="WSW25" s="88"/>
      <c r="WSX25" s="91"/>
      <c r="WSY25" s="93"/>
      <c r="WSZ25" s="93"/>
      <c r="WTA25" s="88"/>
      <c r="WTB25" s="88"/>
      <c r="WTC25" s="90"/>
      <c r="WTD25" s="90"/>
      <c r="WTE25" s="88"/>
      <c r="WTF25" s="88"/>
      <c r="WTG25" s="90"/>
      <c r="WTH25" s="93"/>
      <c r="WTI25" s="88"/>
      <c r="WTJ25" s="88"/>
      <c r="WTK25" s="91"/>
      <c r="WTL25" s="93"/>
      <c r="WTM25" s="93"/>
      <c r="WTN25" s="88"/>
      <c r="WTO25" s="88"/>
      <c r="WTP25" s="90"/>
      <c r="WTQ25" s="90"/>
      <c r="WTR25" s="88"/>
      <c r="WTS25" s="88"/>
      <c r="WTT25" s="90"/>
      <c r="WTU25" s="93"/>
      <c r="WTV25" s="88"/>
      <c r="WTW25" s="88"/>
      <c r="WTX25" s="91"/>
      <c r="WTY25" s="93"/>
      <c r="WTZ25" s="93"/>
      <c r="WUA25" s="88"/>
      <c r="WUB25" s="88"/>
      <c r="WUC25" s="90"/>
      <c r="WUD25" s="90"/>
      <c r="WUE25" s="88"/>
      <c r="WUF25" s="88"/>
      <c r="WUG25" s="90"/>
      <c r="WUH25" s="93"/>
      <c r="WUI25" s="88"/>
      <c r="WUJ25" s="88"/>
      <c r="WUK25" s="91"/>
      <c r="WUL25" s="93"/>
      <c r="WUM25" s="93"/>
      <c r="WUN25" s="88"/>
      <c r="WUO25" s="88"/>
      <c r="WUP25" s="90"/>
      <c r="WUQ25" s="90"/>
      <c r="WUR25" s="88"/>
      <c r="WUS25" s="88"/>
      <c r="WUT25" s="90"/>
      <c r="WUU25" s="93"/>
      <c r="WUV25" s="88"/>
      <c r="WUW25" s="88"/>
      <c r="WUX25" s="91"/>
      <c r="WUY25" s="93"/>
      <c r="WUZ25" s="93"/>
      <c r="WVA25" s="88"/>
      <c r="WVB25" s="88"/>
      <c r="WVC25" s="90"/>
      <c r="WVD25" s="90"/>
      <c r="WVE25" s="88"/>
      <c r="WVF25" s="88"/>
      <c r="WVG25" s="90"/>
      <c r="WVH25" s="93"/>
      <c r="WVI25" s="88"/>
      <c r="WVJ25" s="88"/>
      <c r="WVK25" s="91"/>
      <c r="WVL25" s="93"/>
      <c r="WVM25" s="93"/>
      <c r="WVN25" s="88"/>
      <c r="WVO25" s="88"/>
      <c r="WVP25" s="90"/>
      <c r="WVQ25" s="90"/>
      <c r="WVR25" s="88"/>
      <c r="WVS25" s="88"/>
      <c r="WVT25" s="90"/>
      <c r="WVU25" s="93"/>
      <c r="WVV25" s="88"/>
      <c r="WVW25" s="88"/>
      <c r="WVX25" s="91"/>
      <c r="WVY25" s="93"/>
      <c r="WVZ25" s="93"/>
      <c r="WWA25" s="88"/>
      <c r="WWB25" s="88"/>
      <c r="WWC25" s="90"/>
      <c r="WWD25" s="90"/>
      <c r="WWE25" s="88"/>
      <c r="WWF25" s="88"/>
      <c r="WWG25" s="90"/>
      <c r="WWH25" s="93"/>
      <c r="WWI25" s="88"/>
      <c r="WWJ25" s="88"/>
      <c r="WWK25" s="91"/>
      <c r="WWL25" s="93"/>
      <c r="WWM25" s="93"/>
      <c r="WWN25" s="88"/>
      <c r="WWO25" s="88"/>
      <c r="WWP25" s="90"/>
      <c r="WWQ25" s="90"/>
      <c r="WWR25" s="88"/>
      <c r="WWS25" s="88"/>
      <c r="WWT25" s="90"/>
      <c r="WWU25" s="93"/>
      <c r="WWV25" s="88"/>
      <c r="WWW25" s="88"/>
      <c r="WWX25" s="91"/>
      <c r="WWY25" s="93"/>
      <c r="WWZ25" s="93"/>
      <c r="WXA25" s="88"/>
      <c r="WXB25" s="88"/>
      <c r="WXC25" s="90"/>
      <c r="WXD25" s="90"/>
      <c r="WXE25" s="88"/>
      <c r="WXF25" s="88"/>
      <c r="WXG25" s="90"/>
      <c r="WXH25" s="93"/>
      <c r="WXI25" s="88"/>
      <c r="WXJ25" s="88"/>
      <c r="WXK25" s="91"/>
      <c r="WXL25" s="93"/>
      <c r="WXM25" s="93"/>
      <c r="WXN25" s="88"/>
      <c r="WXO25" s="88"/>
      <c r="WXP25" s="90"/>
      <c r="WXQ25" s="90"/>
      <c r="WXR25" s="88"/>
      <c r="WXS25" s="88"/>
      <c r="WXT25" s="90"/>
      <c r="WXU25" s="93"/>
      <c r="WXV25" s="88"/>
      <c r="WXW25" s="88"/>
      <c r="WXX25" s="91"/>
      <c r="WXY25" s="93"/>
      <c r="WXZ25" s="93"/>
      <c r="WYA25" s="88"/>
      <c r="WYB25" s="88"/>
      <c r="WYC25" s="90"/>
      <c r="WYD25" s="90"/>
      <c r="WYE25" s="88"/>
      <c r="WYF25" s="88"/>
      <c r="WYG25" s="90"/>
      <c r="WYH25" s="93"/>
      <c r="WYI25" s="88"/>
      <c r="WYJ25" s="88"/>
      <c r="WYK25" s="91"/>
      <c r="WYL25" s="93"/>
      <c r="WYM25" s="93"/>
      <c r="WYN25" s="88"/>
      <c r="WYO25" s="88"/>
      <c r="WYP25" s="90"/>
      <c r="WYQ25" s="90"/>
      <c r="WYR25" s="88"/>
      <c r="WYS25" s="88"/>
      <c r="WYT25" s="90"/>
      <c r="WYU25" s="93"/>
      <c r="WYV25" s="88"/>
      <c r="WYW25" s="88"/>
      <c r="WYX25" s="91"/>
      <c r="WYY25" s="93"/>
      <c r="WYZ25" s="93"/>
      <c r="WZA25" s="88"/>
      <c r="WZB25" s="88"/>
      <c r="WZC25" s="90"/>
      <c r="WZD25" s="90"/>
      <c r="WZE25" s="88"/>
      <c r="WZF25" s="88"/>
      <c r="WZG25" s="90"/>
      <c r="WZH25" s="93"/>
      <c r="WZI25" s="88"/>
      <c r="WZJ25" s="88"/>
      <c r="WZK25" s="91"/>
      <c r="WZL25" s="93"/>
      <c r="WZM25" s="93"/>
      <c r="WZN25" s="88"/>
      <c r="WZO25" s="88"/>
      <c r="WZP25" s="90"/>
      <c r="WZQ25" s="90"/>
      <c r="WZR25" s="88"/>
      <c r="WZS25" s="88"/>
      <c r="WZT25" s="90"/>
      <c r="WZU25" s="93"/>
      <c r="WZV25" s="88"/>
      <c r="WZW25" s="88"/>
      <c r="WZX25" s="91"/>
      <c r="WZY25" s="93"/>
      <c r="WZZ25" s="93"/>
      <c r="XAA25" s="88"/>
      <c r="XAB25" s="88"/>
      <c r="XAC25" s="90"/>
      <c r="XAD25" s="90"/>
      <c r="XAE25" s="88"/>
      <c r="XAF25" s="88"/>
      <c r="XAG25" s="90"/>
      <c r="XAH25" s="93"/>
      <c r="XAI25" s="88"/>
      <c r="XAJ25" s="88"/>
      <c r="XAK25" s="91"/>
      <c r="XAL25" s="93"/>
      <c r="XAM25" s="93"/>
      <c r="XAN25" s="88"/>
      <c r="XAO25" s="88"/>
      <c r="XAP25" s="90"/>
      <c r="XAQ25" s="90"/>
      <c r="XAR25" s="88"/>
      <c r="XAS25" s="88"/>
      <c r="XAT25" s="90"/>
      <c r="XAU25" s="93"/>
      <c r="XAV25" s="88"/>
      <c r="XAW25" s="88"/>
      <c r="XAX25" s="91"/>
      <c r="XAY25" s="93"/>
      <c r="XAZ25" s="93"/>
      <c r="XBA25" s="88"/>
      <c r="XBB25" s="88"/>
      <c r="XBC25" s="90"/>
      <c r="XBD25" s="90"/>
      <c r="XBE25" s="88"/>
      <c r="XBF25" s="88"/>
      <c r="XBG25" s="90"/>
      <c r="XBH25" s="93"/>
      <c r="XBI25" s="88"/>
      <c r="XBJ25" s="88"/>
      <c r="XBK25" s="91"/>
      <c r="XBL25" s="93"/>
      <c r="XBM25" s="93"/>
      <c r="XBN25" s="88"/>
      <c r="XBO25" s="88"/>
      <c r="XBP25" s="90"/>
      <c r="XBQ25" s="90"/>
      <c r="XBR25" s="88"/>
      <c r="XBS25" s="88"/>
      <c r="XBT25" s="90"/>
      <c r="XBU25" s="93"/>
      <c r="XBV25" s="88"/>
      <c r="XBW25" s="88"/>
      <c r="XBX25" s="91"/>
      <c r="XBY25" s="93"/>
      <c r="XBZ25" s="93"/>
      <c r="XCA25" s="88"/>
      <c r="XCB25" s="88"/>
      <c r="XCC25" s="90"/>
      <c r="XCD25" s="90"/>
      <c r="XCE25" s="88"/>
      <c r="XCF25" s="88"/>
      <c r="XCG25" s="90"/>
      <c r="XCH25" s="93"/>
      <c r="XCI25" s="88"/>
      <c r="XCJ25" s="88"/>
      <c r="XCK25" s="91"/>
      <c r="XCL25" s="93"/>
      <c r="XCM25" s="93"/>
      <c r="XCN25" s="88"/>
      <c r="XCO25" s="88"/>
      <c r="XCP25" s="90"/>
      <c r="XCQ25" s="90"/>
      <c r="XCR25" s="88"/>
      <c r="XCS25" s="88"/>
      <c r="XCT25" s="90"/>
      <c r="XCU25" s="93"/>
      <c r="XCV25" s="88"/>
      <c r="XCW25" s="88"/>
      <c r="XCX25" s="91"/>
      <c r="XCY25" s="93"/>
      <c r="XCZ25" s="93"/>
      <c r="XDA25" s="88"/>
      <c r="XDB25" s="88"/>
      <c r="XDC25" s="90"/>
      <c r="XDD25" s="90"/>
      <c r="XDE25" s="88"/>
      <c r="XDF25" s="88"/>
      <c r="XDG25" s="90"/>
      <c r="XDH25" s="93"/>
      <c r="XDI25" s="88"/>
      <c r="XDJ25" s="88"/>
      <c r="XDK25" s="91"/>
      <c r="XDL25" s="93"/>
      <c r="XDM25" s="93"/>
      <c r="XDN25" s="88"/>
      <c r="XDO25" s="88"/>
      <c r="XDP25" s="90"/>
      <c r="XDQ25" s="90"/>
      <c r="XDR25" s="88"/>
      <c r="XDS25" s="88"/>
      <c r="XDT25" s="90"/>
      <c r="XDU25" s="93"/>
      <c r="XDV25" s="88"/>
      <c r="XDW25" s="88"/>
      <c r="XDX25" s="91"/>
      <c r="XDY25" s="93"/>
      <c r="XDZ25" s="93"/>
      <c r="XEA25" s="88"/>
      <c r="XEB25" s="88"/>
      <c r="XEC25" s="90"/>
      <c r="XED25" s="90"/>
      <c r="XEE25" s="88"/>
      <c r="XEF25" s="88"/>
      <c r="XEG25" s="90"/>
      <c r="XEH25" s="93"/>
      <c r="XEI25" s="88"/>
      <c r="XEJ25" s="88"/>
      <c r="XEK25" s="91"/>
      <c r="XEL25" s="93"/>
      <c r="XEM25" s="93"/>
      <c r="XEN25" s="88"/>
      <c r="XEO25" s="88"/>
      <c r="XEP25" s="90"/>
      <c r="XEQ25" s="90"/>
      <c r="XER25" s="88"/>
      <c r="XES25" s="88"/>
      <c r="XET25" s="90"/>
      <c r="XEU25" s="93"/>
      <c r="XEV25" s="88"/>
      <c r="XEW25" s="88"/>
      <c r="XEX25" s="91"/>
      <c r="XEY25" s="93"/>
      <c r="XEZ25" s="93"/>
      <c r="XFA25" s="88"/>
      <c r="XFB25" s="88"/>
      <c r="XFC25" s="90"/>
      <c r="XFD25" s="90"/>
    </row>
    <row r="26" spans="1:16384" x14ac:dyDescent="0.25">
      <c r="A26" s="57"/>
      <c r="B26" s="57"/>
      <c r="C26" s="57"/>
      <c r="D26" s="57"/>
      <c r="E26" s="57"/>
      <c r="F26" s="57"/>
      <c r="G26" s="57"/>
      <c r="H26" s="57"/>
      <c r="I26" s="57"/>
      <c r="J26" s="57"/>
      <c r="K26" s="57"/>
      <c r="L26" s="57"/>
      <c r="M26" s="57"/>
      <c r="O26" s="57"/>
      <c r="P26" s="57"/>
    </row>
    <row r="27" spans="1:16384" x14ac:dyDescent="0.25">
      <c r="A27" s="57"/>
      <c r="B27" s="57"/>
      <c r="C27" s="57"/>
      <c r="D27" s="57"/>
      <c r="E27" s="57"/>
      <c r="F27" s="57"/>
      <c r="G27" s="57"/>
      <c r="H27" s="57"/>
      <c r="I27" s="57"/>
      <c r="J27" s="57"/>
      <c r="K27" s="57"/>
      <c r="L27" s="57"/>
      <c r="M27" s="57"/>
      <c r="O27" s="57"/>
      <c r="P27" s="57"/>
    </row>
    <row r="28" spans="1:16384" x14ac:dyDescent="0.25">
      <c r="A28" s="57"/>
      <c r="B28" s="57"/>
      <c r="C28" s="57"/>
      <c r="D28" s="57"/>
      <c r="E28" s="57"/>
      <c r="F28" s="57"/>
      <c r="G28" s="57"/>
      <c r="H28" s="57"/>
      <c r="I28" s="57"/>
      <c r="J28" s="57"/>
      <c r="K28" s="57"/>
      <c r="L28" s="57"/>
      <c r="M28" s="57"/>
      <c r="O28" s="57"/>
      <c r="P28" s="57"/>
    </row>
    <row r="29" spans="1:16384" x14ac:dyDescent="0.25">
      <c r="A29" s="57"/>
      <c r="B29" s="57"/>
      <c r="C29" s="57"/>
      <c r="D29" s="57"/>
      <c r="E29" s="57"/>
      <c r="F29" s="57"/>
      <c r="G29" s="57"/>
      <c r="H29" s="57"/>
      <c r="I29" s="57"/>
      <c r="J29" s="57"/>
      <c r="K29" s="57"/>
      <c r="L29" s="57"/>
      <c r="M29" s="57"/>
      <c r="O29" s="57"/>
      <c r="P29" s="57"/>
    </row>
    <row r="30" spans="1:16384" x14ac:dyDescent="0.25">
      <c r="A30" s="57"/>
      <c r="B30" s="57"/>
      <c r="C30" s="57"/>
      <c r="D30" s="57"/>
      <c r="E30" s="57"/>
      <c r="F30" s="57"/>
      <c r="G30" s="57"/>
      <c r="H30" s="57"/>
      <c r="I30" s="57"/>
      <c r="J30" s="57"/>
      <c r="K30" s="57"/>
      <c r="L30" s="57"/>
      <c r="M30" s="57"/>
      <c r="O30" s="57"/>
      <c r="P30" s="57"/>
    </row>
    <row r="31" spans="1:16384" x14ac:dyDescent="0.25">
      <c r="A31" s="57"/>
      <c r="B31" s="57"/>
      <c r="C31" s="57"/>
      <c r="D31" s="57"/>
      <c r="E31" s="57"/>
      <c r="F31" s="57"/>
      <c r="G31" s="57"/>
      <c r="H31" s="57"/>
      <c r="I31" s="57"/>
      <c r="J31" s="57"/>
      <c r="K31" s="57"/>
      <c r="L31" s="57"/>
      <c r="M31" s="57"/>
      <c r="O31" s="57"/>
      <c r="P31" s="57"/>
    </row>
    <row r="32" spans="1:16384" x14ac:dyDescent="0.25">
      <c r="A32" s="57"/>
      <c r="B32" s="57"/>
      <c r="C32" s="57"/>
      <c r="D32" s="57"/>
      <c r="E32" s="57"/>
      <c r="F32" s="57"/>
      <c r="G32" s="57"/>
      <c r="H32" s="57"/>
      <c r="I32" s="57"/>
      <c r="J32" s="57"/>
      <c r="K32" s="57"/>
      <c r="L32" s="57"/>
      <c r="M32" s="57"/>
      <c r="O32" s="57"/>
      <c r="P32" s="57"/>
    </row>
    <row r="33" s="57" customFormat="1" x14ac:dyDescent="0.25"/>
    <row r="34" s="57" customFormat="1" x14ac:dyDescent="0.25"/>
    <row r="35" s="57" customFormat="1" x14ac:dyDescent="0.25"/>
    <row r="36" s="57" customFormat="1" x14ac:dyDescent="0.25"/>
    <row r="37" s="57" customFormat="1" x14ac:dyDescent="0.25"/>
    <row r="38" s="57" customFormat="1" x14ac:dyDescent="0.25"/>
    <row r="39" s="57" customFormat="1" x14ac:dyDescent="0.25"/>
    <row r="40" s="57" customFormat="1" x14ac:dyDescent="0.25"/>
    <row r="41" s="57" customFormat="1" x14ac:dyDescent="0.25"/>
    <row r="42" s="57" customFormat="1" x14ac:dyDescent="0.25"/>
    <row r="43" s="57" customFormat="1" x14ac:dyDescent="0.25"/>
    <row r="44" s="57" customFormat="1" x14ac:dyDescent="0.25"/>
    <row r="45" s="57" customFormat="1" x14ac:dyDescent="0.25"/>
    <row r="46" s="57" customFormat="1" x14ac:dyDescent="0.25"/>
    <row r="47" s="57" customFormat="1" x14ac:dyDescent="0.25"/>
    <row r="48" s="57" customFormat="1" x14ac:dyDescent="0.25"/>
    <row r="49" s="57" customFormat="1" x14ac:dyDescent="0.25"/>
    <row r="50" s="57" customFormat="1" x14ac:dyDescent="0.25"/>
    <row r="51" s="57" customFormat="1" x14ac:dyDescent="0.25"/>
    <row r="52" s="57" customFormat="1" x14ac:dyDescent="0.25"/>
    <row r="53" s="57" customFormat="1" x14ac:dyDescent="0.25"/>
    <row r="54" s="57" customFormat="1" x14ac:dyDescent="0.25"/>
    <row r="55" s="57" customFormat="1" x14ac:dyDescent="0.25"/>
    <row r="56" s="57" customFormat="1" x14ac:dyDescent="0.25"/>
    <row r="57" s="57" customFormat="1" x14ac:dyDescent="0.25"/>
    <row r="58" s="57" customFormat="1" ht="250.15" customHeight="1" x14ac:dyDescent="0.25"/>
    <row r="59" s="57" customFormat="1" x14ac:dyDescent="0.25"/>
    <row r="60" s="57" customFormat="1" x14ac:dyDescent="0.25"/>
    <row r="61" s="57" customFormat="1" x14ac:dyDescent="0.25"/>
    <row r="62" s="57" customFormat="1" x14ac:dyDescent="0.25"/>
    <row r="63" s="57" customFormat="1" x14ac:dyDescent="0.25"/>
    <row r="64" s="57" customFormat="1" x14ac:dyDescent="0.25"/>
    <row r="65" s="57" customFormat="1" x14ac:dyDescent="0.25"/>
    <row r="66" s="57" customFormat="1" x14ac:dyDescent="0.25"/>
    <row r="67" s="57" customFormat="1" ht="104.65" customHeight="1" x14ac:dyDescent="0.25"/>
    <row r="68" s="57" customFormat="1" ht="72" customHeight="1" x14ac:dyDescent="0.25"/>
    <row r="69" s="57" customFormat="1" ht="14.65" customHeight="1" x14ac:dyDescent="0.25"/>
    <row r="70" s="57" customFormat="1" ht="124.9" customHeight="1" x14ac:dyDescent="0.25"/>
    <row r="71" s="57" customFormat="1" ht="14.65" customHeight="1" x14ac:dyDescent="0.25"/>
    <row r="72" s="57" customFormat="1" ht="28.9" customHeight="1" x14ac:dyDescent="0.25"/>
    <row r="73" s="57" customFormat="1" ht="14.65" customHeight="1" x14ac:dyDescent="0.25"/>
    <row r="74" s="57" customFormat="1" ht="14.65" customHeight="1" x14ac:dyDescent="0.25"/>
    <row r="75" s="57" customFormat="1" ht="14.65" customHeight="1" x14ac:dyDescent="0.25"/>
    <row r="76" s="57" customFormat="1" x14ac:dyDescent="0.25"/>
    <row r="77" s="57" customFormat="1" ht="210.6" customHeight="1" x14ac:dyDescent="0.25"/>
    <row r="78" s="57" customFormat="1" x14ac:dyDescent="0.25"/>
    <row r="79" s="57" customFormat="1" ht="14.65" customHeight="1" x14ac:dyDescent="0.25"/>
    <row r="80" s="57" customFormat="1" ht="44.65" customHeight="1" x14ac:dyDescent="0.25"/>
    <row r="81" s="57" customFormat="1" ht="354.6" customHeight="1" x14ac:dyDescent="0.25"/>
    <row r="82" s="57" customFormat="1" ht="305.64999999999998" customHeight="1" x14ac:dyDescent="0.25"/>
    <row r="83" s="57" customFormat="1" x14ac:dyDescent="0.25"/>
    <row r="84" s="57" customFormat="1" x14ac:dyDescent="0.25"/>
    <row r="85" s="57" customFormat="1" x14ac:dyDescent="0.25"/>
    <row r="86" s="57" customFormat="1" x14ac:dyDescent="0.25"/>
    <row r="87" s="57" customFormat="1" x14ac:dyDescent="0.25"/>
    <row r="88" s="57" customFormat="1" x14ac:dyDescent="0.25"/>
    <row r="89" s="57" customFormat="1" x14ac:dyDescent="0.25"/>
    <row r="90" s="57" customFormat="1" ht="177" customHeight="1" x14ac:dyDescent="0.25"/>
    <row r="91" s="57" customFormat="1" ht="86.65" customHeight="1" x14ac:dyDescent="0.25"/>
    <row r="92" s="57" customFormat="1" ht="98.65" customHeight="1" x14ac:dyDescent="0.25"/>
    <row r="93" s="57" customFormat="1" ht="14.65" customHeight="1" x14ac:dyDescent="0.25"/>
    <row r="94" s="57" customFormat="1" ht="297" customHeight="1" x14ac:dyDescent="0.25"/>
    <row r="95" s="57" customFormat="1" ht="176.65" customHeight="1" x14ac:dyDescent="0.25"/>
    <row r="96" s="57" customFormat="1" ht="60.6" customHeight="1" x14ac:dyDescent="0.25"/>
    <row r="97" s="57" customFormat="1" ht="57.6" customHeight="1" x14ac:dyDescent="0.25"/>
    <row r="98" s="57" customFormat="1" ht="106.9" customHeight="1" x14ac:dyDescent="0.25"/>
    <row r="99" s="57" customFormat="1" ht="136.9" customHeight="1" x14ac:dyDescent="0.25"/>
    <row r="100" s="57" customFormat="1" ht="14.65" customHeight="1" x14ac:dyDescent="0.25"/>
    <row r="101" s="57" customFormat="1" ht="61.15" customHeight="1" x14ac:dyDescent="0.25"/>
    <row r="102" s="57" customFormat="1" ht="14.65" customHeight="1" x14ac:dyDescent="0.25"/>
    <row r="103" s="57" customFormat="1" ht="192" customHeight="1" x14ac:dyDescent="0.25"/>
    <row r="104" s="57" customFormat="1" x14ac:dyDescent="0.25"/>
    <row r="105" s="57" customFormat="1" ht="39" customHeight="1" x14ac:dyDescent="0.25"/>
    <row r="106" s="57" customFormat="1" ht="172.9" customHeight="1" x14ac:dyDescent="0.25"/>
    <row r="107" s="57" customFormat="1" ht="198.6" customHeight="1" x14ac:dyDescent="0.25"/>
    <row r="108" s="57" customFormat="1" x14ac:dyDescent="0.25"/>
    <row r="109" s="57" customFormat="1" ht="202.9" customHeight="1" x14ac:dyDescent="0.25"/>
    <row r="110" s="57" customFormat="1" ht="73.900000000000006" customHeight="1" x14ac:dyDescent="0.25"/>
    <row r="111" s="57" customFormat="1" ht="258.60000000000002" customHeight="1" x14ac:dyDescent="0.25"/>
    <row r="112" s="57" customFormat="1" ht="237.4" customHeight="1" x14ac:dyDescent="0.25"/>
    <row r="113" s="57" customFormat="1" ht="69" customHeight="1" x14ac:dyDescent="0.25"/>
    <row r="114" s="57" customFormat="1" ht="336" customHeight="1" x14ac:dyDescent="0.25"/>
    <row r="115" s="57" customFormat="1" x14ac:dyDescent="0.25"/>
    <row r="116" s="57" customFormat="1" ht="71.45" customHeight="1" x14ac:dyDescent="0.25"/>
    <row r="117" s="57" customFormat="1" ht="70.150000000000006" customHeight="1" x14ac:dyDescent="0.25"/>
    <row r="118" s="57" customFormat="1" ht="107.25" customHeight="1" x14ac:dyDescent="0.25"/>
    <row r="119" s="57" customFormat="1" ht="57.6" customHeight="1" x14ac:dyDescent="0.25"/>
    <row r="120" s="57" customFormat="1" x14ac:dyDescent="0.25"/>
    <row r="121" s="57" customFormat="1" ht="43.15" customHeight="1" x14ac:dyDescent="0.25"/>
    <row r="122" s="57" customFormat="1" x14ac:dyDescent="0.25"/>
    <row r="123" s="57" customFormat="1" ht="60" customHeight="1" x14ac:dyDescent="0.25"/>
    <row r="124" s="57" customFormat="1" ht="113.45" customHeight="1" x14ac:dyDescent="0.25"/>
    <row r="125" s="57" customFormat="1" ht="168" customHeight="1" x14ac:dyDescent="0.25"/>
    <row r="126" s="57" customFormat="1" ht="112.15" customHeight="1" x14ac:dyDescent="0.25"/>
    <row r="127" s="57" customFormat="1" x14ac:dyDescent="0.25"/>
    <row r="128" s="57" customFormat="1" x14ac:dyDescent="0.25"/>
    <row r="129" s="57" customFormat="1" x14ac:dyDescent="0.25"/>
    <row r="130" s="57" customFormat="1" ht="68.25" customHeight="1" x14ac:dyDescent="0.25"/>
    <row r="131" s="57" customFormat="1" ht="98.45" customHeight="1" x14ac:dyDescent="0.25"/>
    <row r="132" s="57" customFormat="1" ht="45" customHeight="1" x14ac:dyDescent="0.25"/>
    <row r="133" s="57" customFormat="1" x14ac:dyDescent="0.25"/>
    <row r="134" s="57" customFormat="1" ht="55.9" customHeight="1" x14ac:dyDescent="0.25"/>
    <row r="135" s="57" customFormat="1" ht="57" customHeight="1" x14ac:dyDescent="0.25"/>
    <row r="136" s="57" customFormat="1" x14ac:dyDescent="0.25"/>
    <row r="137" s="57" customFormat="1" ht="97.15" customHeight="1" x14ac:dyDescent="0.25"/>
    <row r="138" s="57" customFormat="1" ht="56.45" customHeight="1" x14ac:dyDescent="0.25"/>
    <row r="139" s="57" customFormat="1" ht="113.45" customHeight="1" x14ac:dyDescent="0.25"/>
    <row r="140" s="57" customFormat="1" ht="165.6" customHeight="1" x14ac:dyDescent="0.25"/>
    <row r="141" s="57" customFormat="1" ht="136.15" customHeight="1" x14ac:dyDescent="0.25"/>
    <row r="142" s="57" customFormat="1" ht="49.9" customHeight="1" x14ac:dyDescent="0.25"/>
    <row r="143" s="57" customFormat="1" ht="76.900000000000006" customHeight="1" x14ac:dyDescent="0.25"/>
    <row r="144" s="57" customFormat="1" ht="38.450000000000003" customHeight="1" x14ac:dyDescent="0.25"/>
    <row r="145" s="57" customFormat="1" ht="109.9" customHeight="1" x14ac:dyDescent="0.25"/>
    <row r="146" s="57" customFormat="1" ht="53.45" customHeight="1" x14ac:dyDescent="0.25"/>
    <row r="147" s="57" customFormat="1" ht="71.45" customHeight="1" x14ac:dyDescent="0.25"/>
    <row r="148" s="57" customFormat="1" ht="67.900000000000006" customHeight="1" x14ac:dyDescent="0.25"/>
    <row r="149" s="57" customFormat="1" ht="139.9" customHeight="1" x14ac:dyDescent="0.25"/>
    <row r="150" s="57" customFormat="1" ht="28.9" customHeight="1" x14ac:dyDescent="0.25"/>
    <row r="151" s="57" customFormat="1" x14ac:dyDescent="0.25"/>
    <row r="152" s="57" customFormat="1" ht="61.9" customHeight="1" x14ac:dyDescent="0.25"/>
    <row r="153" s="57" customFormat="1" ht="78.599999999999994" customHeight="1" x14ac:dyDescent="0.25"/>
    <row r="154" s="57" customFormat="1" ht="72" customHeight="1" x14ac:dyDescent="0.25"/>
    <row r="155" s="57" customFormat="1" ht="70.150000000000006" customHeight="1" x14ac:dyDescent="0.25"/>
    <row r="156" s="57" customFormat="1" x14ac:dyDescent="0.25"/>
    <row r="157" s="57" customFormat="1" ht="74.45" customHeight="1" x14ac:dyDescent="0.25"/>
    <row r="158" s="57" customFormat="1" ht="49.9" customHeight="1" x14ac:dyDescent="0.25"/>
    <row r="159" s="57" customFormat="1" ht="43.15" customHeight="1" x14ac:dyDescent="0.25"/>
    <row r="160" s="57" customFormat="1" ht="34.15" customHeight="1" x14ac:dyDescent="0.25"/>
    <row r="161" s="57" customFormat="1" ht="51.6" customHeight="1" x14ac:dyDescent="0.25"/>
    <row r="162" s="57" customFormat="1" x14ac:dyDescent="0.25"/>
    <row r="163" s="57" customFormat="1" x14ac:dyDescent="0.25"/>
    <row r="164" s="57" customFormat="1" ht="54" customHeight="1" x14ac:dyDescent="0.25"/>
    <row r="165" s="57" customFormat="1" x14ac:dyDescent="0.25"/>
    <row r="166" s="57" customFormat="1" x14ac:dyDescent="0.25"/>
    <row r="167" s="57" customFormat="1" x14ac:dyDescent="0.25"/>
    <row r="168" s="57" customFormat="1" x14ac:dyDescent="0.25"/>
    <row r="169" s="57" customFormat="1" ht="78" customHeight="1" x14ac:dyDescent="0.25"/>
    <row r="170" s="57" customFormat="1" ht="67.900000000000006" customHeight="1" x14ac:dyDescent="0.25"/>
    <row r="171" s="57" customFormat="1" ht="69.599999999999994" customHeight="1" x14ac:dyDescent="0.25"/>
    <row r="172" s="57" customFormat="1" x14ac:dyDescent="0.25"/>
    <row r="173" s="57" customFormat="1" x14ac:dyDescent="0.25"/>
    <row r="174" s="57" customFormat="1" ht="92.45" customHeight="1" x14ac:dyDescent="0.25"/>
    <row r="175" s="57" customFormat="1" x14ac:dyDescent="0.25"/>
    <row r="176" s="57" customFormat="1" x14ac:dyDescent="0.25"/>
    <row r="177" s="57" customFormat="1" ht="55.15" customHeight="1" x14ac:dyDescent="0.25"/>
    <row r="178" s="57" customFormat="1" ht="27" customHeight="1" x14ac:dyDescent="0.25"/>
    <row r="179" s="57" customFormat="1" ht="27" customHeight="1" x14ac:dyDescent="0.25"/>
    <row r="180" s="57" customFormat="1" x14ac:dyDescent="0.25"/>
  </sheetData>
  <autoFilter ref="A5:R184" xr:uid="{2EF38918-2000-41EC-828D-D3D1F33E2FA2}"/>
  <mergeCells count="1">
    <mergeCell ref="H1:H2"/>
  </mergeCells>
  <conditionalFormatting sqref="B185:B1048576 B4:B5">
    <cfRule type="duplicateValues" dxfId="20" priority="107"/>
  </conditionalFormatting>
  <conditionalFormatting sqref="F182 F5 F185:F365">
    <cfRule type="colorScale" priority="28">
      <colorScale>
        <cfvo type="min"/>
        <cfvo type="percentile" val="50"/>
        <cfvo type="max"/>
        <color rgb="FF92D050"/>
        <color rgb="FFFFEB84"/>
        <color rgb="FFFF0000"/>
      </colorScale>
    </cfRule>
  </conditionalFormatting>
  <conditionalFormatting sqref="L4:L5 L182 L185:L1048576">
    <cfRule type="colorScale" priority="25">
      <colorScale>
        <cfvo type="min"/>
        <cfvo type="percentile" val="50"/>
        <cfvo type="max"/>
        <color rgb="FFF8696B"/>
        <color rgb="FFFFEB84"/>
        <color rgb="FF63BE7B"/>
      </colorScale>
    </cfRule>
  </conditionalFormatting>
  <conditionalFormatting sqref="P182 P24 P4:P5 P185:P1048576">
    <cfRule type="colorScale" priority="22">
      <colorScale>
        <cfvo type="min"/>
        <cfvo type="percentile" val="50"/>
        <cfvo type="max"/>
        <color rgb="FF63BE7B"/>
        <color rgb="FFFFEB84"/>
        <color rgb="FFF8696B"/>
      </colorScale>
    </cfRule>
  </conditionalFormatting>
  <conditionalFormatting sqref="Q5">
    <cfRule type="colorScale" priority="26">
      <colorScale>
        <cfvo type="min"/>
        <cfvo type="percentile" val="50"/>
        <cfvo type="max"/>
        <color rgb="FF92D050"/>
        <color rgb="FFFFEB84"/>
        <color rgb="FFFF0000"/>
      </colorScale>
    </cfRule>
  </conditionalFormatting>
  <conditionalFormatting sqref="S17 AF17 AS17 BF17 BS17 CF17 CS17 DF17 DS17 EF17 ES17 FF17 FS17 GF17 GS17 HF17 HS17 IF17 IS17 JF17 JS17 KF17 KS17 LF17 LS17 MF17 MS17 NF17 NS17 OF17 OS17 PF17 PS17 QF17 QS17 RF17 RS17 SF17 SS17 TF17 TS17 UF17 US17 VF17 VS17 WF17 WS17 XF17 XS17 YF17 YS17 ZF17 ZS17 AAF17 AAS17 ABF17 ABS17 ACF17 ACS17 ADF17 ADS17 AEF17 AES17 AFF17 AFS17 AGF17 AGS17 AHF17 AHS17 AIF17 AIS17 AJF17 AJS17 AKF17 AKS17 ALF17 ALS17 AMF17 AMS17 ANF17 ANS17 AOF17 AOS17 APF17 APS17 AQF17 AQS17 ARF17 ARS17 ASF17 ASS17 ATF17 ATS17 AUF17 AUS17 AVF17 AVS17 AWF17 AWS17 AXF17 AXS17 AYF17 AYS17 AZF17 AZS17 BAF17 BAS17 BBF17 BBS17 BCF17 BCS17 BDF17 BDS17 BEF17 BES17 BFF17 BFS17 BGF17 BGS17 BHF17 BHS17 BIF17 BIS17 BJF17 BJS17 BKF17 BKS17 BLF17 BLS17 BMF17 BMS17 BNF17 BNS17 BOF17 BOS17 BPF17 BPS17 BQF17 BQS17 BRF17 BRS17 BSF17 BSS17 BTF17 BTS17 BUF17 BUS17 BVF17 BVS17 BWF17 BWS17 BXF17 BXS17 BYF17 BYS17 BZF17 BZS17 CAF17 CAS17 CBF17 CBS17 CCF17 CCS17 CDF17 CDS17 CEF17 CES17 CFF17 CFS17 CGF17 CGS17 CHF17 CHS17 CIF17 CIS17 CJF17 CJS17 CKF17 CKS17 CLF17 CLS17 CMF17 CMS17 CNF17 CNS17 COF17 COS17 CPF17 CPS17 CQF17 CQS17 CRF17 CRS17 CSF17 CSS17 CTF17 CTS17 CUF17 CUS17 CVF17 CVS17 CWF17 CWS17 CXF17 CXS17 CYF17 CYS17 CZF17 CZS17 DAF17 DAS17 DBF17 DBS17 DCF17 DCS17 DDF17 DDS17 DEF17 DES17 DFF17 DFS17 DGF17 DGS17 DHF17 DHS17 DIF17 DIS17 DJF17 DJS17 DKF17 DKS17 DLF17 DLS17 DMF17 DMS17 DNF17 DNS17 DOF17 DOS17 DPF17 DPS17 DQF17 DQS17 DRF17 DRS17 DSF17 DSS17 DTF17 DTS17 DUF17 DUS17 DVF17 DVS17 DWF17 DWS17 DXF17 DXS17 DYF17 DYS17 DZF17 DZS17 EAF17 EAS17 EBF17 EBS17 ECF17 ECS17 EDF17 EDS17 EEF17 EES17 EFF17 EFS17 EGF17 EGS17 EHF17 EHS17 EIF17 EIS17 EJF17 EJS17 EKF17 EKS17 ELF17 ELS17 EMF17 EMS17 ENF17 ENS17 EOF17 EOS17 EPF17 EPS17 EQF17 EQS17 ERF17 ERS17 ESF17 ESS17 ETF17 ETS17 EUF17 EUS17 EVF17 EVS17 EWF17 EWS17 EXF17 EXS17 EYF17 EYS17 EZF17 EZS17 FAF17 FAS17 FBF17 FBS17 FCF17 FCS17 FDF17 FDS17 FEF17 FES17 FFF17 FFS17 FGF17 FGS17 FHF17 FHS17 FIF17 FIS17 FJF17 FJS17 FKF17 FKS17 FLF17 FLS17 FMF17 FMS17 FNF17 FNS17 FOF17 FOS17 FPF17 FPS17 FQF17 FQS17 FRF17 FRS17 FSF17 FSS17 FTF17 FTS17 FUF17 FUS17 FVF17 FVS17 FWF17 FWS17 FXF17 FXS17 FYF17 FYS17 FZF17 FZS17 GAF17 GAS17 GBF17 GBS17 GCF17 GCS17 GDF17 GDS17 GEF17 GES17 GFF17 GFS17 GGF17 GGS17 GHF17 GHS17 GIF17 GIS17 GJF17 GJS17 GKF17 GKS17 GLF17 GLS17 GMF17 GMS17 GNF17 GNS17 GOF17 GOS17 GPF17 GPS17 GQF17 GQS17 GRF17 GRS17 GSF17 GSS17 GTF17 GTS17 GUF17 GUS17 GVF17 GVS17 GWF17 GWS17 GXF17 GXS17 GYF17 GYS17 GZF17 GZS17 HAF17 HAS17 HBF17 HBS17 HCF17 HCS17 HDF17 HDS17 HEF17 HES17 HFF17 HFS17 HGF17 HGS17 HHF17 HHS17 HIF17 HIS17 HJF17 HJS17 HKF17 HKS17 HLF17 HLS17 HMF17 HMS17 HNF17 HNS17 HOF17 HOS17 HPF17 HPS17 HQF17 HQS17 HRF17 HRS17 HSF17 HSS17 HTF17 HTS17 HUF17 HUS17 HVF17 HVS17 HWF17 HWS17 HXF17 HXS17 HYF17 HYS17 HZF17 HZS17 IAF17 IAS17 IBF17 IBS17 ICF17 ICS17 IDF17 IDS17 IEF17 IES17 IFF17 IFS17 IGF17 IGS17 IHF17 IHS17 IIF17 IIS17 IJF17 IJS17 IKF17 IKS17 ILF17 ILS17 IMF17 IMS17 INF17 INS17 IOF17 IOS17 IPF17 IPS17 IQF17 IQS17 IRF17 IRS17 ISF17 ISS17 ITF17 ITS17 IUF17 IUS17 IVF17 IVS17 IWF17 IWS17 IXF17 IXS17 IYF17 IYS17 IZF17 IZS17 JAF17 JAS17 JBF17 JBS17 JCF17 JCS17 JDF17 JDS17 JEF17 JES17 JFF17 JFS17 JGF17 JGS17 JHF17 JHS17 JIF17 JIS17 JJF17 JJS17 JKF17 JKS17 JLF17 JLS17 JMF17 JMS17 JNF17 JNS17 JOF17 JOS17 JPF17 JPS17 JQF17 JQS17 JRF17 JRS17 JSF17 JSS17 JTF17 JTS17 JUF17 JUS17 JVF17 JVS17 JWF17 JWS17 JXF17 JXS17 JYF17 JYS17 JZF17 JZS17 KAF17 KAS17 KBF17 KBS17 KCF17 KCS17 KDF17 KDS17 KEF17 KES17 KFF17 KFS17 KGF17 KGS17 KHF17 KHS17 KIF17 KIS17 KJF17 KJS17 KKF17 KKS17 KLF17 KLS17 KMF17 KMS17 KNF17 KNS17 KOF17 KOS17 KPF17 KPS17 KQF17 KQS17 KRF17 KRS17 KSF17 KSS17 KTF17 KTS17 KUF17 KUS17 KVF17 KVS17 KWF17 KWS17 KXF17 KXS17 KYF17 KYS17 KZF17 KZS17 LAF17 LAS17 LBF17 LBS17 LCF17 LCS17 LDF17 LDS17 LEF17 LES17 LFF17 LFS17 LGF17 LGS17 LHF17 LHS17 LIF17 LIS17 LJF17 LJS17 LKF17 LKS17 LLF17 LLS17 LMF17 LMS17 LNF17 LNS17 LOF17 LOS17 LPF17 LPS17 LQF17 LQS17 LRF17 LRS17 LSF17 LSS17 LTF17 LTS17 LUF17 LUS17 LVF17 LVS17 LWF17 LWS17 LXF17 LXS17 LYF17 LYS17 LZF17 LZS17 MAF17 MAS17 MBF17 MBS17 MCF17 MCS17 MDF17 MDS17 MEF17 MES17 MFF17 MFS17 MGF17 MGS17 MHF17 MHS17 MIF17 MIS17 MJF17 MJS17 MKF17 MKS17 MLF17 MLS17 MMF17 MMS17 MNF17 MNS17 MOF17 MOS17 MPF17 MPS17 MQF17 MQS17 MRF17 MRS17 MSF17 MSS17 MTF17 MTS17 MUF17 MUS17 MVF17 MVS17 MWF17 MWS17 MXF17 MXS17 MYF17 MYS17 MZF17 MZS17 NAF17 NAS17 NBF17 NBS17 NCF17 NCS17 NDF17 NDS17 NEF17 NES17 NFF17 NFS17 NGF17 NGS17 NHF17 NHS17 NIF17 NIS17 NJF17 NJS17 NKF17 NKS17 NLF17 NLS17 NMF17 NMS17 NNF17 NNS17 NOF17 NOS17 NPF17 NPS17 NQF17 NQS17 NRF17 NRS17 NSF17 NSS17 NTF17 NTS17 NUF17 NUS17 NVF17 NVS17 NWF17 NWS17 NXF17 NXS17 NYF17 NYS17 NZF17 NZS17 OAF17 OAS17 OBF17 OBS17 OCF17 OCS17 ODF17 ODS17 OEF17 OES17 OFF17 OFS17 OGF17 OGS17 OHF17 OHS17 OIF17 OIS17 OJF17 OJS17 OKF17 OKS17 OLF17 OLS17 OMF17 OMS17 ONF17 ONS17 OOF17 OOS17 OPF17 OPS17 OQF17 OQS17 ORF17 ORS17 OSF17 OSS17 OTF17 OTS17 OUF17 OUS17 OVF17 OVS17 OWF17 OWS17 OXF17 OXS17 OYF17 OYS17 OZF17 OZS17 PAF17 PAS17 PBF17 PBS17 PCF17 PCS17 PDF17 PDS17 PEF17 PES17 PFF17 PFS17 PGF17 PGS17 PHF17 PHS17 PIF17 PIS17 PJF17 PJS17 PKF17 PKS17 PLF17 PLS17 PMF17 PMS17 PNF17 PNS17 POF17 POS17 PPF17 PPS17 PQF17 PQS17 PRF17 PRS17 PSF17 PSS17 PTF17 PTS17 PUF17 PUS17 PVF17 PVS17 PWF17 PWS17 PXF17 PXS17 PYF17 PYS17 PZF17 PZS17 QAF17 QAS17 QBF17 QBS17 QCF17 QCS17 QDF17 QDS17 QEF17 QES17 QFF17 QFS17 QGF17 QGS17 QHF17 QHS17 QIF17 QIS17 QJF17 QJS17 QKF17 QKS17 QLF17 QLS17 QMF17 QMS17 QNF17 QNS17 QOF17 QOS17 QPF17 QPS17 QQF17 QQS17 QRF17 QRS17 QSF17 QSS17 QTF17 QTS17 QUF17 QUS17 QVF17 QVS17 QWF17 QWS17 QXF17 QXS17 QYF17 QYS17 QZF17 QZS17 RAF17 RAS17 RBF17 RBS17 RCF17 RCS17 RDF17 RDS17 REF17 RES17 RFF17 RFS17 RGF17 RGS17 RHF17 RHS17 RIF17 RIS17 RJF17 RJS17 RKF17 RKS17 RLF17 RLS17 RMF17 RMS17 RNF17 RNS17 ROF17 ROS17 RPF17 RPS17 RQF17 RQS17 RRF17 RRS17 RSF17 RSS17 RTF17 RTS17 RUF17 RUS17 RVF17 RVS17 RWF17 RWS17 RXF17 RXS17 RYF17 RYS17 RZF17 RZS17 SAF17 SAS17 SBF17 SBS17 SCF17 SCS17 SDF17 SDS17 SEF17 SES17 SFF17 SFS17 SGF17 SGS17 SHF17 SHS17 SIF17 SIS17 SJF17 SJS17 SKF17 SKS17 SLF17 SLS17 SMF17 SMS17 SNF17 SNS17 SOF17 SOS17 SPF17 SPS17 SQF17 SQS17 SRF17 SRS17 SSF17 SSS17 STF17 STS17 SUF17 SUS17 SVF17 SVS17 SWF17 SWS17 SXF17 SXS17 SYF17 SYS17 SZF17 SZS17 TAF17 TAS17 TBF17 TBS17 TCF17 TCS17 TDF17 TDS17 TEF17 TES17 TFF17 TFS17 TGF17 TGS17 THF17 THS17 TIF17 TIS17 TJF17 TJS17 TKF17 TKS17 TLF17 TLS17 TMF17 TMS17 TNF17 TNS17 TOF17 TOS17 TPF17 TPS17 TQF17 TQS17 TRF17 TRS17 TSF17 TSS17 TTF17 TTS17 TUF17 TUS17 TVF17 TVS17 TWF17 TWS17 TXF17 TXS17 TYF17 TYS17 TZF17 TZS17 UAF17 UAS17 UBF17 UBS17 UCF17 UCS17 UDF17 UDS17 UEF17 UES17 UFF17 UFS17 UGF17 UGS17 UHF17 UHS17 UIF17 UIS17 UJF17 UJS17 UKF17 UKS17 ULF17 ULS17 UMF17 UMS17 UNF17 UNS17 UOF17 UOS17 UPF17 UPS17 UQF17 UQS17 URF17 URS17 USF17 USS17 UTF17 UTS17 UUF17 UUS17 UVF17 UVS17 UWF17 UWS17 UXF17 UXS17 UYF17 UYS17 UZF17 UZS17 VAF17 VAS17 VBF17 VBS17 VCF17 VCS17 VDF17 VDS17 VEF17 VES17 VFF17 VFS17 VGF17 VGS17 VHF17 VHS17 VIF17 VIS17 VJF17 VJS17 VKF17 VKS17 VLF17 VLS17 VMF17 VMS17 VNF17 VNS17 VOF17 VOS17 VPF17 VPS17 VQF17 VQS17 VRF17 VRS17 VSF17 VSS17 VTF17 VTS17 VUF17 VUS17 VVF17 VVS17 VWF17 VWS17 VXF17 VXS17 VYF17 VYS17 VZF17 VZS17 WAF17 WAS17 WBF17 WBS17 WCF17 WCS17 WDF17 WDS17 WEF17 WES17 WFF17 WFS17 WGF17 WGS17 WHF17 WHS17 WIF17 WIS17 WJF17 WJS17 WKF17 WKS17 WLF17 WLS17 WMF17 WMS17 WNF17 WNS17 WOF17 WOS17 WPF17 WPS17 WQF17 WQS17 WRF17 WRS17 WSF17 WSS17 WTF17 WTS17 WUF17 WUS17 WVF17 WVS17 WWF17 WWS17 WXF17 WXS17 WYF17 WYS17 WZF17 WZS17 XAF17 XAS17 XBF17 XBS17 XCF17 XCS17 XDF17 XDS17 XEF17 XES17">
    <cfRule type="colorScale" priority="7">
      <colorScale>
        <cfvo type="min"/>
        <cfvo type="percentile" val="50"/>
        <cfvo type="max"/>
        <color rgb="FF92D050"/>
        <color rgb="FFFFEB84"/>
        <color rgb="FFFF0000"/>
      </colorScale>
    </cfRule>
  </conditionalFormatting>
  <conditionalFormatting sqref="S18 AF18 AS18 BF18 BS18 CF18 CS18 DF18 DS18 EF18 ES18 FF18 FS18 GF18 GS18 HF18 HS18 IF18 IS18 JF18 JS18 KF18 KS18 LF18 LS18 MF18 MS18 NF18 NS18 OF18 OS18 PF18 PS18 QF18 QS18 RF18 RS18 SF18 SS18 TF18 TS18 UF18 US18 VF18 VS18 WF18 WS18 XF18 XS18 YF18 YS18 ZF18 ZS18 AAF18 AAS18 ABF18 ABS18 ACF18 ACS18 ADF18 ADS18 AEF18 AES18 AFF18 AFS18 AGF18 AGS18 AHF18 AHS18 AIF18 AIS18 AJF18 AJS18 AKF18 AKS18 ALF18 ALS18 AMF18 AMS18 ANF18 ANS18 AOF18 AOS18 APF18 APS18 AQF18 AQS18 ARF18 ARS18 ASF18 ASS18 ATF18 ATS18 AUF18 AUS18 AVF18 AVS18 AWF18 AWS18 AXF18 AXS18 AYF18 AYS18 AZF18 AZS18 BAF18 BAS18 BBF18 BBS18 BCF18 BCS18 BDF18 BDS18 BEF18 BES18 BFF18 BFS18 BGF18 BGS18 BHF18 BHS18 BIF18 BIS18 BJF18 BJS18 BKF18 BKS18 BLF18 BLS18 BMF18 BMS18 BNF18 BNS18 BOF18 BOS18 BPF18 BPS18 BQF18 BQS18 BRF18 BRS18 BSF18 BSS18 BTF18 BTS18 BUF18 BUS18 BVF18 BVS18 BWF18 BWS18 BXF18 BXS18 BYF18 BYS18 BZF18 BZS18 CAF18 CAS18 CBF18 CBS18 CCF18 CCS18 CDF18 CDS18 CEF18 CES18 CFF18 CFS18 CGF18 CGS18 CHF18 CHS18 CIF18 CIS18 CJF18 CJS18 CKF18 CKS18 CLF18 CLS18 CMF18 CMS18 CNF18 CNS18 COF18 COS18 CPF18 CPS18 CQF18 CQS18 CRF18 CRS18 CSF18 CSS18 CTF18 CTS18 CUF18 CUS18 CVF18 CVS18 CWF18 CWS18 CXF18 CXS18 CYF18 CYS18 CZF18 CZS18 DAF18 DAS18 DBF18 DBS18 DCF18 DCS18 DDF18 DDS18 DEF18 DES18 DFF18 DFS18 DGF18 DGS18 DHF18 DHS18 DIF18 DIS18 DJF18 DJS18 DKF18 DKS18 DLF18 DLS18 DMF18 DMS18 DNF18 DNS18 DOF18 DOS18 DPF18 DPS18 DQF18 DQS18 DRF18 DRS18 DSF18 DSS18 DTF18 DTS18 DUF18 DUS18 DVF18 DVS18 DWF18 DWS18 DXF18 DXS18 DYF18 DYS18 DZF18 DZS18 EAF18 EAS18 EBF18 EBS18 ECF18 ECS18 EDF18 EDS18 EEF18 EES18 EFF18 EFS18 EGF18 EGS18 EHF18 EHS18 EIF18 EIS18 EJF18 EJS18 EKF18 EKS18 ELF18 ELS18 EMF18 EMS18 ENF18 ENS18 EOF18 EOS18 EPF18 EPS18 EQF18 EQS18 ERF18 ERS18 ESF18 ESS18 ETF18 ETS18 EUF18 EUS18 EVF18 EVS18 EWF18 EWS18 EXF18 EXS18 EYF18 EYS18 EZF18 EZS18 FAF18 FAS18 FBF18 FBS18 FCF18 FCS18 FDF18 FDS18 FEF18 FES18 FFF18 FFS18 FGF18 FGS18 FHF18 FHS18 FIF18 FIS18 FJF18 FJS18 FKF18 FKS18 FLF18 FLS18 FMF18 FMS18 FNF18 FNS18 FOF18 FOS18 FPF18 FPS18 FQF18 FQS18 FRF18 FRS18 FSF18 FSS18 FTF18 FTS18 FUF18 FUS18 FVF18 FVS18 FWF18 FWS18 FXF18 FXS18 FYF18 FYS18 FZF18 FZS18 GAF18 GAS18 GBF18 GBS18 GCF18 GCS18 GDF18 GDS18 GEF18 GES18 GFF18 GFS18 GGF18 GGS18 GHF18 GHS18 GIF18 GIS18 GJF18 GJS18 GKF18 GKS18 GLF18 GLS18 GMF18 GMS18 GNF18 GNS18 GOF18 GOS18 GPF18 GPS18 GQF18 GQS18 GRF18 GRS18 GSF18 GSS18 GTF18 GTS18 GUF18 GUS18 GVF18 GVS18 GWF18 GWS18 GXF18 GXS18 GYF18 GYS18 GZF18 GZS18 HAF18 HAS18 HBF18 HBS18 HCF18 HCS18 HDF18 HDS18 HEF18 HES18 HFF18 HFS18 HGF18 HGS18 HHF18 HHS18 HIF18 HIS18 HJF18 HJS18 HKF18 HKS18 HLF18 HLS18 HMF18 HMS18 HNF18 HNS18 HOF18 HOS18 HPF18 HPS18 HQF18 HQS18 HRF18 HRS18 HSF18 HSS18 HTF18 HTS18 HUF18 HUS18 HVF18 HVS18 HWF18 HWS18 HXF18 HXS18 HYF18 HYS18 HZF18 HZS18 IAF18 IAS18 IBF18 IBS18 ICF18 ICS18 IDF18 IDS18 IEF18 IES18 IFF18 IFS18 IGF18 IGS18 IHF18 IHS18 IIF18 IIS18 IJF18 IJS18 IKF18 IKS18 ILF18 ILS18 IMF18 IMS18 INF18 INS18 IOF18 IOS18 IPF18 IPS18 IQF18 IQS18 IRF18 IRS18 ISF18 ISS18 ITF18 ITS18 IUF18 IUS18 IVF18 IVS18 IWF18 IWS18 IXF18 IXS18 IYF18 IYS18 IZF18 IZS18 JAF18 JAS18 JBF18 JBS18 JCF18 JCS18 JDF18 JDS18 JEF18 JES18 JFF18 JFS18 JGF18 JGS18 JHF18 JHS18 JIF18 JIS18 JJF18 JJS18 JKF18 JKS18 JLF18 JLS18 JMF18 JMS18 JNF18 JNS18 JOF18 JOS18 JPF18 JPS18 JQF18 JQS18 JRF18 JRS18 JSF18 JSS18 JTF18 JTS18 JUF18 JUS18 JVF18 JVS18 JWF18 JWS18 JXF18 JXS18 JYF18 JYS18 JZF18 JZS18 KAF18 KAS18 KBF18 KBS18 KCF18 KCS18 KDF18 KDS18 KEF18 KES18 KFF18 KFS18 KGF18 KGS18 KHF18 KHS18 KIF18 KIS18 KJF18 KJS18 KKF18 KKS18 KLF18 KLS18 KMF18 KMS18 KNF18 KNS18 KOF18 KOS18 KPF18 KPS18 KQF18 KQS18 KRF18 KRS18 KSF18 KSS18 KTF18 KTS18 KUF18 KUS18 KVF18 KVS18 KWF18 KWS18 KXF18 KXS18 KYF18 KYS18 KZF18 KZS18 LAF18 LAS18 LBF18 LBS18 LCF18 LCS18 LDF18 LDS18 LEF18 LES18 LFF18 LFS18 LGF18 LGS18 LHF18 LHS18 LIF18 LIS18 LJF18 LJS18 LKF18 LKS18 LLF18 LLS18 LMF18 LMS18 LNF18 LNS18 LOF18 LOS18 LPF18 LPS18 LQF18 LQS18 LRF18 LRS18 LSF18 LSS18 LTF18 LTS18 LUF18 LUS18 LVF18 LVS18 LWF18 LWS18 LXF18 LXS18 LYF18 LYS18 LZF18 LZS18 MAF18 MAS18 MBF18 MBS18 MCF18 MCS18 MDF18 MDS18 MEF18 MES18 MFF18 MFS18 MGF18 MGS18 MHF18 MHS18 MIF18 MIS18 MJF18 MJS18 MKF18 MKS18 MLF18 MLS18 MMF18 MMS18 MNF18 MNS18 MOF18 MOS18 MPF18 MPS18 MQF18 MQS18 MRF18 MRS18 MSF18 MSS18 MTF18 MTS18 MUF18 MUS18 MVF18 MVS18 MWF18 MWS18 MXF18 MXS18 MYF18 MYS18 MZF18 MZS18 NAF18 NAS18 NBF18 NBS18 NCF18 NCS18 NDF18 NDS18 NEF18 NES18 NFF18 NFS18 NGF18 NGS18 NHF18 NHS18 NIF18 NIS18 NJF18 NJS18 NKF18 NKS18 NLF18 NLS18 NMF18 NMS18 NNF18 NNS18 NOF18 NOS18 NPF18 NPS18 NQF18 NQS18 NRF18 NRS18 NSF18 NSS18 NTF18 NTS18 NUF18 NUS18 NVF18 NVS18 NWF18 NWS18 NXF18 NXS18 NYF18 NYS18 NZF18 NZS18 OAF18 OAS18 OBF18 OBS18 OCF18 OCS18 ODF18 ODS18 OEF18 OES18 OFF18 OFS18 OGF18 OGS18 OHF18 OHS18 OIF18 OIS18 OJF18 OJS18 OKF18 OKS18 OLF18 OLS18 OMF18 OMS18 ONF18 ONS18 OOF18 OOS18 OPF18 OPS18 OQF18 OQS18 ORF18 ORS18 OSF18 OSS18 OTF18 OTS18 OUF18 OUS18 OVF18 OVS18 OWF18 OWS18 OXF18 OXS18 OYF18 OYS18 OZF18 OZS18 PAF18 PAS18 PBF18 PBS18 PCF18 PCS18 PDF18 PDS18 PEF18 PES18 PFF18 PFS18 PGF18 PGS18 PHF18 PHS18 PIF18 PIS18 PJF18 PJS18 PKF18 PKS18 PLF18 PLS18 PMF18 PMS18 PNF18 PNS18 POF18 POS18 PPF18 PPS18 PQF18 PQS18 PRF18 PRS18 PSF18 PSS18 PTF18 PTS18 PUF18 PUS18 PVF18 PVS18 PWF18 PWS18 PXF18 PXS18 PYF18 PYS18 PZF18 PZS18 QAF18 QAS18 QBF18 QBS18 QCF18 QCS18 QDF18 QDS18 QEF18 QES18 QFF18 QFS18 QGF18 QGS18 QHF18 QHS18 QIF18 QIS18 QJF18 QJS18 QKF18 QKS18 QLF18 QLS18 QMF18 QMS18 QNF18 QNS18 QOF18 QOS18 QPF18 QPS18 QQF18 QQS18 QRF18 QRS18 QSF18 QSS18 QTF18 QTS18 QUF18 QUS18 QVF18 QVS18 QWF18 QWS18 QXF18 QXS18 QYF18 QYS18 QZF18 QZS18 RAF18 RAS18 RBF18 RBS18 RCF18 RCS18 RDF18 RDS18 REF18 RES18 RFF18 RFS18 RGF18 RGS18 RHF18 RHS18 RIF18 RIS18 RJF18 RJS18 RKF18 RKS18 RLF18 RLS18 RMF18 RMS18 RNF18 RNS18 ROF18 ROS18 RPF18 RPS18 RQF18 RQS18 RRF18 RRS18 RSF18 RSS18 RTF18 RTS18 RUF18 RUS18 RVF18 RVS18 RWF18 RWS18 RXF18 RXS18 RYF18 RYS18 RZF18 RZS18 SAF18 SAS18 SBF18 SBS18 SCF18 SCS18 SDF18 SDS18 SEF18 SES18 SFF18 SFS18 SGF18 SGS18 SHF18 SHS18 SIF18 SIS18 SJF18 SJS18 SKF18 SKS18 SLF18 SLS18 SMF18 SMS18 SNF18 SNS18 SOF18 SOS18 SPF18 SPS18 SQF18 SQS18 SRF18 SRS18 SSF18 SSS18 STF18 STS18 SUF18 SUS18 SVF18 SVS18 SWF18 SWS18 SXF18 SXS18 SYF18 SYS18 SZF18 SZS18 TAF18 TAS18 TBF18 TBS18 TCF18 TCS18 TDF18 TDS18 TEF18 TES18 TFF18 TFS18 TGF18 TGS18 THF18 THS18 TIF18 TIS18 TJF18 TJS18 TKF18 TKS18 TLF18 TLS18 TMF18 TMS18 TNF18 TNS18 TOF18 TOS18 TPF18 TPS18 TQF18 TQS18 TRF18 TRS18 TSF18 TSS18 TTF18 TTS18 TUF18 TUS18 TVF18 TVS18 TWF18 TWS18 TXF18 TXS18 TYF18 TYS18 TZF18 TZS18 UAF18 UAS18 UBF18 UBS18 UCF18 UCS18 UDF18 UDS18 UEF18 UES18 UFF18 UFS18 UGF18 UGS18 UHF18 UHS18 UIF18 UIS18 UJF18 UJS18 UKF18 UKS18 ULF18 ULS18 UMF18 UMS18 UNF18 UNS18 UOF18 UOS18 UPF18 UPS18 UQF18 UQS18 URF18 URS18 USF18 USS18 UTF18 UTS18 UUF18 UUS18 UVF18 UVS18 UWF18 UWS18 UXF18 UXS18 UYF18 UYS18 UZF18 UZS18 VAF18 VAS18 VBF18 VBS18 VCF18 VCS18 VDF18 VDS18 VEF18 VES18 VFF18 VFS18 VGF18 VGS18 VHF18 VHS18 VIF18 VIS18 VJF18 VJS18 VKF18 VKS18 VLF18 VLS18 VMF18 VMS18 VNF18 VNS18 VOF18 VOS18 VPF18 VPS18 VQF18 VQS18 VRF18 VRS18 VSF18 VSS18 VTF18 VTS18 VUF18 VUS18 VVF18 VVS18 VWF18 VWS18 VXF18 VXS18 VYF18 VYS18 VZF18 VZS18 WAF18 WAS18 WBF18 WBS18 WCF18 WCS18 WDF18 WDS18 WEF18 WES18 WFF18 WFS18 WGF18 WGS18 WHF18 WHS18 WIF18 WIS18 WJF18 WJS18 WKF18 WKS18 WLF18 WLS18 WMF18 WMS18 WNF18 WNS18 WOF18 WOS18 WPF18 WPS18 WQF18 WQS18 WRF18 WRS18 WSF18 WSS18 WTF18 WTS18 WUF18 WUS18 WVF18 WVS18 WWF18 WWS18 WXF18 WXS18 WYF18 WYS18 WZF18 WZS18 XAF18 XAS18 XBF18 XBS18 XCF18 XCS18 XDF18 XDS18 XEF18 XES18">
    <cfRule type="colorScale" priority="4">
      <colorScale>
        <cfvo type="min"/>
        <cfvo type="percentile" val="50"/>
        <cfvo type="max"/>
        <color rgb="FF92D050"/>
        <color rgb="FFFFEB84"/>
        <color rgb="FFFF0000"/>
      </colorScale>
    </cfRule>
  </conditionalFormatting>
  <conditionalFormatting sqref="S22 AF22 AS22 BF22 BS22 CF22 CS22 DF22 DS22 EF22 ES22 FF22 FS22 GF22 GS22 HF22 HS22 IF22 IS22 JF22 JS22 KF22 KS22 LF22 LS22 MF22 MS22 NF22 NS22 OF22 OS22 PF22 PS22 QF22 QS22 RF22 RS22 SF22 SS22 TF22 TS22 UF22 US22 VF22 VS22 WF22 WS22 XF22 XS22 YF22 YS22 ZF22 ZS22 AAF22 AAS22 ABF22 ABS22 ACF22 ACS22 ADF22 ADS22 AEF22 AES22 AFF22 AFS22 AGF22 AGS22 AHF22 AHS22 AIF22 AIS22 AJF22 AJS22 AKF22 AKS22 ALF22 ALS22 AMF22 AMS22 ANF22 ANS22 AOF22 AOS22 APF22 APS22 AQF22 AQS22 ARF22 ARS22 ASF22 ASS22 ATF22 ATS22 AUF22 AUS22 AVF22 AVS22 AWF22 AWS22 AXF22 AXS22 AYF22 AYS22 AZF22 AZS22 BAF22 BAS22 BBF22 BBS22 BCF22 BCS22 BDF22 BDS22 BEF22 BES22 BFF22 BFS22 BGF22 BGS22 BHF22 BHS22 BIF22 BIS22 BJF22 BJS22 BKF22 BKS22 BLF22 BLS22 BMF22 BMS22 BNF22 BNS22 BOF22 BOS22 BPF22 BPS22 BQF22 BQS22 BRF22 BRS22 BSF22 BSS22 BTF22 BTS22 BUF22 BUS22 BVF22 BVS22 BWF22 BWS22 BXF22 BXS22 BYF22 BYS22 BZF22 BZS22 CAF22 CAS22 CBF22 CBS22 CCF22 CCS22 CDF22 CDS22 CEF22 CES22 CFF22 CFS22 CGF22 CGS22 CHF22 CHS22 CIF22 CIS22 CJF22 CJS22 CKF22 CKS22 CLF22 CLS22 CMF22 CMS22 CNF22 CNS22 COF22 COS22 CPF22 CPS22 CQF22 CQS22 CRF22 CRS22 CSF22 CSS22 CTF22 CTS22 CUF22 CUS22 CVF22 CVS22 CWF22 CWS22 CXF22 CXS22 CYF22 CYS22 CZF22 CZS22 DAF22 DAS22 DBF22 DBS22 DCF22 DCS22 DDF22 DDS22 DEF22 DES22 DFF22 DFS22 DGF22 DGS22 DHF22 DHS22 DIF22 DIS22 DJF22 DJS22 DKF22 DKS22 DLF22 DLS22 DMF22 DMS22 DNF22 DNS22 DOF22 DOS22 DPF22 DPS22 DQF22 DQS22 DRF22 DRS22 DSF22 DSS22 DTF22 DTS22 DUF22 DUS22 DVF22 DVS22 DWF22 DWS22 DXF22 DXS22 DYF22 DYS22 DZF22 DZS22 EAF22 EAS22 EBF22 EBS22 ECF22 ECS22 EDF22 EDS22 EEF22 EES22 EFF22 EFS22 EGF22 EGS22 EHF22 EHS22 EIF22 EIS22 EJF22 EJS22 EKF22 EKS22 ELF22 ELS22 EMF22 EMS22 ENF22 ENS22 EOF22 EOS22 EPF22 EPS22 EQF22 EQS22 ERF22 ERS22 ESF22 ESS22 ETF22 ETS22 EUF22 EUS22 EVF22 EVS22 EWF22 EWS22 EXF22 EXS22 EYF22 EYS22 EZF22 EZS22 FAF22 FAS22 FBF22 FBS22 FCF22 FCS22 FDF22 FDS22 FEF22 FES22 FFF22 FFS22 FGF22 FGS22 FHF22 FHS22 FIF22 FIS22 FJF22 FJS22 FKF22 FKS22 FLF22 FLS22 FMF22 FMS22 FNF22 FNS22 FOF22 FOS22 FPF22 FPS22 FQF22 FQS22 FRF22 FRS22 FSF22 FSS22 FTF22 FTS22 FUF22 FUS22 FVF22 FVS22 FWF22 FWS22 FXF22 FXS22 FYF22 FYS22 FZF22 FZS22 GAF22 GAS22 GBF22 GBS22 GCF22 GCS22 GDF22 GDS22 GEF22 GES22 GFF22 GFS22 GGF22 GGS22 GHF22 GHS22 GIF22 GIS22 GJF22 GJS22 GKF22 GKS22 GLF22 GLS22 GMF22 GMS22 GNF22 GNS22 GOF22 GOS22 GPF22 GPS22 GQF22 GQS22 GRF22 GRS22 GSF22 GSS22 GTF22 GTS22 GUF22 GUS22 GVF22 GVS22 GWF22 GWS22 GXF22 GXS22 GYF22 GYS22 GZF22 GZS22 HAF22 HAS22 HBF22 HBS22 HCF22 HCS22 HDF22 HDS22 HEF22 HES22 HFF22 HFS22 HGF22 HGS22 HHF22 HHS22 HIF22 HIS22 HJF22 HJS22 HKF22 HKS22 HLF22 HLS22 HMF22 HMS22 HNF22 HNS22 HOF22 HOS22 HPF22 HPS22 HQF22 HQS22 HRF22 HRS22 HSF22 HSS22 HTF22 HTS22 HUF22 HUS22 HVF22 HVS22 HWF22 HWS22 HXF22 HXS22 HYF22 HYS22 HZF22 HZS22 IAF22 IAS22 IBF22 IBS22 ICF22 ICS22 IDF22 IDS22 IEF22 IES22 IFF22 IFS22 IGF22 IGS22 IHF22 IHS22 IIF22 IIS22 IJF22 IJS22 IKF22 IKS22 ILF22 ILS22 IMF22 IMS22 INF22 INS22 IOF22 IOS22 IPF22 IPS22 IQF22 IQS22 IRF22 IRS22 ISF22 ISS22 ITF22 ITS22 IUF22 IUS22 IVF22 IVS22 IWF22 IWS22 IXF22 IXS22 IYF22 IYS22 IZF22 IZS22 JAF22 JAS22 JBF22 JBS22 JCF22 JCS22 JDF22 JDS22 JEF22 JES22 JFF22 JFS22 JGF22 JGS22 JHF22 JHS22 JIF22 JIS22 JJF22 JJS22 JKF22 JKS22 JLF22 JLS22 JMF22 JMS22 JNF22 JNS22 JOF22 JOS22 JPF22 JPS22 JQF22 JQS22 JRF22 JRS22 JSF22 JSS22 JTF22 JTS22 JUF22 JUS22 JVF22 JVS22 JWF22 JWS22 JXF22 JXS22 JYF22 JYS22 JZF22 JZS22 KAF22 KAS22 KBF22 KBS22 KCF22 KCS22 KDF22 KDS22 KEF22 KES22 KFF22 KFS22 KGF22 KGS22 KHF22 KHS22 KIF22 KIS22 KJF22 KJS22 KKF22 KKS22 KLF22 KLS22 KMF22 KMS22 KNF22 KNS22 KOF22 KOS22 KPF22 KPS22 KQF22 KQS22 KRF22 KRS22 KSF22 KSS22 KTF22 KTS22 KUF22 KUS22 KVF22 KVS22 KWF22 KWS22 KXF22 KXS22 KYF22 KYS22 KZF22 KZS22 LAF22 LAS22 LBF22 LBS22 LCF22 LCS22 LDF22 LDS22 LEF22 LES22 LFF22 LFS22 LGF22 LGS22 LHF22 LHS22 LIF22 LIS22 LJF22 LJS22 LKF22 LKS22 LLF22 LLS22 LMF22 LMS22 LNF22 LNS22 LOF22 LOS22 LPF22 LPS22 LQF22 LQS22 LRF22 LRS22 LSF22 LSS22 LTF22 LTS22 LUF22 LUS22 LVF22 LVS22 LWF22 LWS22 LXF22 LXS22 LYF22 LYS22 LZF22 LZS22 MAF22 MAS22 MBF22 MBS22 MCF22 MCS22 MDF22 MDS22 MEF22 MES22 MFF22 MFS22 MGF22 MGS22 MHF22 MHS22 MIF22 MIS22 MJF22 MJS22 MKF22 MKS22 MLF22 MLS22 MMF22 MMS22 MNF22 MNS22 MOF22 MOS22 MPF22 MPS22 MQF22 MQS22 MRF22 MRS22 MSF22 MSS22 MTF22 MTS22 MUF22 MUS22 MVF22 MVS22 MWF22 MWS22 MXF22 MXS22 MYF22 MYS22 MZF22 MZS22 NAF22 NAS22 NBF22 NBS22 NCF22 NCS22 NDF22 NDS22 NEF22 NES22 NFF22 NFS22 NGF22 NGS22 NHF22 NHS22 NIF22 NIS22 NJF22 NJS22 NKF22 NKS22 NLF22 NLS22 NMF22 NMS22 NNF22 NNS22 NOF22 NOS22 NPF22 NPS22 NQF22 NQS22 NRF22 NRS22 NSF22 NSS22 NTF22 NTS22 NUF22 NUS22 NVF22 NVS22 NWF22 NWS22 NXF22 NXS22 NYF22 NYS22 NZF22 NZS22 OAF22 OAS22 OBF22 OBS22 OCF22 OCS22 ODF22 ODS22 OEF22 OES22 OFF22 OFS22 OGF22 OGS22 OHF22 OHS22 OIF22 OIS22 OJF22 OJS22 OKF22 OKS22 OLF22 OLS22 OMF22 OMS22 ONF22 ONS22 OOF22 OOS22 OPF22 OPS22 OQF22 OQS22 ORF22 ORS22 OSF22 OSS22 OTF22 OTS22 OUF22 OUS22 OVF22 OVS22 OWF22 OWS22 OXF22 OXS22 OYF22 OYS22 OZF22 OZS22 PAF22 PAS22 PBF22 PBS22 PCF22 PCS22 PDF22 PDS22 PEF22 PES22 PFF22 PFS22 PGF22 PGS22 PHF22 PHS22 PIF22 PIS22 PJF22 PJS22 PKF22 PKS22 PLF22 PLS22 PMF22 PMS22 PNF22 PNS22 POF22 POS22 PPF22 PPS22 PQF22 PQS22 PRF22 PRS22 PSF22 PSS22 PTF22 PTS22 PUF22 PUS22 PVF22 PVS22 PWF22 PWS22 PXF22 PXS22 PYF22 PYS22 PZF22 PZS22 QAF22 QAS22 QBF22 QBS22 QCF22 QCS22 QDF22 QDS22 QEF22 QES22 QFF22 QFS22 QGF22 QGS22 QHF22 QHS22 QIF22 QIS22 QJF22 QJS22 QKF22 QKS22 QLF22 QLS22 QMF22 QMS22 QNF22 QNS22 QOF22 QOS22 QPF22 QPS22 QQF22 QQS22 QRF22 QRS22 QSF22 QSS22 QTF22 QTS22 QUF22 QUS22 QVF22 QVS22 QWF22 QWS22 QXF22 QXS22 QYF22 QYS22 QZF22 QZS22 RAF22 RAS22 RBF22 RBS22 RCF22 RCS22 RDF22 RDS22 REF22 RES22 RFF22 RFS22 RGF22 RGS22 RHF22 RHS22 RIF22 RIS22 RJF22 RJS22 RKF22 RKS22 RLF22 RLS22 RMF22 RMS22 RNF22 RNS22 ROF22 ROS22 RPF22 RPS22 RQF22 RQS22 RRF22 RRS22 RSF22 RSS22 RTF22 RTS22 RUF22 RUS22 RVF22 RVS22 RWF22 RWS22 RXF22 RXS22 RYF22 RYS22 RZF22 RZS22 SAF22 SAS22 SBF22 SBS22 SCF22 SCS22 SDF22 SDS22 SEF22 SES22 SFF22 SFS22 SGF22 SGS22 SHF22 SHS22 SIF22 SIS22 SJF22 SJS22 SKF22 SKS22 SLF22 SLS22 SMF22 SMS22 SNF22 SNS22 SOF22 SOS22 SPF22 SPS22 SQF22 SQS22 SRF22 SRS22 SSF22 SSS22 STF22 STS22 SUF22 SUS22 SVF22 SVS22 SWF22 SWS22 SXF22 SXS22 SYF22 SYS22 SZF22 SZS22 TAF22 TAS22 TBF22 TBS22 TCF22 TCS22 TDF22 TDS22 TEF22 TES22 TFF22 TFS22 TGF22 TGS22 THF22 THS22 TIF22 TIS22 TJF22 TJS22 TKF22 TKS22 TLF22 TLS22 TMF22 TMS22 TNF22 TNS22 TOF22 TOS22 TPF22 TPS22 TQF22 TQS22 TRF22 TRS22 TSF22 TSS22 TTF22 TTS22 TUF22 TUS22 TVF22 TVS22 TWF22 TWS22 TXF22 TXS22 TYF22 TYS22 TZF22 TZS22 UAF22 UAS22 UBF22 UBS22 UCF22 UCS22 UDF22 UDS22 UEF22 UES22 UFF22 UFS22 UGF22 UGS22 UHF22 UHS22 UIF22 UIS22 UJF22 UJS22 UKF22 UKS22 ULF22 ULS22 UMF22 UMS22 UNF22 UNS22 UOF22 UOS22 UPF22 UPS22 UQF22 UQS22 URF22 URS22 USF22 USS22 UTF22 UTS22 UUF22 UUS22 UVF22 UVS22 UWF22 UWS22 UXF22 UXS22 UYF22 UYS22 UZF22 UZS22 VAF22 VAS22 VBF22 VBS22 VCF22 VCS22 VDF22 VDS22 VEF22 VES22 VFF22 VFS22 VGF22 VGS22 VHF22 VHS22 VIF22 VIS22 VJF22 VJS22 VKF22 VKS22 VLF22 VLS22 VMF22 VMS22 VNF22 VNS22 VOF22 VOS22 VPF22 VPS22 VQF22 VQS22 VRF22 VRS22 VSF22 VSS22 VTF22 VTS22 VUF22 VUS22 VVF22 VVS22 VWF22 VWS22 VXF22 VXS22 VYF22 VYS22 VZF22 VZS22 WAF22 WAS22 WBF22 WBS22 WCF22 WCS22 WDF22 WDS22 WEF22 WES22 WFF22 WFS22 WGF22 WGS22 WHF22 WHS22 WIF22 WIS22 WJF22 WJS22 WKF22 WKS22 WLF22 WLS22 WMF22 WMS22 WNF22 WNS22 WOF22 WOS22 WPF22 WPS22 WQF22 WQS22 WRF22 WRS22 WSF22 WSS22 WTF22 WTS22 WUF22 WUS22 WVF22 WVS22 WWF22 WWS22 WXF22 WXS22 WYF22 WYS22 WZF22 WZS22 XAF22 XAS22 XBF22 XBS22 XCF22 XCS22 XDF22 XDS22 XEF22 XES22 F6:F25">
    <cfRule type="colorScale" priority="106">
      <colorScale>
        <cfvo type="min"/>
        <cfvo type="percentile" val="50"/>
        <cfvo type="max"/>
        <color rgb="FF92D050"/>
        <color rgb="FFFFEB84"/>
        <color rgb="FFFF0000"/>
      </colorScale>
    </cfRule>
  </conditionalFormatting>
  <conditionalFormatting sqref="S25 AF25 AS25 BF25 BS25 CF25 CS25 DF25 DS25 EF25 ES25 FF25 FS25 GF25 GS25 HF25 HS25 IF25 IS25 JF25 JS25 KF25 KS25 LF25 LS25 MF25 MS25 NF25 NS25 OF25 OS25 PF25 PS25 QF25 QS25 RF25 RS25 SF25 SS25 TF25 TS25 UF25 US25 VF25 VS25 WF25 WS25 XF25 XS25 YF25 YS25 ZF25 ZS25 AAF25 AAS25 ABF25 ABS25 ACF25 ACS25 ADF25 ADS25 AEF25 AES25 AFF25 AFS25 AGF25 AGS25 AHF25 AHS25 AIF25 AIS25 AJF25 AJS25 AKF25 AKS25 ALF25 ALS25 AMF25 AMS25 ANF25 ANS25 AOF25 AOS25 APF25 APS25 AQF25 AQS25 ARF25 ARS25 ASF25 ASS25 ATF25 ATS25 AUF25 AUS25 AVF25 AVS25 AWF25 AWS25 AXF25 AXS25 AYF25 AYS25 AZF25 AZS25 BAF25 BAS25 BBF25 BBS25 BCF25 BCS25 BDF25 BDS25 BEF25 BES25 BFF25 BFS25 BGF25 BGS25 BHF25 BHS25 BIF25 BIS25 BJF25 BJS25 BKF25 BKS25 BLF25 BLS25 BMF25 BMS25 BNF25 BNS25 BOF25 BOS25 BPF25 BPS25 BQF25 BQS25 BRF25 BRS25 BSF25 BSS25 BTF25 BTS25 BUF25 BUS25 BVF25 BVS25 BWF25 BWS25 BXF25 BXS25 BYF25 BYS25 BZF25 BZS25 CAF25 CAS25 CBF25 CBS25 CCF25 CCS25 CDF25 CDS25 CEF25 CES25 CFF25 CFS25 CGF25 CGS25 CHF25 CHS25 CIF25 CIS25 CJF25 CJS25 CKF25 CKS25 CLF25 CLS25 CMF25 CMS25 CNF25 CNS25 COF25 COS25 CPF25 CPS25 CQF25 CQS25 CRF25 CRS25 CSF25 CSS25 CTF25 CTS25 CUF25 CUS25 CVF25 CVS25 CWF25 CWS25 CXF25 CXS25 CYF25 CYS25 CZF25 CZS25 DAF25 DAS25 DBF25 DBS25 DCF25 DCS25 DDF25 DDS25 DEF25 DES25 DFF25 DFS25 DGF25 DGS25 DHF25 DHS25 DIF25 DIS25 DJF25 DJS25 DKF25 DKS25 DLF25 DLS25 DMF25 DMS25 DNF25 DNS25 DOF25 DOS25 DPF25 DPS25 DQF25 DQS25 DRF25 DRS25 DSF25 DSS25 DTF25 DTS25 DUF25 DUS25 DVF25 DVS25 DWF25 DWS25 DXF25 DXS25 DYF25 DYS25 DZF25 DZS25 EAF25 EAS25 EBF25 EBS25 ECF25 ECS25 EDF25 EDS25 EEF25 EES25 EFF25 EFS25 EGF25 EGS25 EHF25 EHS25 EIF25 EIS25 EJF25 EJS25 EKF25 EKS25 ELF25 ELS25 EMF25 EMS25 ENF25 ENS25 EOF25 EOS25 EPF25 EPS25 EQF25 EQS25 ERF25 ERS25 ESF25 ESS25 ETF25 ETS25 EUF25 EUS25 EVF25 EVS25 EWF25 EWS25 EXF25 EXS25 EYF25 EYS25 EZF25 EZS25 FAF25 FAS25 FBF25 FBS25 FCF25 FCS25 FDF25 FDS25 FEF25 FES25 FFF25 FFS25 FGF25 FGS25 FHF25 FHS25 FIF25 FIS25 FJF25 FJS25 FKF25 FKS25 FLF25 FLS25 FMF25 FMS25 FNF25 FNS25 FOF25 FOS25 FPF25 FPS25 FQF25 FQS25 FRF25 FRS25 FSF25 FSS25 FTF25 FTS25 FUF25 FUS25 FVF25 FVS25 FWF25 FWS25 FXF25 FXS25 FYF25 FYS25 FZF25 FZS25 GAF25 GAS25 GBF25 GBS25 GCF25 GCS25 GDF25 GDS25 GEF25 GES25 GFF25 GFS25 GGF25 GGS25 GHF25 GHS25 GIF25 GIS25 GJF25 GJS25 GKF25 GKS25 GLF25 GLS25 GMF25 GMS25 GNF25 GNS25 GOF25 GOS25 GPF25 GPS25 GQF25 GQS25 GRF25 GRS25 GSF25 GSS25 GTF25 GTS25 GUF25 GUS25 GVF25 GVS25 GWF25 GWS25 GXF25 GXS25 GYF25 GYS25 GZF25 GZS25 HAF25 HAS25 HBF25 HBS25 HCF25 HCS25 HDF25 HDS25 HEF25 HES25 HFF25 HFS25 HGF25 HGS25 HHF25 HHS25 HIF25 HIS25 HJF25 HJS25 HKF25 HKS25 HLF25 HLS25 HMF25 HMS25 HNF25 HNS25 HOF25 HOS25 HPF25 HPS25 HQF25 HQS25 HRF25 HRS25 HSF25 HSS25 HTF25 HTS25 HUF25 HUS25 HVF25 HVS25 HWF25 HWS25 HXF25 HXS25 HYF25 HYS25 HZF25 HZS25 IAF25 IAS25 IBF25 IBS25 ICF25 ICS25 IDF25 IDS25 IEF25 IES25 IFF25 IFS25 IGF25 IGS25 IHF25 IHS25 IIF25 IIS25 IJF25 IJS25 IKF25 IKS25 ILF25 ILS25 IMF25 IMS25 INF25 INS25 IOF25 IOS25 IPF25 IPS25 IQF25 IQS25 IRF25 IRS25 ISF25 ISS25 ITF25 ITS25 IUF25 IUS25 IVF25 IVS25 IWF25 IWS25 IXF25 IXS25 IYF25 IYS25 IZF25 IZS25 JAF25 JAS25 JBF25 JBS25 JCF25 JCS25 JDF25 JDS25 JEF25 JES25 JFF25 JFS25 JGF25 JGS25 JHF25 JHS25 JIF25 JIS25 JJF25 JJS25 JKF25 JKS25 JLF25 JLS25 JMF25 JMS25 JNF25 JNS25 JOF25 JOS25 JPF25 JPS25 JQF25 JQS25 JRF25 JRS25 JSF25 JSS25 JTF25 JTS25 JUF25 JUS25 JVF25 JVS25 JWF25 JWS25 JXF25 JXS25 JYF25 JYS25 JZF25 JZS25 KAF25 KAS25 KBF25 KBS25 KCF25 KCS25 KDF25 KDS25 KEF25 KES25 KFF25 KFS25 KGF25 KGS25 KHF25 KHS25 KIF25 KIS25 KJF25 KJS25 KKF25 KKS25 KLF25 KLS25 KMF25 KMS25 KNF25 KNS25 KOF25 KOS25 KPF25 KPS25 KQF25 KQS25 KRF25 KRS25 KSF25 KSS25 KTF25 KTS25 KUF25 KUS25 KVF25 KVS25 KWF25 KWS25 KXF25 KXS25 KYF25 KYS25 KZF25 KZS25 LAF25 LAS25 LBF25 LBS25 LCF25 LCS25 LDF25 LDS25 LEF25 LES25 LFF25 LFS25 LGF25 LGS25 LHF25 LHS25 LIF25 LIS25 LJF25 LJS25 LKF25 LKS25 LLF25 LLS25 LMF25 LMS25 LNF25 LNS25 LOF25 LOS25 LPF25 LPS25 LQF25 LQS25 LRF25 LRS25 LSF25 LSS25 LTF25 LTS25 LUF25 LUS25 LVF25 LVS25 LWF25 LWS25 LXF25 LXS25 LYF25 LYS25 LZF25 LZS25 MAF25 MAS25 MBF25 MBS25 MCF25 MCS25 MDF25 MDS25 MEF25 MES25 MFF25 MFS25 MGF25 MGS25 MHF25 MHS25 MIF25 MIS25 MJF25 MJS25 MKF25 MKS25 MLF25 MLS25 MMF25 MMS25 MNF25 MNS25 MOF25 MOS25 MPF25 MPS25 MQF25 MQS25 MRF25 MRS25 MSF25 MSS25 MTF25 MTS25 MUF25 MUS25 MVF25 MVS25 MWF25 MWS25 MXF25 MXS25 MYF25 MYS25 MZF25 MZS25 NAF25 NAS25 NBF25 NBS25 NCF25 NCS25 NDF25 NDS25 NEF25 NES25 NFF25 NFS25 NGF25 NGS25 NHF25 NHS25 NIF25 NIS25 NJF25 NJS25 NKF25 NKS25 NLF25 NLS25 NMF25 NMS25 NNF25 NNS25 NOF25 NOS25 NPF25 NPS25 NQF25 NQS25 NRF25 NRS25 NSF25 NSS25 NTF25 NTS25 NUF25 NUS25 NVF25 NVS25 NWF25 NWS25 NXF25 NXS25 NYF25 NYS25 NZF25 NZS25 OAF25 OAS25 OBF25 OBS25 OCF25 OCS25 ODF25 ODS25 OEF25 OES25 OFF25 OFS25 OGF25 OGS25 OHF25 OHS25 OIF25 OIS25 OJF25 OJS25 OKF25 OKS25 OLF25 OLS25 OMF25 OMS25 ONF25 ONS25 OOF25 OOS25 OPF25 OPS25 OQF25 OQS25 ORF25 ORS25 OSF25 OSS25 OTF25 OTS25 OUF25 OUS25 OVF25 OVS25 OWF25 OWS25 OXF25 OXS25 OYF25 OYS25 OZF25 OZS25 PAF25 PAS25 PBF25 PBS25 PCF25 PCS25 PDF25 PDS25 PEF25 PES25 PFF25 PFS25 PGF25 PGS25 PHF25 PHS25 PIF25 PIS25 PJF25 PJS25 PKF25 PKS25 PLF25 PLS25 PMF25 PMS25 PNF25 PNS25 POF25 POS25 PPF25 PPS25 PQF25 PQS25 PRF25 PRS25 PSF25 PSS25 PTF25 PTS25 PUF25 PUS25 PVF25 PVS25 PWF25 PWS25 PXF25 PXS25 PYF25 PYS25 PZF25 PZS25 QAF25 QAS25 QBF25 QBS25 QCF25 QCS25 QDF25 QDS25 QEF25 QES25 QFF25 QFS25 QGF25 QGS25 QHF25 QHS25 QIF25 QIS25 QJF25 QJS25 QKF25 QKS25 QLF25 QLS25 QMF25 QMS25 QNF25 QNS25 QOF25 QOS25 QPF25 QPS25 QQF25 QQS25 QRF25 QRS25 QSF25 QSS25 QTF25 QTS25 QUF25 QUS25 QVF25 QVS25 QWF25 QWS25 QXF25 QXS25 QYF25 QYS25 QZF25 QZS25 RAF25 RAS25 RBF25 RBS25 RCF25 RCS25 RDF25 RDS25 REF25 RES25 RFF25 RFS25 RGF25 RGS25 RHF25 RHS25 RIF25 RIS25 RJF25 RJS25 RKF25 RKS25 RLF25 RLS25 RMF25 RMS25 RNF25 RNS25 ROF25 ROS25 RPF25 RPS25 RQF25 RQS25 RRF25 RRS25 RSF25 RSS25 RTF25 RTS25 RUF25 RUS25 RVF25 RVS25 RWF25 RWS25 RXF25 RXS25 RYF25 RYS25 RZF25 RZS25 SAF25 SAS25 SBF25 SBS25 SCF25 SCS25 SDF25 SDS25 SEF25 SES25 SFF25 SFS25 SGF25 SGS25 SHF25 SHS25 SIF25 SIS25 SJF25 SJS25 SKF25 SKS25 SLF25 SLS25 SMF25 SMS25 SNF25 SNS25 SOF25 SOS25 SPF25 SPS25 SQF25 SQS25 SRF25 SRS25 SSF25 SSS25 STF25 STS25 SUF25 SUS25 SVF25 SVS25 SWF25 SWS25 SXF25 SXS25 SYF25 SYS25 SZF25 SZS25 TAF25 TAS25 TBF25 TBS25 TCF25 TCS25 TDF25 TDS25 TEF25 TES25 TFF25 TFS25 TGF25 TGS25 THF25 THS25 TIF25 TIS25 TJF25 TJS25 TKF25 TKS25 TLF25 TLS25 TMF25 TMS25 TNF25 TNS25 TOF25 TOS25 TPF25 TPS25 TQF25 TQS25 TRF25 TRS25 TSF25 TSS25 TTF25 TTS25 TUF25 TUS25 TVF25 TVS25 TWF25 TWS25 TXF25 TXS25 TYF25 TYS25 TZF25 TZS25 UAF25 UAS25 UBF25 UBS25 UCF25 UCS25 UDF25 UDS25 UEF25 UES25 UFF25 UFS25 UGF25 UGS25 UHF25 UHS25 UIF25 UIS25 UJF25 UJS25 UKF25 UKS25 ULF25 ULS25 UMF25 UMS25 UNF25 UNS25 UOF25 UOS25 UPF25 UPS25 UQF25 UQS25 URF25 URS25 USF25 USS25 UTF25 UTS25 UUF25 UUS25 UVF25 UVS25 UWF25 UWS25 UXF25 UXS25 UYF25 UYS25 UZF25 UZS25 VAF25 VAS25 VBF25 VBS25 VCF25 VCS25 VDF25 VDS25 VEF25 VES25 VFF25 VFS25 VGF25 VGS25 VHF25 VHS25 VIF25 VIS25 VJF25 VJS25 VKF25 VKS25 VLF25 VLS25 VMF25 VMS25 VNF25 VNS25 VOF25 VOS25 VPF25 VPS25 VQF25 VQS25 VRF25 VRS25 VSF25 VSS25 VTF25 VTS25 VUF25 VUS25 VVF25 VVS25 VWF25 VWS25 VXF25 VXS25 VYF25 VYS25 VZF25 VZS25 WAF25 WAS25 WBF25 WBS25 WCF25 WCS25 WDF25 WDS25 WEF25 WES25 WFF25 WFS25 WGF25 WGS25 WHF25 WHS25 WIF25 WIS25 WJF25 WJS25 WKF25 WKS25 WLF25 WLS25 WMF25 WMS25 WNF25 WNS25 WOF25 WOS25 WPF25 WPS25 WQF25 WQS25 WRF25 WRS25 WSF25 WSS25 WTF25 WTS25 WUF25 WUS25 WVF25 WVS25 WWF25 WWS25 WXF25 WXS25 WYF25 WYS25 WZF25 WZS25 XAF25 XAS25 XBF25 XBS25 XCF25 XCS25 XDF25 XDS25 XEF25 XES25">
    <cfRule type="colorScale" priority="1">
      <colorScale>
        <cfvo type="min"/>
        <cfvo type="percentile" val="50"/>
        <cfvo type="max"/>
        <color rgb="FF92D050"/>
        <color rgb="FFFFEB84"/>
        <color rgb="FFFF0000"/>
      </colorScale>
    </cfRule>
  </conditionalFormatting>
  <pageMargins left="0.511811024" right="0.511811024" top="0.78740157499999996" bottom="0.78740157499999996" header="0.31496062000000002" footer="0.31496062000000002"/>
  <pageSetup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9D9D50-AB03-42C3-8950-50B13988DC44}">
  <sheetPr codeName="Planilha16"/>
  <dimension ref="A3:B52"/>
  <sheetViews>
    <sheetView topLeftCell="A19" workbookViewId="0">
      <selection activeCell="G41" sqref="G41"/>
    </sheetView>
  </sheetViews>
  <sheetFormatPr defaultRowHeight="15" x14ac:dyDescent="0.25"/>
  <cols>
    <col min="1" max="1" width="13.7109375" bestFit="1" customWidth="1"/>
    <col min="2" max="2" width="7.28515625" bestFit="1" customWidth="1"/>
    <col min="3" max="4" width="5" bestFit="1" customWidth="1"/>
    <col min="5" max="5" width="12.85546875" bestFit="1" customWidth="1"/>
    <col min="6" max="7" width="13.28515625" bestFit="1" customWidth="1"/>
  </cols>
  <sheetData>
    <row r="3" spans="1:2" x14ac:dyDescent="0.25">
      <c r="A3" s="4" t="s">
        <v>863</v>
      </c>
      <c r="B3" s="4" t="s">
        <v>82</v>
      </c>
    </row>
    <row r="4" spans="1:2" x14ac:dyDescent="0.25">
      <c r="A4" s="4" t="s">
        <v>83</v>
      </c>
      <c r="B4" t="s">
        <v>754</v>
      </c>
    </row>
    <row r="5" spans="1:2" x14ac:dyDescent="0.25">
      <c r="A5" t="s">
        <v>759</v>
      </c>
      <c r="B5">
        <v>0</v>
      </c>
    </row>
    <row r="6" spans="1:2" x14ac:dyDescent="0.25">
      <c r="A6" t="s">
        <v>760</v>
      </c>
      <c r="B6">
        <v>0</v>
      </c>
    </row>
    <row r="7" spans="1:2" x14ac:dyDescent="0.25">
      <c r="A7" t="s">
        <v>761</v>
      </c>
      <c r="B7">
        <v>0</v>
      </c>
    </row>
    <row r="8" spans="1:2" x14ac:dyDescent="0.25">
      <c r="A8" t="s">
        <v>762</v>
      </c>
      <c r="B8">
        <v>0</v>
      </c>
    </row>
    <row r="9" spans="1:2" x14ac:dyDescent="0.25">
      <c r="A9" t="s">
        <v>763</v>
      </c>
      <c r="B9">
        <v>0</v>
      </c>
    </row>
    <row r="10" spans="1:2" x14ac:dyDescent="0.25">
      <c r="A10" t="s">
        <v>764</v>
      </c>
      <c r="B10">
        <v>0</v>
      </c>
    </row>
    <row r="11" spans="1:2" x14ac:dyDescent="0.25">
      <c r="A11" t="s">
        <v>765</v>
      </c>
      <c r="B11">
        <v>0</v>
      </c>
    </row>
    <row r="12" spans="1:2" x14ac:dyDescent="0.25">
      <c r="A12" t="s">
        <v>766</v>
      </c>
      <c r="B12">
        <v>0</v>
      </c>
    </row>
    <row r="13" spans="1:2" x14ac:dyDescent="0.25">
      <c r="A13" t="s">
        <v>767</v>
      </c>
      <c r="B13">
        <v>0</v>
      </c>
    </row>
    <row r="14" spans="1:2" x14ac:dyDescent="0.25">
      <c r="A14" t="s">
        <v>768</v>
      </c>
      <c r="B14">
        <v>0</v>
      </c>
    </row>
    <row r="15" spans="1:2" x14ac:dyDescent="0.25">
      <c r="A15" t="s">
        <v>769</v>
      </c>
      <c r="B15">
        <v>0</v>
      </c>
    </row>
    <row r="16" spans="1:2" x14ac:dyDescent="0.25">
      <c r="A16" t="s">
        <v>770</v>
      </c>
      <c r="B16">
        <v>0</v>
      </c>
    </row>
    <row r="17" spans="1:2" x14ac:dyDescent="0.25">
      <c r="A17" t="s">
        <v>771</v>
      </c>
      <c r="B17">
        <v>0</v>
      </c>
    </row>
    <row r="18" spans="1:2" x14ac:dyDescent="0.25">
      <c r="A18" t="s">
        <v>772</v>
      </c>
      <c r="B18">
        <v>0</v>
      </c>
    </row>
    <row r="19" spans="1:2" x14ac:dyDescent="0.25">
      <c r="A19" t="s">
        <v>773</v>
      </c>
      <c r="B19">
        <v>0</v>
      </c>
    </row>
    <row r="20" spans="1:2" ht="14.25" customHeight="1" x14ac:dyDescent="0.25">
      <c r="A20" t="s">
        <v>774</v>
      </c>
      <c r="B20">
        <v>0</v>
      </c>
    </row>
    <row r="21" spans="1:2" x14ac:dyDescent="0.25">
      <c r="A21" t="s">
        <v>775</v>
      </c>
      <c r="B21">
        <v>0</v>
      </c>
    </row>
    <row r="22" spans="1:2" x14ac:dyDescent="0.25">
      <c r="A22" t="s">
        <v>776</v>
      </c>
      <c r="B22">
        <v>0</v>
      </c>
    </row>
    <row r="23" spans="1:2" x14ac:dyDescent="0.25">
      <c r="A23" t="s">
        <v>777</v>
      </c>
      <c r="B23">
        <v>0</v>
      </c>
    </row>
    <row r="24" spans="1:2" x14ac:dyDescent="0.25">
      <c r="A24" t="s">
        <v>778</v>
      </c>
      <c r="B24">
        <v>0</v>
      </c>
    </row>
    <row r="25" spans="1:2" x14ac:dyDescent="0.25">
      <c r="A25" t="s">
        <v>779</v>
      </c>
      <c r="B25">
        <v>0</v>
      </c>
    </row>
    <row r="26" spans="1:2" x14ac:dyDescent="0.25">
      <c r="A26" t="s">
        <v>780</v>
      </c>
      <c r="B26">
        <v>0</v>
      </c>
    </row>
    <row r="27" spans="1:2" x14ac:dyDescent="0.25">
      <c r="A27" t="s">
        <v>781</v>
      </c>
      <c r="B27">
        <v>0</v>
      </c>
    </row>
    <row r="28" spans="1:2" x14ac:dyDescent="0.25">
      <c r="A28" t="s">
        <v>782</v>
      </c>
      <c r="B28">
        <v>0</v>
      </c>
    </row>
    <row r="29" spans="1:2" x14ac:dyDescent="0.25">
      <c r="A29" t="s">
        <v>783</v>
      </c>
      <c r="B29">
        <v>3</v>
      </c>
    </row>
    <row r="30" spans="1:2" x14ac:dyDescent="0.25">
      <c r="A30" t="s">
        <v>784</v>
      </c>
      <c r="B30">
        <v>5</v>
      </c>
    </row>
    <row r="31" spans="1:2" x14ac:dyDescent="0.25">
      <c r="A31" t="s">
        <v>785</v>
      </c>
      <c r="B31">
        <v>5</v>
      </c>
    </row>
    <row r="32" spans="1:2" x14ac:dyDescent="0.25">
      <c r="A32" t="s">
        <v>786</v>
      </c>
      <c r="B32">
        <v>4</v>
      </c>
    </row>
    <row r="33" spans="1:2" x14ac:dyDescent="0.25">
      <c r="A33" t="s">
        <v>787</v>
      </c>
      <c r="B33">
        <v>4</v>
      </c>
    </row>
    <row r="34" spans="1:2" x14ac:dyDescent="0.25">
      <c r="A34" t="s">
        <v>788</v>
      </c>
      <c r="B34">
        <v>6</v>
      </c>
    </row>
    <row r="35" spans="1:2" x14ac:dyDescent="0.25">
      <c r="A35" t="s">
        <v>789</v>
      </c>
      <c r="B35">
        <v>6</v>
      </c>
    </row>
    <row r="36" spans="1:2" x14ac:dyDescent="0.25">
      <c r="A36" t="s">
        <v>790</v>
      </c>
      <c r="B36">
        <v>7</v>
      </c>
    </row>
    <row r="37" spans="1:2" x14ac:dyDescent="0.25">
      <c r="A37" t="s">
        <v>791</v>
      </c>
      <c r="B37">
        <v>3</v>
      </c>
    </row>
    <row r="38" spans="1:2" x14ac:dyDescent="0.25">
      <c r="A38" t="s">
        <v>792</v>
      </c>
      <c r="B38">
        <v>3</v>
      </c>
    </row>
    <row r="39" spans="1:2" x14ac:dyDescent="0.25">
      <c r="A39" t="s">
        <v>793</v>
      </c>
      <c r="B39">
        <v>0</v>
      </c>
    </row>
    <row r="40" spans="1:2" x14ac:dyDescent="0.25">
      <c r="A40" t="s">
        <v>794</v>
      </c>
      <c r="B40">
        <v>0</v>
      </c>
    </row>
    <row r="41" spans="1:2" x14ac:dyDescent="0.25">
      <c r="A41" t="s">
        <v>795</v>
      </c>
      <c r="B41">
        <v>0</v>
      </c>
    </row>
    <row r="42" spans="1:2" x14ac:dyDescent="0.25">
      <c r="A42" t="s">
        <v>796</v>
      </c>
      <c r="B42">
        <v>0</v>
      </c>
    </row>
    <row r="43" spans="1:2" x14ac:dyDescent="0.25">
      <c r="A43" t="s">
        <v>797</v>
      </c>
      <c r="B43">
        <v>0</v>
      </c>
    </row>
    <row r="44" spans="1:2" x14ac:dyDescent="0.25">
      <c r="A44" t="s">
        <v>798</v>
      </c>
      <c r="B44">
        <v>0</v>
      </c>
    </row>
    <row r="45" spans="1:2" x14ac:dyDescent="0.25">
      <c r="A45" t="s">
        <v>799</v>
      </c>
      <c r="B45">
        <v>0</v>
      </c>
    </row>
    <row r="46" spans="1:2" x14ac:dyDescent="0.25">
      <c r="A46" t="s">
        <v>800</v>
      </c>
      <c r="B46">
        <v>0</v>
      </c>
    </row>
    <row r="47" spans="1:2" x14ac:dyDescent="0.25">
      <c r="A47" t="s">
        <v>801</v>
      </c>
      <c r="B47">
        <v>0</v>
      </c>
    </row>
    <row r="48" spans="1:2" x14ac:dyDescent="0.25">
      <c r="A48" t="s">
        <v>802</v>
      </c>
      <c r="B48">
        <v>0</v>
      </c>
    </row>
    <row r="49" spans="1:2" x14ac:dyDescent="0.25">
      <c r="A49" t="s">
        <v>803</v>
      </c>
      <c r="B49">
        <v>0</v>
      </c>
    </row>
    <row r="50" spans="1:2" x14ac:dyDescent="0.25">
      <c r="A50" t="s">
        <v>804</v>
      </c>
      <c r="B50">
        <v>0</v>
      </c>
    </row>
    <row r="51" spans="1:2" x14ac:dyDescent="0.25">
      <c r="A51" t="s">
        <v>805</v>
      </c>
      <c r="B51">
        <v>0</v>
      </c>
    </row>
    <row r="52" spans="1:2" x14ac:dyDescent="0.25">
      <c r="A52" t="s">
        <v>806</v>
      </c>
      <c r="B52">
        <v>0</v>
      </c>
    </row>
  </sheetData>
  <pageMargins left="0.511811024" right="0.511811024" top="0.78740157499999996" bottom="0.78740157499999996" header="0.31496062000000002" footer="0.3149606200000000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702955-91D9-411A-93FF-952F80690099}">
  <sheetPr codeName="Planilha17"/>
  <dimension ref="A1:N49"/>
  <sheetViews>
    <sheetView zoomScale="85" zoomScaleNormal="85" workbookViewId="0">
      <pane ySplit="1" topLeftCell="A8" activePane="bottomLeft" state="frozen"/>
      <selection pane="bottomLeft" activeCell="S35" sqref="S35"/>
    </sheetView>
  </sheetViews>
  <sheetFormatPr defaultRowHeight="15" x14ac:dyDescent="0.25"/>
  <cols>
    <col min="1" max="1" width="13.7109375" bestFit="1" customWidth="1"/>
    <col min="2" max="2" width="7.28515625" bestFit="1" customWidth="1"/>
    <col min="3" max="3" width="8.28515625" bestFit="1" customWidth="1"/>
    <col min="4" max="4" width="11.42578125" bestFit="1" customWidth="1"/>
    <col min="5" max="5" width="10.42578125" bestFit="1" customWidth="1"/>
    <col min="6" max="6" width="6.7109375" bestFit="1" customWidth="1"/>
    <col min="7" max="7" width="7.28515625" bestFit="1" customWidth="1"/>
    <col min="8" max="8" width="7.28515625" customWidth="1"/>
    <col min="9" max="9" width="19.28515625" bestFit="1" customWidth="1"/>
    <col min="10" max="10" width="8.5703125" bestFit="1" customWidth="1"/>
    <col min="11" max="11" width="20.5703125" style="54" bestFit="1" customWidth="1"/>
    <col min="12" max="12" width="15.140625" style="54" bestFit="1" customWidth="1"/>
    <col min="13" max="13" width="8.5703125" bestFit="1" customWidth="1"/>
  </cols>
  <sheetData>
    <row r="1" spans="1:14" x14ac:dyDescent="0.25">
      <c r="A1" s="34" t="s">
        <v>81</v>
      </c>
      <c r="B1" s="34" t="s">
        <v>82</v>
      </c>
      <c r="C1" s="34" t="s">
        <v>83</v>
      </c>
      <c r="D1" s="34" t="s">
        <v>84</v>
      </c>
      <c r="E1" s="34" t="s">
        <v>85</v>
      </c>
      <c r="F1" s="34" t="s">
        <v>864</v>
      </c>
      <c r="G1" s="34" t="s">
        <v>865</v>
      </c>
      <c r="H1" s="34" t="s">
        <v>12</v>
      </c>
      <c r="I1" s="34" t="s">
        <v>88</v>
      </c>
      <c r="J1" s="34" t="s">
        <v>89</v>
      </c>
      <c r="K1" s="34" t="s">
        <v>90</v>
      </c>
      <c r="L1" s="34" t="s">
        <v>91</v>
      </c>
      <c r="M1" s="34" t="s">
        <v>92</v>
      </c>
    </row>
    <row r="2" spans="1:14" x14ac:dyDescent="0.25">
      <c r="A2" s="2" t="s">
        <v>165</v>
      </c>
      <c r="B2" s="2" t="str">
        <f t="shared" ref="B2:B49" si="0">LEFT(A2,4)</f>
        <v>2026</v>
      </c>
      <c r="C2" s="2" t="str">
        <f t="shared" ref="C2:C49" si="1">RIGHT(A2,2)</f>
        <v>05</v>
      </c>
      <c r="D2" s="3">
        <v>46048</v>
      </c>
      <c r="E2" s="3">
        <f t="shared" ref="E2:E49" si="2">D2+6</f>
        <v>46054</v>
      </c>
      <c r="F2" s="2"/>
      <c r="G2" s="2"/>
      <c r="H2" s="2">
        <f t="shared" ref="H2:H49" si="3">F2+G2</f>
        <v>0</v>
      </c>
      <c r="I2" s="2"/>
      <c r="J2" s="2">
        <f t="shared" ref="J2:J49" si="4">SUM(F2:G2)</f>
        <v>0</v>
      </c>
      <c r="K2" s="53">
        <f>SUM(F2:G2)/M2</f>
        <v>0</v>
      </c>
      <c r="L2" s="53"/>
      <c r="M2" s="2">
        <v>1</v>
      </c>
      <c r="N2" t="s">
        <v>95</v>
      </c>
    </row>
    <row r="3" spans="1:14" x14ac:dyDescent="0.25">
      <c r="A3" s="2" t="s">
        <v>166</v>
      </c>
      <c r="B3" s="2" t="str">
        <f t="shared" si="0"/>
        <v>2026</v>
      </c>
      <c r="C3" s="2" t="str">
        <f t="shared" si="1"/>
        <v>06</v>
      </c>
      <c r="D3" s="3">
        <f t="shared" ref="D3:D49" si="5">D2+7</f>
        <v>46055</v>
      </c>
      <c r="E3" s="3">
        <f t="shared" si="2"/>
        <v>46061</v>
      </c>
      <c r="F3" s="2"/>
      <c r="G3" s="2"/>
      <c r="H3" s="2">
        <f t="shared" si="3"/>
        <v>0</v>
      </c>
      <c r="I3" s="2"/>
      <c r="J3" s="2">
        <f t="shared" si="4"/>
        <v>0</v>
      </c>
      <c r="K3" s="53">
        <f t="shared" ref="K3:K49" si="6">SUM(F3:G3)/M3</f>
        <v>0</v>
      </c>
      <c r="L3" s="53"/>
      <c r="M3" s="2">
        <v>2</v>
      </c>
    </row>
    <row r="4" spans="1:14" x14ac:dyDescent="0.25">
      <c r="A4" s="2" t="s">
        <v>167</v>
      </c>
      <c r="B4" s="2" t="str">
        <f t="shared" si="0"/>
        <v>2026</v>
      </c>
      <c r="C4" s="2" t="str">
        <f t="shared" si="1"/>
        <v>07</v>
      </c>
      <c r="D4" s="3">
        <f t="shared" si="5"/>
        <v>46062</v>
      </c>
      <c r="E4" s="3">
        <f t="shared" si="2"/>
        <v>46068</v>
      </c>
      <c r="F4" s="2"/>
      <c r="G4" s="2"/>
      <c r="H4" s="2">
        <f t="shared" si="3"/>
        <v>0</v>
      </c>
      <c r="I4" s="2"/>
      <c r="J4" s="2">
        <f t="shared" si="4"/>
        <v>0</v>
      </c>
      <c r="K4" s="53">
        <f t="shared" si="6"/>
        <v>0</v>
      </c>
      <c r="L4" s="53"/>
      <c r="M4" s="2">
        <v>3</v>
      </c>
    </row>
    <row r="5" spans="1:14" x14ac:dyDescent="0.25">
      <c r="A5" s="2" t="s">
        <v>168</v>
      </c>
      <c r="B5" s="2" t="str">
        <f t="shared" si="0"/>
        <v>2026</v>
      </c>
      <c r="C5" s="2" t="str">
        <f t="shared" si="1"/>
        <v>08</v>
      </c>
      <c r="D5" s="3">
        <f t="shared" si="5"/>
        <v>46069</v>
      </c>
      <c r="E5" s="3">
        <f t="shared" si="2"/>
        <v>46075</v>
      </c>
      <c r="F5" s="2"/>
      <c r="G5" s="2"/>
      <c r="H5" s="2">
        <f t="shared" si="3"/>
        <v>0</v>
      </c>
      <c r="I5" s="2"/>
      <c r="J5" s="2">
        <f t="shared" si="4"/>
        <v>0</v>
      </c>
      <c r="K5" s="53">
        <f t="shared" si="6"/>
        <v>0</v>
      </c>
      <c r="L5" s="53"/>
      <c r="M5" s="2">
        <v>4</v>
      </c>
    </row>
    <row r="6" spans="1:14" x14ac:dyDescent="0.25">
      <c r="A6" s="2" t="s">
        <v>169</v>
      </c>
      <c r="B6" s="2" t="str">
        <f t="shared" si="0"/>
        <v>2026</v>
      </c>
      <c r="C6" s="2" t="str">
        <f t="shared" si="1"/>
        <v>09</v>
      </c>
      <c r="D6" s="3">
        <f t="shared" si="5"/>
        <v>46076</v>
      </c>
      <c r="E6" s="3">
        <f t="shared" si="2"/>
        <v>46082</v>
      </c>
      <c r="F6" s="2"/>
      <c r="G6" s="2"/>
      <c r="H6" s="2">
        <f t="shared" si="3"/>
        <v>0</v>
      </c>
      <c r="I6" s="2"/>
      <c r="J6" s="2">
        <f t="shared" si="4"/>
        <v>0</v>
      </c>
      <c r="K6" s="53">
        <f t="shared" si="6"/>
        <v>0</v>
      </c>
      <c r="L6" s="53"/>
      <c r="M6" s="2">
        <v>5</v>
      </c>
    </row>
    <row r="7" spans="1:14" x14ac:dyDescent="0.25">
      <c r="A7" s="2" t="s">
        <v>170</v>
      </c>
      <c r="B7" s="2" t="str">
        <f t="shared" si="0"/>
        <v>2026</v>
      </c>
      <c r="C7" s="2" t="str">
        <f t="shared" si="1"/>
        <v>10</v>
      </c>
      <c r="D7" s="3">
        <f t="shared" si="5"/>
        <v>46083</v>
      </c>
      <c r="E7" s="3">
        <f t="shared" si="2"/>
        <v>46089</v>
      </c>
      <c r="F7" s="2"/>
      <c r="G7" s="2"/>
      <c r="H7" s="2">
        <f t="shared" si="3"/>
        <v>0</v>
      </c>
      <c r="I7" s="2"/>
      <c r="J7" s="2">
        <f t="shared" si="4"/>
        <v>0</v>
      </c>
      <c r="K7" s="53">
        <f t="shared" si="6"/>
        <v>0</v>
      </c>
      <c r="L7" s="53"/>
      <c r="M7" s="2">
        <v>6</v>
      </c>
    </row>
    <row r="8" spans="1:14" x14ac:dyDescent="0.25">
      <c r="A8" s="2" t="s">
        <v>171</v>
      </c>
      <c r="B8" s="2" t="str">
        <f t="shared" si="0"/>
        <v>2026</v>
      </c>
      <c r="C8" s="2" t="str">
        <f t="shared" si="1"/>
        <v>11</v>
      </c>
      <c r="D8" s="3">
        <f t="shared" si="5"/>
        <v>46090</v>
      </c>
      <c r="E8" s="3">
        <f t="shared" si="2"/>
        <v>46096</v>
      </c>
      <c r="F8" s="2"/>
      <c r="G8" s="2"/>
      <c r="H8" s="2">
        <f t="shared" si="3"/>
        <v>0</v>
      </c>
      <c r="I8" s="2"/>
      <c r="J8" s="2">
        <f t="shared" si="4"/>
        <v>0</v>
      </c>
      <c r="K8" s="53">
        <f t="shared" si="6"/>
        <v>0</v>
      </c>
      <c r="L8" s="53"/>
      <c r="M8" s="2">
        <v>7</v>
      </c>
    </row>
    <row r="9" spans="1:14" x14ac:dyDescent="0.25">
      <c r="A9" s="2" t="s">
        <v>172</v>
      </c>
      <c r="B9" s="2" t="str">
        <f t="shared" si="0"/>
        <v>2026</v>
      </c>
      <c r="C9" s="2" t="str">
        <f t="shared" si="1"/>
        <v>12</v>
      </c>
      <c r="D9" s="3">
        <f t="shared" si="5"/>
        <v>46097</v>
      </c>
      <c r="E9" s="3">
        <f t="shared" si="2"/>
        <v>46103</v>
      </c>
      <c r="F9" s="2"/>
      <c r="G9" s="2"/>
      <c r="H9" s="2">
        <f t="shared" si="3"/>
        <v>0</v>
      </c>
      <c r="I9" s="2"/>
      <c r="J9" s="2">
        <f t="shared" si="4"/>
        <v>0</v>
      </c>
      <c r="K9" s="53">
        <f t="shared" si="6"/>
        <v>0</v>
      </c>
      <c r="L9" s="53"/>
      <c r="M9" s="2">
        <v>8</v>
      </c>
    </row>
    <row r="10" spans="1:14" x14ac:dyDescent="0.25">
      <c r="A10" s="2" t="s">
        <v>173</v>
      </c>
      <c r="B10" s="2" t="str">
        <f t="shared" si="0"/>
        <v>2026</v>
      </c>
      <c r="C10" s="2" t="str">
        <f t="shared" si="1"/>
        <v>13</v>
      </c>
      <c r="D10" s="3">
        <f t="shared" si="5"/>
        <v>46104</v>
      </c>
      <c r="E10" s="3">
        <f t="shared" si="2"/>
        <v>46110</v>
      </c>
      <c r="F10" s="2"/>
      <c r="G10" s="2"/>
      <c r="H10" s="2">
        <f t="shared" si="3"/>
        <v>0</v>
      </c>
      <c r="I10" s="2"/>
      <c r="J10" s="2">
        <f t="shared" si="4"/>
        <v>0</v>
      </c>
      <c r="K10" s="53">
        <f t="shared" si="6"/>
        <v>0</v>
      </c>
      <c r="L10" s="53"/>
      <c r="M10" s="2">
        <v>9</v>
      </c>
    </row>
    <row r="11" spans="1:14" x14ac:dyDescent="0.25">
      <c r="A11" s="2" t="s">
        <v>174</v>
      </c>
      <c r="B11" s="2" t="str">
        <f t="shared" si="0"/>
        <v>2026</v>
      </c>
      <c r="C11" s="2" t="str">
        <f t="shared" si="1"/>
        <v>14</v>
      </c>
      <c r="D11" s="3">
        <f t="shared" si="5"/>
        <v>46111</v>
      </c>
      <c r="E11" s="3">
        <f t="shared" si="2"/>
        <v>46117</v>
      </c>
      <c r="F11" s="2"/>
      <c r="G11" s="2"/>
      <c r="H11" s="2">
        <f t="shared" si="3"/>
        <v>0</v>
      </c>
      <c r="I11" s="2"/>
      <c r="J11" s="2">
        <f t="shared" si="4"/>
        <v>0</v>
      </c>
      <c r="K11" s="53">
        <f t="shared" si="6"/>
        <v>0</v>
      </c>
      <c r="L11" s="53"/>
      <c r="M11" s="2">
        <v>10</v>
      </c>
    </row>
    <row r="12" spans="1:14" x14ac:dyDescent="0.25">
      <c r="A12" s="2" t="s">
        <v>175</v>
      </c>
      <c r="B12" s="2" t="str">
        <f t="shared" si="0"/>
        <v>2026</v>
      </c>
      <c r="C12" s="2" t="str">
        <f t="shared" si="1"/>
        <v>15</v>
      </c>
      <c r="D12" s="3">
        <f t="shared" si="5"/>
        <v>46118</v>
      </c>
      <c r="E12" s="3">
        <f t="shared" si="2"/>
        <v>46124</v>
      </c>
      <c r="F12" s="2"/>
      <c r="G12" s="2"/>
      <c r="H12" s="2">
        <f t="shared" si="3"/>
        <v>0</v>
      </c>
      <c r="I12" s="2"/>
      <c r="J12" s="2">
        <f t="shared" si="4"/>
        <v>0</v>
      </c>
      <c r="K12" s="53">
        <f t="shared" si="6"/>
        <v>0</v>
      </c>
      <c r="L12" s="53"/>
      <c r="M12" s="2">
        <v>11</v>
      </c>
    </row>
    <row r="13" spans="1:14" x14ac:dyDescent="0.25">
      <c r="A13" s="2" t="s">
        <v>176</v>
      </c>
      <c r="B13" s="2" t="str">
        <f t="shared" si="0"/>
        <v>2026</v>
      </c>
      <c r="C13" s="2" t="str">
        <f t="shared" si="1"/>
        <v>16</v>
      </c>
      <c r="D13" s="3">
        <f t="shared" si="5"/>
        <v>46125</v>
      </c>
      <c r="E13" s="3">
        <f t="shared" si="2"/>
        <v>46131</v>
      </c>
      <c r="F13" s="2"/>
      <c r="G13" s="2"/>
      <c r="H13" s="2">
        <f t="shared" si="3"/>
        <v>0</v>
      </c>
      <c r="I13" s="2"/>
      <c r="J13" s="2">
        <f t="shared" si="4"/>
        <v>0</v>
      </c>
      <c r="K13" s="53">
        <f t="shared" si="6"/>
        <v>0</v>
      </c>
      <c r="L13" s="53"/>
      <c r="M13" s="2">
        <v>12</v>
      </c>
    </row>
    <row r="14" spans="1:14" x14ac:dyDescent="0.25">
      <c r="A14" s="2" t="s">
        <v>177</v>
      </c>
      <c r="B14" s="2" t="str">
        <f t="shared" si="0"/>
        <v>2026</v>
      </c>
      <c r="C14" s="2" t="str">
        <f t="shared" si="1"/>
        <v>17</v>
      </c>
      <c r="D14" s="3">
        <f t="shared" si="5"/>
        <v>46132</v>
      </c>
      <c r="E14" s="3">
        <f t="shared" si="2"/>
        <v>46138</v>
      </c>
      <c r="F14" s="2"/>
      <c r="G14" s="2"/>
      <c r="H14" s="2">
        <f t="shared" si="3"/>
        <v>0</v>
      </c>
      <c r="I14" s="2"/>
      <c r="J14" s="2">
        <f t="shared" si="4"/>
        <v>0</v>
      </c>
      <c r="K14" s="53">
        <f t="shared" si="6"/>
        <v>0</v>
      </c>
      <c r="L14" s="53"/>
      <c r="M14" s="2">
        <v>13</v>
      </c>
    </row>
    <row r="15" spans="1:14" x14ac:dyDescent="0.25">
      <c r="A15" s="2" t="s">
        <v>178</v>
      </c>
      <c r="B15" s="2" t="str">
        <f t="shared" si="0"/>
        <v>2026</v>
      </c>
      <c r="C15" s="2" t="str">
        <f t="shared" si="1"/>
        <v>18</v>
      </c>
      <c r="D15" s="3">
        <f t="shared" si="5"/>
        <v>46139</v>
      </c>
      <c r="E15" s="3">
        <f t="shared" si="2"/>
        <v>46145</v>
      </c>
      <c r="F15" s="2"/>
      <c r="G15" s="2"/>
      <c r="H15" s="2">
        <f t="shared" si="3"/>
        <v>0</v>
      </c>
      <c r="I15" s="2"/>
      <c r="J15" s="2">
        <f t="shared" si="4"/>
        <v>0</v>
      </c>
      <c r="K15" s="53">
        <f t="shared" si="6"/>
        <v>0</v>
      </c>
      <c r="L15" s="53"/>
      <c r="M15" s="2">
        <v>14</v>
      </c>
    </row>
    <row r="16" spans="1:14" x14ac:dyDescent="0.25">
      <c r="A16" s="2" t="s">
        <v>179</v>
      </c>
      <c r="B16" s="2" t="str">
        <f t="shared" si="0"/>
        <v>2026</v>
      </c>
      <c r="C16" s="2" t="str">
        <f t="shared" si="1"/>
        <v>19</v>
      </c>
      <c r="D16" s="3">
        <f t="shared" si="5"/>
        <v>46146</v>
      </c>
      <c r="E16" s="3">
        <f t="shared" si="2"/>
        <v>46152</v>
      </c>
      <c r="F16" s="2"/>
      <c r="G16" s="2"/>
      <c r="H16" s="2">
        <f t="shared" si="3"/>
        <v>0</v>
      </c>
      <c r="I16" s="2"/>
      <c r="J16" s="2">
        <f t="shared" si="4"/>
        <v>0</v>
      </c>
      <c r="K16" s="53">
        <f t="shared" si="6"/>
        <v>0</v>
      </c>
      <c r="L16" s="53"/>
      <c r="M16" s="2">
        <v>15</v>
      </c>
    </row>
    <row r="17" spans="1:13" x14ac:dyDescent="0.25">
      <c r="A17" s="2" t="s">
        <v>180</v>
      </c>
      <c r="B17" s="2" t="str">
        <f t="shared" si="0"/>
        <v>2026</v>
      </c>
      <c r="C17" s="2" t="str">
        <f t="shared" si="1"/>
        <v>20</v>
      </c>
      <c r="D17" s="3">
        <f t="shared" si="5"/>
        <v>46153</v>
      </c>
      <c r="E17" s="3">
        <f t="shared" si="2"/>
        <v>46159</v>
      </c>
      <c r="F17" s="2"/>
      <c r="G17" s="2"/>
      <c r="H17" s="2">
        <f t="shared" si="3"/>
        <v>0</v>
      </c>
      <c r="I17" s="2"/>
      <c r="J17" s="2">
        <f t="shared" si="4"/>
        <v>0</v>
      </c>
      <c r="K17" s="53">
        <f t="shared" si="6"/>
        <v>0</v>
      </c>
      <c r="L17" s="53"/>
      <c r="M17" s="2">
        <v>16</v>
      </c>
    </row>
    <row r="18" spans="1:13" x14ac:dyDescent="0.25">
      <c r="A18" s="2" t="s">
        <v>181</v>
      </c>
      <c r="B18" s="2" t="str">
        <f t="shared" si="0"/>
        <v>2026</v>
      </c>
      <c r="C18" s="2" t="str">
        <f t="shared" si="1"/>
        <v>21</v>
      </c>
      <c r="D18" s="3">
        <f t="shared" si="5"/>
        <v>46160</v>
      </c>
      <c r="E18" s="3">
        <f t="shared" si="2"/>
        <v>46166</v>
      </c>
      <c r="F18" s="2"/>
      <c r="G18" s="2"/>
      <c r="H18" s="2">
        <f t="shared" si="3"/>
        <v>0</v>
      </c>
      <c r="I18" s="2"/>
      <c r="J18" s="2">
        <f t="shared" si="4"/>
        <v>0</v>
      </c>
      <c r="K18" s="53">
        <f t="shared" si="6"/>
        <v>0</v>
      </c>
      <c r="L18" s="53"/>
      <c r="M18" s="2">
        <v>17</v>
      </c>
    </row>
    <row r="19" spans="1:13" x14ac:dyDescent="0.25">
      <c r="A19" s="2" t="s">
        <v>182</v>
      </c>
      <c r="B19" s="2" t="str">
        <f t="shared" si="0"/>
        <v>2026</v>
      </c>
      <c r="C19" s="2" t="str">
        <f t="shared" si="1"/>
        <v>22</v>
      </c>
      <c r="D19" s="3">
        <f t="shared" si="5"/>
        <v>46167</v>
      </c>
      <c r="E19" s="3">
        <f t="shared" si="2"/>
        <v>46173</v>
      </c>
      <c r="F19" s="2"/>
      <c r="G19" s="2"/>
      <c r="H19" s="2">
        <f t="shared" si="3"/>
        <v>0</v>
      </c>
      <c r="I19" s="2"/>
      <c r="J19" s="2">
        <f t="shared" si="4"/>
        <v>0</v>
      </c>
      <c r="K19" s="53">
        <f t="shared" si="6"/>
        <v>0</v>
      </c>
      <c r="L19" s="53"/>
      <c r="M19" s="2">
        <v>18</v>
      </c>
    </row>
    <row r="20" spans="1:13" x14ac:dyDescent="0.25">
      <c r="A20" s="2" t="s">
        <v>183</v>
      </c>
      <c r="B20" s="2" t="str">
        <f t="shared" si="0"/>
        <v>2026</v>
      </c>
      <c r="C20" s="2" t="str">
        <f t="shared" si="1"/>
        <v>23</v>
      </c>
      <c r="D20" s="3">
        <f t="shared" si="5"/>
        <v>46174</v>
      </c>
      <c r="E20" s="3">
        <f t="shared" si="2"/>
        <v>46180</v>
      </c>
      <c r="F20" s="2"/>
      <c r="G20" s="2"/>
      <c r="H20" s="2">
        <f t="shared" si="3"/>
        <v>0</v>
      </c>
      <c r="I20" s="2"/>
      <c r="J20" s="2">
        <f t="shared" si="4"/>
        <v>0</v>
      </c>
      <c r="K20" s="53">
        <f t="shared" si="6"/>
        <v>0</v>
      </c>
      <c r="L20" s="53"/>
      <c r="M20" s="2">
        <v>19</v>
      </c>
    </row>
    <row r="21" spans="1:13" x14ac:dyDescent="0.25">
      <c r="A21" s="2" t="s">
        <v>184</v>
      </c>
      <c r="B21" s="2" t="str">
        <f t="shared" si="0"/>
        <v>2026</v>
      </c>
      <c r="C21" s="2" t="str">
        <f t="shared" si="1"/>
        <v>24</v>
      </c>
      <c r="D21" s="3">
        <f t="shared" si="5"/>
        <v>46181</v>
      </c>
      <c r="E21" s="3">
        <f t="shared" si="2"/>
        <v>46187</v>
      </c>
      <c r="F21" s="2"/>
      <c r="G21" s="2"/>
      <c r="H21" s="2">
        <f t="shared" si="3"/>
        <v>0</v>
      </c>
      <c r="I21" s="2"/>
      <c r="J21" s="2">
        <f t="shared" si="4"/>
        <v>0</v>
      </c>
      <c r="K21" s="53">
        <f t="shared" si="6"/>
        <v>0</v>
      </c>
      <c r="L21" s="53"/>
      <c r="M21" s="2">
        <v>20</v>
      </c>
    </row>
    <row r="22" spans="1:13" x14ac:dyDescent="0.25">
      <c r="A22" s="2" t="s">
        <v>185</v>
      </c>
      <c r="B22" s="2" t="str">
        <f t="shared" si="0"/>
        <v>2026</v>
      </c>
      <c r="C22" s="2" t="str">
        <f t="shared" si="1"/>
        <v>25</v>
      </c>
      <c r="D22" s="3">
        <f t="shared" si="5"/>
        <v>46188</v>
      </c>
      <c r="E22" s="3">
        <f t="shared" si="2"/>
        <v>46194</v>
      </c>
      <c r="F22" s="2"/>
      <c r="G22" s="2"/>
      <c r="H22" s="2">
        <f t="shared" si="3"/>
        <v>0</v>
      </c>
      <c r="I22" s="2"/>
      <c r="J22" s="2">
        <f t="shared" si="4"/>
        <v>0</v>
      </c>
      <c r="K22" s="53">
        <f t="shared" si="6"/>
        <v>0</v>
      </c>
      <c r="L22" s="53"/>
      <c r="M22" s="2">
        <v>21</v>
      </c>
    </row>
    <row r="23" spans="1:13" x14ac:dyDescent="0.25">
      <c r="A23" s="2" t="s">
        <v>186</v>
      </c>
      <c r="B23" s="2" t="str">
        <f t="shared" si="0"/>
        <v>2026</v>
      </c>
      <c r="C23" s="2" t="str">
        <f t="shared" si="1"/>
        <v>26</v>
      </c>
      <c r="D23" s="3">
        <f t="shared" si="5"/>
        <v>46195</v>
      </c>
      <c r="E23" s="3">
        <f t="shared" si="2"/>
        <v>46201</v>
      </c>
      <c r="F23" s="2"/>
      <c r="G23" s="2"/>
      <c r="H23" s="2">
        <f t="shared" si="3"/>
        <v>0</v>
      </c>
      <c r="I23" s="2"/>
      <c r="J23" s="2">
        <f t="shared" si="4"/>
        <v>0</v>
      </c>
      <c r="K23" s="53">
        <f t="shared" si="6"/>
        <v>0</v>
      </c>
      <c r="L23" s="53"/>
      <c r="M23" s="2">
        <v>22</v>
      </c>
    </row>
    <row r="24" spans="1:13" x14ac:dyDescent="0.25">
      <c r="A24" s="2" t="s">
        <v>187</v>
      </c>
      <c r="B24" s="2" t="str">
        <f t="shared" si="0"/>
        <v>2026</v>
      </c>
      <c r="C24" s="2" t="str">
        <f t="shared" si="1"/>
        <v>27</v>
      </c>
      <c r="D24" s="3">
        <f t="shared" si="5"/>
        <v>46202</v>
      </c>
      <c r="E24" s="3">
        <f t="shared" si="2"/>
        <v>46208</v>
      </c>
      <c r="F24" s="2"/>
      <c r="G24" s="2"/>
      <c r="H24" s="2">
        <f t="shared" si="3"/>
        <v>0</v>
      </c>
      <c r="I24" s="2"/>
      <c r="J24" s="2">
        <f t="shared" si="4"/>
        <v>0</v>
      </c>
      <c r="K24" s="53">
        <f t="shared" si="6"/>
        <v>0</v>
      </c>
      <c r="L24" s="53"/>
      <c r="M24" s="2">
        <v>23</v>
      </c>
    </row>
    <row r="25" spans="1:13" x14ac:dyDescent="0.25">
      <c r="A25" s="2" t="s">
        <v>188</v>
      </c>
      <c r="B25" s="2" t="str">
        <f t="shared" si="0"/>
        <v>2026</v>
      </c>
      <c r="C25" s="2" t="str">
        <f t="shared" si="1"/>
        <v>28</v>
      </c>
      <c r="D25" s="3">
        <f t="shared" si="5"/>
        <v>46209</v>
      </c>
      <c r="E25" s="3">
        <f t="shared" si="2"/>
        <v>46215</v>
      </c>
      <c r="F25" s="2"/>
      <c r="G25" s="2"/>
      <c r="H25" s="2">
        <f t="shared" si="3"/>
        <v>0</v>
      </c>
      <c r="I25" s="2"/>
      <c r="J25" s="2">
        <f t="shared" si="4"/>
        <v>0</v>
      </c>
      <c r="K25" s="53">
        <f t="shared" si="6"/>
        <v>0</v>
      </c>
      <c r="L25" s="53"/>
      <c r="M25" s="2">
        <v>24</v>
      </c>
    </row>
    <row r="26" spans="1:13" x14ac:dyDescent="0.25">
      <c r="A26" s="2" t="s">
        <v>189</v>
      </c>
      <c r="B26" s="2" t="str">
        <f t="shared" si="0"/>
        <v>2026</v>
      </c>
      <c r="C26" s="2" t="str">
        <f t="shared" si="1"/>
        <v>29</v>
      </c>
      <c r="D26" s="3">
        <f t="shared" si="5"/>
        <v>46216</v>
      </c>
      <c r="E26" s="3">
        <f t="shared" si="2"/>
        <v>46222</v>
      </c>
      <c r="F26" s="2">
        <v>2</v>
      </c>
      <c r="G26" s="2">
        <v>1</v>
      </c>
      <c r="H26" s="2">
        <f t="shared" si="3"/>
        <v>3</v>
      </c>
      <c r="I26" s="2"/>
      <c r="J26" s="2">
        <f t="shared" si="4"/>
        <v>3</v>
      </c>
      <c r="K26" s="53">
        <f t="shared" si="6"/>
        <v>0.12</v>
      </c>
      <c r="L26" s="53"/>
      <c r="M26" s="2">
        <v>25</v>
      </c>
    </row>
    <row r="27" spans="1:13" x14ac:dyDescent="0.25">
      <c r="A27" s="2" t="s">
        <v>190</v>
      </c>
      <c r="B27" s="2" t="str">
        <f t="shared" si="0"/>
        <v>2026</v>
      </c>
      <c r="C27" s="2" t="str">
        <f t="shared" si="1"/>
        <v>30</v>
      </c>
      <c r="D27" s="3">
        <f t="shared" si="5"/>
        <v>46223</v>
      </c>
      <c r="E27" s="3">
        <f t="shared" si="2"/>
        <v>46229</v>
      </c>
      <c r="F27" s="2">
        <v>1</v>
      </c>
      <c r="G27" s="2">
        <v>4</v>
      </c>
      <c r="H27" s="2">
        <f t="shared" si="3"/>
        <v>5</v>
      </c>
      <c r="I27" s="2"/>
      <c r="J27" s="2">
        <f t="shared" si="4"/>
        <v>5</v>
      </c>
      <c r="K27" s="53">
        <f t="shared" si="6"/>
        <v>0.19230769230769232</v>
      </c>
      <c r="L27" s="53"/>
      <c r="M27" s="2">
        <v>26</v>
      </c>
    </row>
    <row r="28" spans="1:13" x14ac:dyDescent="0.25">
      <c r="A28" s="2" t="s">
        <v>191</v>
      </c>
      <c r="B28" s="2" t="str">
        <f t="shared" si="0"/>
        <v>2026</v>
      </c>
      <c r="C28" s="2" t="str">
        <f t="shared" si="1"/>
        <v>31</v>
      </c>
      <c r="D28" s="3">
        <f t="shared" si="5"/>
        <v>46230</v>
      </c>
      <c r="E28" s="3">
        <f t="shared" si="2"/>
        <v>46236</v>
      </c>
      <c r="F28" s="2">
        <v>2</v>
      </c>
      <c r="G28" s="2">
        <v>3</v>
      </c>
      <c r="H28" s="2">
        <f t="shared" si="3"/>
        <v>5</v>
      </c>
      <c r="I28" s="2"/>
      <c r="J28" s="2">
        <f t="shared" si="4"/>
        <v>5</v>
      </c>
      <c r="K28" s="53">
        <f t="shared" si="6"/>
        <v>0.18518518518518517</v>
      </c>
      <c r="L28" s="53"/>
      <c r="M28" s="2">
        <v>27</v>
      </c>
    </row>
    <row r="29" spans="1:13" x14ac:dyDescent="0.25">
      <c r="A29" s="2" t="s">
        <v>192</v>
      </c>
      <c r="B29" s="2" t="str">
        <f t="shared" si="0"/>
        <v>2026</v>
      </c>
      <c r="C29" s="2" t="str">
        <f t="shared" si="1"/>
        <v>32</v>
      </c>
      <c r="D29" s="3">
        <f t="shared" si="5"/>
        <v>46237</v>
      </c>
      <c r="E29" s="3">
        <f t="shared" si="2"/>
        <v>46243</v>
      </c>
      <c r="F29" s="2">
        <v>2</v>
      </c>
      <c r="G29" s="2">
        <v>2</v>
      </c>
      <c r="H29" s="2">
        <f t="shared" si="3"/>
        <v>4</v>
      </c>
      <c r="I29" s="2"/>
      <c r="J29" s="2">
        <f t="shared" si="4"/>
        <v>4</v>
      </c>
      <c r="K29" s="53">
        <f t="shared" si="6"/>
        <v>0.14285714285714285</v>
      </c>
      <c r="L29" s="53"/>
      <c r="M29" s="2">
        <v>28</v>
      </c>
    </row>
    <row r="30" spans="1:13" x14ac:dyDescent="0.25">
      <c r="A30" s="2" t="s">
        <v>193</v>
      </c>
      <c r="B30" s="2" t="str">
        <f t="shared" si="0"/>
        <v>2026</v>
      </c>
      <c r="C30" s="2" t="str">
        <f t="shared" si="1"/>
        <v>33</v>
      </c>
      <c r="D30" s="3">
        <f t="shared" si="5"/>
        <v>46244</v>
      </c>
      <c r="E30" s="3">
        <f t="shared" si="2"/>
        <v>46250</v>
      </c>
      <c r="F30" s="2">
        <v>2</v>
      </c>
      <c r="G30" s="2">
        <v>2</v>
      </c>
      <c r="H30" s="2">
        <f t="shared" si="3"/>
        <v>4</v>
      </c>
      <c r="I30" s="2"/>
      <c r="J30" s="2">
        <f t="shared" si="4"/>
        <v>4</v>
      </c>
      <c r="K30" s="53">
        <f t="shared" si="6"/>
        <v>0.13793103448275862</v>
      </c>
      <c r="L30" s="53"/>
      <c r="M30" s="2">
        <v>29</v>
      </c>
    </row>
    <row r="31" spans="1:13" x14ac:dyDescent="0.25">
      <c r="A31" s="2" t="s">
        <v>194</v>
      </c>
      <c r="B31" s="2" t="str">
        <f t="shared" si="0"/>
        <v>2026</v>
      </c>
      <c r="C31" s="2" t="str">
        <f t="shared" si="1"/>
        <v>34</v>
      </c>
      <c r="D31" s="3">
        <f t="shared" si="5"/>
        <v>46251</v>
      </c>
      <c r="E31" s="3">
        <f t="shared" si="2"/>
        <v>46257</v>
      </c>
      <c r="F31" s="2">
        <v>2</v>
      </c>
      <c r="G31" s="2">
        <v>4</v>
      </c>
      <c r="H31" s="2">
        <f t="shared" si="3"/>
        <v>6</v>
      </c>
      <c r="I31" s="2"/>
      <c r="J31" s="2">
        <f t="shared" si="4"/>
        <v>6</v>
      </c>
      <c r="K31" s="53">
        <f t="shared" si="6"/>
        <v>0.2</v>
      </c>
      <c r="L31" s="53"/>
      <c r="M31" s="2">
        <v>30</v>
      </c>
    </row>
    <row r="32" spans="1:13" x14ac:dyDescent="0.25">
      <c r="A32" s="2" t="s">
        <v>195</v>
      </c>
      <c r="B32" s="2" t="str">
        <f t="shared" si="0"/>
        <v>2026</v>
      </c>
      <c r="C32" s="2" t="str">
        <f t="shared" si="1"/>
        <v>35</v>
      </c>
      <c r="D32" s="3">
        <f t="shared" si="5"/>
        <v>46258</v>
      </c>
      <c r="E32" s="3">
        <f t="shared" si="2"/>
        <v>46264</v>
      </c>
      <c r="F32" s="2">
        <v>2</v>
      </c>
      <c r="G32" s="2">
        <v>4</v>
      </c>
      <c r="H32" s="2">
        <f t="shared" si="3"/>
        <v>6</v>
      </c>
      <c r="I32" s="2"/>
      <c r="J32" s="2">
        <f t="shared" si="4"/>
        <v>6</v>
      </c>
      <c r="K32" s="53">
        <f t="shared" si="6"/>
        <v>0.19354838709677419</v>
      </c>
      <c r="L32" s="53"/>
      <c r="M32" s="2">
        <v>31</v>
      </c>
    </row>
    <row r="33" spans="1:13" x14ac:dyDescent="0.25">
      <c r="A33" s="2" t="s">
        <v>196</v>
      </c>
      <c r="B33" s="2" t="str">
        <f t="shared" si="0"/>
        <v>2026</v>
      </c>
      <c r="C33" s="2" t="str">
        <f t="shared" si="1"/>
        <v>36</v>
      </c>
      <c r="D33" s="3">
        <f t="shared" si="5"/>
        <v>46265</v>
      </c>
      <c r="E33" s="3">
        <f t="shared" si="2"/>
        <v>46271</v>
      </c>
      <c r="F33" s="2">
        <v>4</v>
      </c>
      <c r="G33" s="2">
        <v>3</v>
      </c>
      <c r="H33" s="2">
        <f t="shared" si="3"/>
        <v>7</v>
      </c>
      <c r="I33" s="2"/>
      <c r="J33" s="2">
        <f t="shared" si="4"/>
        <v>7</v>
      </c>
      <c r="K33" s="53">
        <f t="shared" si="6"/>
        <v>0.21875</v>
      </c>
      <c r="L33" s="53"/>
      <c r="M33" s="2">
        <v>32</v>
      </c>
    </row>
    <row r="34" spans="1:13" x14ac:dyDescent="0.25">
      <c r="A34" s="2" t="s">
        <v>197</v>
      </c>
      <c r="B34" s="2" t="str">
        <f t="shared" si="0"/>
        <v>2026</v>
      </c>
      <c r="C34" s="2" t="str">
        <f t="shared" si="1"/>
        <v>37</v>
      </c>
      <c r="D34" s="3">
        <f t="shared" si="5"/>
        <v>46272</v>
      </c>
      <c r="E34" s="3">
        <f t="shared" si="2"/>
        <v>46278</v>
      </c>
      <c r="F34" s="2">
        <v>3</v>
      </c>
      <c r="G34" s="2">
        <v>0</v>
      </c>
      <c r="H34" s="2">
        <f t="shared" si="3"/>
        <v>3</v>
      </c>
      <c r="I34" s="2"/>
      <c r="J34" s="2">
        <f t="shared" si="4"/>
        <v>3</v>
      </c>
      <c r="K34" s="53">
        <f t="shared" si="6"/>
        <v>9.0909090909090912E-2</v>
      </c>
      <c r="L34" s="53"/>
      <c r="M34" s="2">
        <v>33</v>
      </c>
    </row>
    <row r="35" spans="1:13" x14ac:dyDescent="0.25">
      <c r="A35" s="2" t="s">
        <v>198</v>
      </c>
      <c r="B35" s="2" t="str">
        <f t="shared" si="0"/>
        <v>2026</v>
      </c>
      <c r="C35" s="2" t="str">
        <f t="shared" si="1"/>
        <v>38</v>
      </c>
      <c r="D35" s="3">
        <f t="shared" si="5"/>
        <v>46279</v>
      </c>
      <c r="E35" s="3">
        <f t="shared" si="2"/>
        <v>46285</v>
      </c>
      <c r="F35" s="2">
        <v>3</v>
      </c>
      <c r="G35" s="2">
        <v>0</v>
      </c>
      <c r="H35" s="2">
        <f t="shared" si="3"/>
        <v>3</v>
      </c>
      <c r="I35" s="2"/>
      <c r="J35" s="2">
        <f t="shared" si="4"/>
        <v>3</v>
      </c>
      <c r="K35" s="53">
        <f t="shared" si="6"/>
        <v>8.8235294117647065E-2</v>
      </c>
      <c r="L35" s="53"/>
      <c r="M35" s="2">
        <v>34</v>
      </c>
    </row>
    <row r="36" spans="1:13" x14ac:dyDescent="0.25">
      <c r="A36" s="2" t="s">
        <v>199</v>
      </c>
      <c r="B36" s="2" t="str">
        <f t="shared" si="0"/>
        <v>2026</v>
      </c>
      <c r="C36" s="2" t="str">
        <f t="shared" si="1"/>
        <v>39</v>
      </c>
      <c r="D36" s="3">
        <f t="shared" si="5"/>
        <v>46286</v>
      </c>
      <c r="E36" s="3">
        <f t="shared" si="2"/>
        <v>46292</v>
      </c>
      <c r="F36" s="2"/>
      <c r="G36" s="2"/>
      <c r="H36" s="2">
        <f t="shared" si="3"/>
        <v>0</v>
      </c>
      <c r="I36" s="2"/>
      <c r="J36" s="2">
        <f t="shared" si="4"/>
        <v>0</v>
      </c>
      <c r="K36" s="53">
        <f t="shared" si="6"/>
        <v>0</v>
      </c>
      <c r="L36" s="53"/>
      <c r="M36" s="2">
        <v>35</v>
      </c>
    </row>
    <row r="37" spans="1:13" x14ac:dyDescent="0.25">
      <c r="A37" s="2" t="s">
        <v>200</v>
      </c>
      <c r="B37" s="2" t="str">
        <f t="shared" si="0"/>
        <v>2026</v>
      </c>
      <c r="C37" s="2" t="str">
        <f t="shared" si="1"/>
        <v>40</v>
      </c>
      <c r="D37" s="3">
        <f t="shared" si="5"/>
        <v>46293</v>
      </c>
      <c r="E37" s="3">
        <f t="shared" si="2"/>
        <v>46299</v>
      </c>
      <c r="F37" s="2"/>
      <c r="G37" s="2"/>
      <c r="H37" s="2">
        <f t="shared" si="3"/>
        <v>0</v>
      </c>
      <c r="I37" s="2"/>
      <c r="J37" s="2">
        <f t="shared" si="4"/>
        <v>0</v>
      </c>
      <c r="K37" s="53">
        <f t="shared" si="6"/>
        <v>0</v>
      </c>
      <c r="L37" s="53"/>
      <c r="M37" s="2">
        <v>36</v>
      </c>
    </row>
    <row r="38" spans="1:13" x14ac:dyDescent="0.25">
      <c r="A38" s="2" t="s">
        <v>201</v>
      </c>
      <c r="B38" s="2" t="str">
        <f t="shared" si="0"/>
        <v>2026</v>
      </c>
      <c r="C38" s="2" t="str">
        <f t="shared" si="1"/>
        <v>41</v>
      </c>
      <c r="D38" s="3">
        <f t="shared" si="5"/>
        <v>46300</v>
      </c>
      <c r="E38" s="3">
        <f t="shared" si="2"/>
        <v>46306</v>
      </c>
      <c r="F38" s="2"/>
      <c r="G38" s="2"/>
      <c r="H38" s="2">
        <f t="shared" si="3"/>
        <v>0</v>
      </c>
      <c r="I38" s="2"/>
      <c r="J38" s="2">
        <f t="shared" si="4"/>
        <v>0</v>
      </c>
      <c r="K38" s="53">
        <f t="shared" si="6"/>
        <v>0</v>
      </c>
      <c r="L38" s="53"/>
      <c r="M38" s="2">
        <v>37</v>
      </c>
    </row>
    <row r="39" spans="1:13" x14ac:dyDescent="0.25">
      <c r="A39" s="2" t="s">
        <v>202</v>
      </c>
      <c r="B39" s="2" t="str">
        <f t="shared" si="0"/>
        <v>2026</v>
      </c>
      <c r="C39" s="2" t="str">
        <f t="shared" si="1"/>
        <v>42</v>
      </c>
      <c r="D39" s="3">
        <f t="shared" si="5"/>
        <v>46307</v>
      </c>
      <c r="E39" s="3">
        <f t="shared" si="2"/>
        <v>46313</v>
      </c>
      <c r="F39" s="2"/>
      <c r="G39" s="2"/>
      <c r="H39" s="2">
        <f t="shared" si="3"/>
        <v>0</v>
      </c>
      <c r="I39" s="2"/>
      <c r="J39" s="2">
        <f t="shared" si="4"/>
        <v>0</v>
      </c>
      <c r="K39" s="53">
        <f t="shared" si="6"/>
        <v>0</v>
      </c>
      <c r="L39" s="53"/>
      <c r="M39" s="2">
        <v>38</v>
      </c>
    </row>
    <row r="40" spans="1:13" x14ac:dyDescent="0.25">
      <c r="A40" s="2" t="s">
        <v>203</v>
      </c>
      <c r="B40" s="2" t="str">
        <f t="shared" si="0"/>
        <v>2026</v>
      </c>
      <c r="C40" s="2" t="str">
        <f t="shared" si="1"/>
        <v>43</v>
      </c>
      <c r="D40" s="3">
        <f t="shared" si="5"/>
        <v>46314</v>
      </c>
      <c r="E40" s="3">
        <f t="shared" si="2"/>
        <v>46320</v>
      </c>
      <c r="F40" s="2"/>
      <c r="G40" s="2"/>
      <c r="H40" s="2">
        <f t="shared" si="3"/>
        <v>0</v>
      </c>
      <c r="I40" s="2"/>
      <c r="J40" s="2">
        <f t="shared" si="4"/>
        <v>0</v>
      </c>
      <c r="K40" s="53">
        <f t="shared" si="6"/>
        <v>0</v>
      </c>
      <c r="L40" s="53"/>
      <c r="M40" s="2">
        <v>39</v>
      </c>
    </row>
    <row r="41" spans="1:13" x14ac:dyDescent="0.25">
      <c r="A41" s="2" t="s">
        <v>204</v>
      </c>
      <c r="B41" s="2" t="str">
        <f t="shared" si="0"/>
        <v>2026</v>
      </c>
      <c r="C41" s="2" t="str">
        <f t="shared" si="1"/>
        <v>44</v>
      </c>
      <c r="D41" s="3">
        <f t="shared" si="5"/>
        <v>46321</v>
      </c>
      <c r="E41" s="3">
        <f t="shared" si="2"/>
        <v>46327</v>
      </c>
      <c r="F41" s="2"/>
      <c r="G41" s="2"/>
      <c r="H41" s="2">
        <f t="shared" si="3"/>
        <v>0</v>
      </c>
      <c r="I41" s="2"/>
      <c r="J41" s="2">
        <f t="shared" si="4"/>
        <v>0</v>
      </c>
      <c r="K41" s="53">
        <f t="shared" si="6"/>
        <v>0</v>
      </c>
      <c r="L41" s="53"/>
      <c r="M41" s="2">
        <v>40</v>
      </c>
    </row>
    <row r="42" spans="1:13" x14ac:dyDescent="0.25">
      <c r="A42" s="2" t="s">
        <v>205</v>
      </c>
      <c r="B42" s="2" t="str">
        <f t="shared" si="0"/>
        <v>2026</v>
      </c>
      <c r="C42" s="2" t="str">
        <f t="shared" si="1"/>
        <v>45</v>
      </c>
      <c r="D42" s="3">
        <f t="shared" si="5"/>
        <v>46328</v>
      </c>
      <c r="E42" s="3">
        <f t="shared" si="2"/>
        <v>46334</v>
      </c>
      <c r="F42" s="2"/>
      <c r="G42" s="2"/>
      <c r="H42" s="2">
        <f t="shared" si="3"/>
        <v>0</v>
      </c>
      <c r="I42" s="2"/>
      <c r="J42" s="2">
        <f t="shared" si="4"/>
        <v>0</v>
      </c>
      <c r="K42" s="53">
        <f t="shared" si="6"/>
        <v>0</v>
      </c>
      <c r="L42" s="53"/>
      <c r="M42" s="2">
        <v>41</v>
      </c>
    </row>
    <row r="43" spans="1:13" x14ac:dyDescent="0.25">
      <c r="A43" s="2" t="s">
        <v>206</v>
      </c>
      <c r="B43" s="2" t="str">
        <f t="shared" si="0"/>
        <v>2026</v>
      </c>
      <c r="C43" s="2" t="str">
        <f t="shared" si="1"/>
        <v>46</v>
      </c>
      <c r="D43" s="3">
        <f t="shared" si="5"/>
        <v>46335</v>
      </c>
      <c r="E43" s="3">
        <f t="shared" si="2"/>
        <v>46341</v>
      </c>
      <c r="F43" s="2"/>
      <c r="G43" s="2"/>
      <c r="H43" s="2">
        <f t="shared" si="3"/>
        <v>0</v>
      </c>
      <c r="I43" s="2"/>
      <c r="J43" s="2">
        <f t="shared" si="4"/>
        <v>0</v>
      </c>
      <c r="K43" s="53">
        <f t="shared" si="6"/>
        <v>0</v>
      </c>
      <c r="L43" s="53"/>
      <c r="M43" s="2">
        <v>42</v>
      </c>
    </row>
    <row r="44" spans="1:13" x14ac:dyDescent="0.25">
      <c r="A44" s="2" t="s">
        <v>207</v>
      </c>
      <c r="B44" s="2" t="str">
        <f t="shared" si="0"/>
        <v>2026</v>
      </c>
      <c r="C44" s="2" t="str">
        <f t="shared" si="1"/>
        <v>47</v>
      </c>
      <c r="D44" s="3">
        <f t="shared" si="5"/>
        <v>46342</v>
      </c>
      <c r="E44" s="3">
        <f t="shared" si="2"/>
        <v>46348</v>
      </c>
      <c r="F44" s="2"/>
      <c r="G44" s="2"/>
      <c r="H44" s="2">
        <f t="shared" si="3"/>
        <v>0</v>
      </c>
      <c r="I44" s="2"/>
      <c r="J44" s="2">
        <f t="shared" si="4"/>
        <v>0</v>
      </c>
      <c r="K44" s="53">
        <f t="shared" si="6"/>
        <v>0</v>
      </c>
      <c r="L44" s="53"/>
      <c r="M44" s="2">
        <v>43</v>
      </c>
    </row>
    <row r="45" spans="1:13" x14ac:dyDescent="0.25">
      <c r="A45" s="2" t="s">
        <v>208</v>
      </c>
      <c r="B45" s="2" t="str">
        <f t="shared" si="0"/>
        <v>2026</v>
      </c>
      <c r="C45" s="2" t="str">
        <f t="shared" si="1"/>
        <v>48</v>
      </c>
      <c r="D45" s="3">
        <f t="shared" si="5"/>
        <v>46349</v>
      </c>
      <c r="E45" s="3">
        <f t="shared" si="2"/>
        <v>46355</v>
      </c>
      <c r="F45" s="2"/>
      <c r="G45" s="2"/>
      <c r="H45" s="2">
        <f t="shared" si="3"/>
        <v>0</v>
      </c>
      <c r="I45" s="2"/>
      <c r="J45" s="2">
        <f t="shared" si="4"/>
        <v>0</v>
      </c>
      <c r="K45" s="53">
        <f t="shared" si="6"/>
        <v>0</v>
      </c>
      <c r="L45" s="53"/>
      <c r="M45" s="2">
        <v>44</v>
      </c>
    </row>
    <row r="46" spans="1:13" x14ac:dyDescent="0.25">
      <c r="A46" s="2" t="s">
        <v>209</v>
      </c>
      <c r="B46" s="2" t="str">
        <f t="shared" si="0"/>
        <v>2026</v>
      </c>
      <c r="C46" s="2" t="str">
        <f t="shared" si="1"/>
        <v>49</v>
      </c>
      <c r="D46" s="3">
        <f t="shared" si="5"/>
        <v>46356</v>
      </c>
      <c r="E46" s="3">
        <f t="shared" si="2"/>
        <v>46362</v>
      </c>
      <c r="F46" s="2"/>
      <c r="G46" s="2"/>
      <c r="H46" s="2">
        <f t="shared" si="3"/>
        <v>0</v>
      </c>
      <c r="I46" s="2"/>
      <c r="J46" s="2">
        <f t="shared" si="4"/>
        <v>0</v>
      </c>
      <c r="K46" s="53">
        <f t="shared" si="6"/>
        <v>0</v>
      </c>
      <c r="L46" s="53"/>
      <c r="M46" s="2">
        <v>45</v>
      </c>
    </row>
    <row r="47" spans="1:13" x14ac:dyDescent="0.25">
      <c r="A47" s="2" t="s">
        <v>210</v>
      </c>
      <c r="B47" s="2" t="str">
        <f t="shared" si="0"/>
        <v>2026</v>
      </c>
      <c r="C47" s="2" t="str">
        <f t="shared" si="1"/>
        <v>50</v>
      </c>
      <c r="D47" s="3">
        <f t="shared" si="5"/>
        <v>46363</v>
      </c>
      <c r="E47" s="3">
        <f t="shared" si="2"/>
        <v>46369</v>
      </c>
      <c r="F47" s="2"/>
      <c r="G47" s="2"/>
      <c r="H47" s="2">
        <f t="shared" si="3"/>
        <v>0</v>
      </c>
      <c r="I47" s="2"/>
      <c r="J47" s="2">
        <f t="shared" si="4"/>
        <v>0</v>
      </c>
      <c r="K47" s="53">
        <f t="shared" si="6"/>
        <v>0</v>
      </c>
      <c r="L47" s="53"/>
      <c r="M47" s="2">
        <v>46</v>
      </c>
    </row>
    <row r="48" spans="1:13" x14ac:dyDescent="0.25">
      <c r="A48" s="2" t="s">
        <v>211</v>
      </c>
      <c r="B48" s="2" t="str">
        <f t="shared" si="0"/>
        <v>2026</v>
      </c>
      <c r="C48" s="2" t="str">
        <f t="shared" si="1"/>
        <v>51</v>
      </c>
      <c r="D48" s="3">
        <f t="shared" si="5"/>
        <v>46370</v>
      </c>
      <c r="E48" s="3">
        <f t="shared" si="2"/>
        <v>46376</v>
      </c>
      <c r="F48" s="2"/>
      <c r="G48" s="2"/>
      <c r="H48" s="2">
        <f t="shared" si="3"/>
        <v>0</v>
      </c>
      <c r="I48" s="2"/>
      <c r="J48" s="2">
        <f t="shared" si="4"/>
        <v>0</v>
      </c>
      <c r="K48" s="53">
        <f t="shared" si="6"/>
        <v>0</v>
      </c>
      <c r="L48" s="53"/>
      <c r="M48" s="2">
        <v>47</v>
      </c>
    </row>
    <row r="49" spans="1:13" x14ac:dyDescent="0.25">
      <c r="A49" s="2" t="s">
        <v>212</v>
      </c>
      <c r="B49" s="2" t="str">
        <f t="shared" si="0"/>
        <v>2026</v>
      </c>
      <c r="C49" s="2" t="str">
        <f t="shared" si="1"/>
        <v>52</v>
      </c>
      <c r="D49" s="3">
        <f t="shared" si="5"/>
        <v>46377</v>
      </c>
      <c r="E49" s="3">
        <f t="shared" si="2"/>
        <v>46383</v>
      </c>
      <c r="F49" s="2"/>
      <c r="G49" s="2"/>
      <c r="H49" s="2">
        <f t="shared" si="3"/>
        <v>0</v>
      </c>
      <c r="I49" s="2"/>
      <c r="J49" s="2">
        <f t="shared" si="4"/>
        <v>0</v>
      </c>
      <c r="K49" s="53">
        <f t="shared" si="6"/>
        <v>0</v>
      </c>
      <c r="L49" s="53"/>
      <c r="M49" s="2">
        <v>48</v>
      </c>
    </row>
  </sheetData>
  <autoFilter ref="A1:M49" xr:uid="{EF7123D2-8105-4128-A4BE-C471EE1E4C9F}"/>
  <pageMargins left="0.511811024" right="0.511811024" top="0.78740157499999996" bottom="0.78740157499999996" header="0.31496062000000002" footer="0.31496062000000002"/>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25125A-FF77-4C4B-B0E2-40E0219F29A3}">
  <sheetPr codeName="Planilha18"/>
  <dimension ref="A31:AI38"/>
  <sheetViews>
    <sheetView showGridLines="0" zoomScale="85" zoomScaleNormal="85" workbookViewId="0">
      <selection activeCell="J36" sqref="J36"/>
    </sheetView>
  </sheetViews>
  <sheetFormatPr defaultRowHeight="15" x14ac:dyDescent="0.25"/>
  <cols>
    <col min="1" max="1" width="17.7109375" customWidth="1"/>
    <col min="2" max="5" width="19.28515625" customWidth="1"/>
    <col min="26" max="26" width="76.7109375" customWidth="1"/>
    <col min="28" max="28" width="17.140625" bestFit="1" customWidth="1"/>
    <col min="29" max="29" width="18.42578125" bestFit="1" customWidth="1"/>
    <col min="30" max="30" width="10.5703125" bestFit="1" customWidth="1"/>
    <col min="31" max="31" width="10.7109375" bestFit="1" customWidth="1"/>
    <col min="34" max="34" width="17.140625" bestFit="1" customWidth="1"/>
    <col min="35" max="35" width="18.42578125" bestFit="1" customWidth="1"/>
    <col min="36" max="36" width="10.5703125" bestFit="1" customWidth="1"/>
    <col min="37" max="38" width="10" bestFit="1" customWidth="1"/>
    <col min="39" max="39" width="8.42578125" bestFit="1" customWidth="1"/>
    <col min="40" max="40" width="10.42578125" bestFit="1" customWidth="1"/>
  </cols>
  <sheetData>
    <row r="31" spans="1:35" x14ac:dyDescent="0.25">
      <c r="B31" s="187" t="s">
        <v>61</v>
      </c>
      <c r="C31" s="187"/>
      <c r="D31" s="187"/>
      <c r="E31" s="187"/>
    </row>
    <row r="32" spans="1:35" ht="46.5" x14ac:dyDescent="0.25">
      <c r="A32" s="38" t="s">
        <v>64</v>
      </c>
      <c r="B32" s="182">
        <f ca="1">COUNTIFS('Fonte de Dados - Essentia'!E:E,"Parada",'Fonte de Dados - Essentia'!F:F,"&gt;=7")</f>
        <v>4</v>
      </c>
      <c r="C32" s="182"/>
      <c r="D32" s="182"/>
      <c r="E32" s="182"/>
      <c r="AB32" s="4" t="s">
        <v>62</v>
      </c>
      <c r="AC32" t="s">
        <v>63</v>
      </c>
      <c r="AH32" s="4" t="s">
        <v>62</v>
      </c>
      <c r="AI32" t="s">
        <v>63</v>
      </c>
    </row>
    <row r="33" spans="1:35" ht="21" x14ac:dyDescent="0.25">
      <c r="A33" s="37" t="s">
        <v>67</v>
      </c>
      <c r="B33" s="180">
        <f ca="1">B32/347</f>
        <v>1.1527377521613832E-2</v>
      </c>
      <c r="C33" s="180"/>
      <c r="D33" s="180"/>
      <c r="E33" s="180"/>
      <c r="AB33" s="4" t="s">
        <v>47</v>
      </c>
      <c r="AC33" t="s">
        <v>65</v>
      </c>
      <c r="AH33" s="4" t="s">
        <v>47</v>
      </c>
      <c r="AI33" t="s">
        <v>65</v>
      </c>
    </row>
    <row r="35" spans="1:35" ht="18.75" x14ac:dyDescent="0.3">
      <c r="B35" s="188" t="s">
        <v>68</v>
      </c>
      <c r="C35" s="188"/>
      <c r="D35" s="189" t="s">
        <v>69</v>
      </c>
      <c r="E35" s="189"/>
      <c r="AB35" s="4" t="s">
        <v>70</v>
      </c>
      <c r="AC35" s="4" t="s">
        <v>71</v>
      </c>
      <c r="AH35" s="4" t="s">
        <v>70</v>
      </c>
      <c r="AI35" s="4" t="s">
        <v>71</v>
      </c>
    </row>
    <row r="36" spans="1:35" ht="41.65" customHeight="1" x14ac:dyDescent="0.25">
      <c r="A36" s="38" t="s">
        <v>64</v>
      </c>
      <c r="B36" s="185">
        <f ca="1">COUNTIFS('Fonte de Dados - Essentia'!A:A,"Asa Branca",'Fonte de Dados - Essentia'!E:E,"Parada",'Fonte de Dados - Essentia'!F:F,"&gt;=7")</f>
        <v>0</v>
      </c>
      <c r="C36" s="185"/>
      <c r="D36" s="185">
        <f ca="1">COUNTIFS('Fonte de Dados - Essentia'!E:E,"Parada",'Fonte de Dados - Essentia'!A:A,"Chapada I",'Fonte de Dados - Essentia'!F:F,"&gt;=7")+COUNTIFS('Fonte de Dados - Essentia'!E:E,"Parada",'Fonte de Dados - Essentia'!A:A,"Chapada II",'Fonte de Dados - Essentia'!F:F,"&gt;=7")+COUNTIFS('Fonte de Dados - Essentia'!E:E,"Parada",'Fonte de Dados - Essentia'!A:A,"Chapada III",'Fonte de Dados - Essentia'!F:F,"&gt;=7")</f>
        <v>4</v>
      </c>
      <c r="E36" s="185"/>
      <c r="AB36" s="4" t="s">
        <v>72</v>
      </c>
      <c r="AC36" t="s">
        <v>73</v>
      </c>
      <c r="AH36" s="4" t="s">
        <v>72</v>
      </c>
      <c r="AI36" t="s">
        <v>73</v>
      </c>
    </row>
    <row r="37" spans="1:35" ht="15.75" x14ac:dyDescent="0.25">
      <c r="A37" s="37" t="s">
        <v>67</v>
      </c>
      <c r="B37" s="179">
        <f ca="1">B36/100</f>
        <v>0</v>
      </c>
      <c r="C37" s="179"/>
      <c r="D37" s="179">
        <f ca="1">D36/247</f>
        <v>1.6194331983805668E-2</v>
      </c>
      <c r="E37" s="179"/>
      <c r="AB37" s="24" t="s">
        <v>73</v>
      </c>
      <c r="AH37" s="24" t="s">
        <v>73</v>
      </c>
    </row>
    <row r="38" spans="1:35" x14ac:dyDescent="0.25">
      <c r="B38" s="39"/>
      <c r="C38" s="39"/>
      <c r="D38" s="39"/>
      <c r="E38" s="39"/>
    </row>
  </sheetData>
  <mergeCells count="9">
    <mergeCell ref="B37:C37"/>
    <mergeCell ref="D37:E37"/>
    <mergeCell ref="B31:E31"/>
    <mergeCell ref="B32:E32"/>
    <mergeCell ref="B33:E33"/>
    <mergeCell ref="B35:C35"/>
    <mergeCell ref="D35:E35"/>
    <mergeCell ref="B36:C36"/>
    <mergeCell ref="D36:E36"/>
  </mergeCells>
  <conditionalFormatting sqref="B36:C36">
    <cfRule type="dataBar" priority="3">
      <dataBar>
        <cfvo type="num" val="0"/>
        <cfvo type="num" val="100"/>
        <color rgb="FFFF555A"/>
      </dataBar>
      <extLst>
        <ext xmlns:x14="http://schemas.microsoft.com/office/spreadsheetml/2009/9/main" uri="{B025F937-C7B1-47D3-B67F-A62EFF666E3E}">
          <x14:id>{F16B7CBD-32AB-41D5-A6CE-0007D3596D68}</x14:id>
        </ext>
      </extLst>
    </cfRule>
  </conditionalFormatting>
  <conditionalFormatting sqref="B32:E32">
    <cfRule type="dataBar" priority="1">
      <dataBar>
        <cfvo type="num" val="0"/>
        <cfvo type="num" val="347"/>
        <color rgb="FFFF555A"/>
      </dataBar>
      <extLst>
        <ext xmlns:x14="http://schemas.microsoft.com/office/spreadsheetml/2009/9/main" uri="{B025F937-C7B1-47D3-B67F-A62EFF666E3E}">
          <x14:id>{03D05C25-A5F0-4BAE-976B-33927303E5BE}</x14:id>
        </ext>
      </extLst>
    </cfRule>
  </conditionalFormatting>
  <conditionalFormatting sqref="D36:E36">
    <cfRule type="dataBar" priority="2">
      <dataBar>
        <cfvo type="num" val="0"/>
        <cfvo type="num" val="247"/>
        <color rgb="FFFF555A"/>
      </dataBar>
      <extLst>
        <ext xmlns:x14="http://schemas.microsoft.com/office/spreadsheetml/2009/9/main" uri="{B025F937-C7B1-47D3-B67F-A62EFF666E3E}">
          <x14:id>{39125871-921C-48FB-9B9F-44070FA0709B}</x14:id>
        </ext>
      </extLst>
    </cfRule>
  </conditionalFormatting>
  <pageMargins left="0.511811024" right="0.511811024" top="0.78740157499999996" bottom="0.78740157499999996" header="0.31496062000000002" footer="0.31496062000000002"/>
  <drawing r:id="rId3"/>
  <extLst>
    <ext xmlns:x14="http://schemas.microsoft.com/office/spreadsheetml/2009/9/main" uri="{78C0D931-6437-407d-A8EE-F0AAD7539E65}">
      <x14:conditionalFormattings>
        <x14:conditionalFormatting xmlns:xm="http://schemas.microsoft.com/office/excel/2006/main">
          <x14:cfRule type="dataBar" id="{F16B7CBD-32AB-41D5-A6CE-0007D3596D68}">
            <x14:dataBar minLength="0" maxLength="100" border="1" negativeBarBorderColorSameAsPositive="0">
              <x14:cfvo type="num">
                <xm:f>0</xm:f>
              </x14:cfvo>
              <x14:cfvo type="num">
                <xm:f>100</xm:f>
              </x14:cfvo>
              <x14:borderColor rgb="FFFF555A"/>
              <x14:negativeFillColor rgb="FFFF0000"/>
              <x14:negativeBorderColor rgb="FFFF0000"/>
              <x14:axisColor rgb="FF000000"/>
            </x14:dataBar>
          </x14:cfRule>
          <xm:sqref>B36:C36</xm:sqref>
        </x14:conditionalFormatting>
        <x14:conditionalFormatting xmlns:xm="http://schemas.microsoft.com/office/excel/2006/main">
          <x14:cfRule type="dataBar" id="{03D05C25-A5F0-4BAE-976B-33927303E5BE}">
            <x14:dataBar minLength="0" maxLength="100" border="1" negativeBarBorderColorSameAsPositive="0">
              <x14:cfvo type="num">
                <xm:f>0</xm:f>
              </x14:cfvo>
              <x14:cfvo type="num">
                <xm:f>347</xm:f>
              </x14:cfvo>
              <x14:borderColor rgb="FFFF555A"/>
              <x14:negativeFillColor rgb="FFFF0000"/>
              <x14:negativeBorderColor rgb="FFFF0000"/>
              <x14:axisColor rgb="FF000000"/>
            </x14:dataBar>
          </x14:cfRule>
          <xm:sqref>B32:E32</xm:sqref>
        </x14:conditionalFormatting>
        <x14:conditionalFormatting xmlns:xm="http://schemas.microsoft.com/office/excel/2006/main">
          <x14:cfRule type="dataBar" id="{39125871-921C-48FB-9B9F-44070FA0709B}">
            <x14:dataBar minLength="0" maxLength="100" border="1" negativeBarBorderColorSameAsPositive="0">
              <x14:cfvo type="num">
                <xm:f>0</xm:f>
              </x14:cfvo>
              <x14:cfvo type="num">
                <xm:f>247</xm:f>
              </x14:cfvo>
              <x14:borderColor rgb="FFFF555A"/>
              <x14:negativeFillColor rgb="FFFF0000"/>
              <x14:negativeBorderColor rgb="FFFF0000"/>
              <x14:axisColor rgb="FF000000"/>
            </x14:dataBar>
          </x14:cfRule>
          <xm:sqref>D36:E36</xm:sqref>
        </x14:conditionalFormatting>
      </x14:conditionalFormatting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B67E7F-9634-4A23-95D7-6F39C290290B}">
  <sheetPr codeName="Planilha8"/>
  <dimension ref="A1:E5"/>
  <sheetViews>
    <sheetView workbookViewId="0">
      <selection activeCell="H18" sqref="H18"/>
    </sheetView>
  </sheetViews>
  <sheetFormatPr defaultRowHeight="15" x14ac:dyDescent="0.25"/>
  <cols>
    <col min="1" max="2" width="10.28515625" bestFit="1" customWidth="1"/>
    <col min="3" max="3" width="9.42578125" bestFit="1" customWidth="1"/>
    <col min="4" max="4" width="17.7109375" bestFit="1" customWidth="1"/>
    <col min="5" max="5" width="34.28515625" bestFit="1" customWidth="1"/>
    <col min="6" max="6" width="9.28515625" bestFit="1" customWidth="1"/>
  </cols>
  <sheetData>
    <row r="1" spans="1:5" x14ac:dyDescent="0.25">
      <c r="A1" s="23" t="s">
        <v>34</v>
      </c>
      <c r="B1" s="23" t="s">
        <v>866</v>
      </c>
      <c r="C1" s="23" t="s">
        <v>867</v>
      </c>
      <c r="D1" s="23" t="s">
        <v>868</v>
      </c>
      <c r="E1" s="21" t="s">
        <v>869</v>
      </c>
    </row>
    <row r="2" spans="1:5" x14ac:dyDescent="0.25">
      <c r="A2" s="13" t="s">
        <v>77</v>
      </c>
      <c r="B2" s="3">
        <v>45566</v>
      </c>
      <c r="C2" s="2">
        <v>115</v>
      </c>
      <c r="D2" s="18">
        <f ca="1">(TODAY()-B2)*C2*24</f>
        <v>1998240</v>
      </c>
      <c r="E2" s="27">
        <f ca="1">SUMIF('Fonte de Dados - Essentia'!A:A,'YTD Hours'!A2,'Fonte de Dados - Essentia'!Q:Q)</f>
        <v>9.1652654335815497E-3</v>
      </c>
    </row>
    <row r="3" spans="1:5" x14ac:dyDescent="0.25">
      <c r="A3" s="13" t="s">
        <v>78</v>
      </c>
      <c r="B3" s="3">
        <v>45566</v>
      </c>
      <c r="C3" s="2">
        <v>100</v>
      </c>
      <c r="D3" s="18">
        <f ca="1">(TODAY()-B3)*C3*24</f>
        <v>1737600</v>
      </c>
      <c r="E3" s="27">
        <f ca="1">SUMIF('Fonte de Dados - Essentia'!A:A,'YTD Hours'!A3,'Fonte de Dados - Essentia'!Q:Q)</f>
        <v>61.579936858721382</v>
      </c>
    </row>
    <row r="4" spans="1:5" x14ac:dyDescent="0.25">
      <c r="A4" s="13" t="s">
        <v>79</v>
      </c>
      <c r="B4" s="3">
        <v>45566</v>
      </c>
      <c r="C4" s="2">
        <v>32</v>
      </c>
      <c r="D4" s="18">
        <f ca="1">(TODAY()-B4)*C4*24</f>
        <v>556032</v>
      </c>
      <c r="E4" s="27">
        <f ca="1">SUMIF('Fonte de Dados - Essentia'!A:A,'YTD Hours'!A4,'Fonte de Dados - Essentia'!Q:Q)</f>
        <v>1.1999309392265194E-2</v>
      </c>
    </row>
    <row r="5" spans="1:5" x14ac:dyDescent="0.25">
      <c r="A5" s="13" t="s">
        <v>44</v>
      </c>
      <c r="B5" s="3">
        <v>45566</v>
      </c>
      <c r="C5" s="2">
        <v>100</v>
      </c>
      <c r="D5" s="18">
        <f ca="1">(TODAY()-B5)*C5*24</f>
        <v>1737600</v>
      </c>
      <c r="E5" s="27">
        <f ca="1">SUMIF('Fonte de Dados - Essentia'!A:A,'YTD Hours'!A5,'Fonte de Dados - Essentia'!Q:Q)</f>
        <v>1.2430939226519338E-4</v>
      </c>
    </row>
  </sheetData>
  <pageMargins left="0.511811024" right="0.511811024" top="0.78740157499999996" bottom="0.78740157499999996" header="0.31496062000000002" footer="0.3149606200000000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CAE2C1-8C93-4E67-9D0D-D7CDA0FAC68F}">
  <sheetPr codeName="Planilha9"/>
  <dimension ref="A2:S111"/>
  <sheetViews>
    <sheetView workbookViewId="0"/>
  </sheetViews>
  <sheetFormatPr defaultRowHeight="15" x14ac:dyDescent="0.25"/>
  <cols>
    <col min="1" max="1" width="10.7109375" bestFit="1" customWidth="1"/>
    <col min="2" max="2" width="9.28515625" bestFit="1" customWidth="1"/>
    <col min="3" max="3" width="10.28515625" bestFit="1" customWidth="1"/>
    <col min="4" max="4" width="11.28515625" bestFit="1" customWidth="1"/>
    <col min="5" max="5" width="23.7109375" bestFit="1" customWidth="1"/>
    <col min="6" max="6" width="6.7109375" bestFit="1" customWidth="1"/>
    <col min="7" max="7" width="10.28515625" bestFit="1" customWidth="1"/>
    <col min="8" max="8" width="42.5703125" customWidth="1"/>
    <col min="9" max="9" width="18.28515625" bestFit="1" customWidth="1"/>
    <col min="10" max="10" width="16" bestFit="1" customWidth="1"/>
    <col min="11" max="12" width="10.7109375" bestFit="1" customWidth="1"/>
    <col min="13" max="13" width="11.42578125" bestFit="1" customWidth="1"/>
    <col min="14" max="14" width="10.7109375" bestFit="1" customWidth="1"/>
    <col min="15" max="15" width="11.28515625" bestFit="1" customWidth="1"/>
    <col min="16" max="16" width="10.7109375" bestFit="1" customWidth="1"/>
    <col min="17" max="17" width="10.28515625" bestFit="1" customWidth="1"/>
    <col min="18" max="18" width="11.28515625" bestFit="1" customWidth="1"/>
    <col min="19" max="19" width="10.7109375" bestFit="1" customWidth="1"/>
  </cols>
  <sheetData>
    <row r="2" spans="1:19" ht="45" x14ac:dyDescent="0.25">
      <c r="A2" s="44" t="s">
        <v>34</v>
      </c>
      <c r="B2" s="44" t="s">
        <v>33</v>
      </c>
      <c r="C2" s="44" t="s">
        <v>45</v>
      </c>
      <c r="D2" s="44" t="s">
        <v>214</v>
      </c>
      <c r="E2" s="44" t="s">
        <v>62</v>
      </c>
      <c r="F2" s="44" t="s">
        <v>47</v>
      </c>
      <c r="G2" s="51" t="s">
        <v>46</v>
      </c>
      <c r="H2" s="41" t="s">
        <v>48</v>
      </c>
      <c r="I2" s="44" t="s">
        <v>49</v>
      </c>
      <c r="J2" s="44" t="s">
        <v>39</v>
      </c>
      <c r="K2" s="55">
        <v>45658</v>
      </c>
      <c r="L2" s="55">
        <v>45689</v>
      </c>
      <c r="M2" s="55">
        <v>45717</v>
      </c>
      <c r="N2" s="55">
        <v>45748</v>
      </c>
      <c r="O2" s="55">
        <v>45778</v>
      </c>
      <c r="P2" s="55">
        <v>45809</v>
      </c>
      <c r="Q2" s="55">
        <v>45839</v>
      </c>
      <c r="R2" s="55">
        <v>45870</v>
      </c>
      <c r="S2" s="55">
        <v>45901</v>
      </c>
    </row>
    <row r="3" spans="1:19" x14ac:dyDescent="0.25">
      <c r="A3" s="13" t="s">
        <v>77</v>
      </c>
      <c r="B3" s="22" t="s">
        <v>222</v>
      </c>
      <c r="C3" s="32">
        <v>45610</v>
      </c>
      <c r="D3" s="32">
        <v>45610</v>
      </c>
      <c r="E3" s="32" t="s">
        <v>223</v>
      </c>
      <c r="F3" s="13">
        <f t="shared" ref="F3:F34" si="0">D3-C3</f>
        <v>0</v>
      </c>
      <c r="G3" s="32">
        <v>45610</v>
      </c>
      <c r="H3" s="17" t="s">
        <v>224</v>
      </c>
      <c r="I3" s="33" t="s">
        <v>225</v>
      </c>
      <c r="J3" s="33" t="s">
        <v>225</v>
      </c>
      <c r="K3">
        <f t="shared" ref="K3:S12" si="1">IF(AND($C3&lt;=EOMONTH(K$2,0),$D3&gt;=K$2),1,IF(AND($E3="Parada",EOMONTH(K$2,0)&gt;=$C3),1,0))</f>
        <v>0</v>
      </c>
      <c r="L3">
        <f t="shared" si="1"/>
        <v>0</v>
      </c>
      <c r="M3">
        <f t="shared" si="1"/>
        <v>0</v>
      </c>
      <c r="N3">
        <f t="shared" si="1"/>
        <v>0</v>
      </c>
      <c r="O3">
        <f t="shared" si="1"/>
        <v>0</v>
      </c>
      <c r="P3">
        <f t="shared" si="1"/>
        <v>0</v>
      </c>
      <c r="Q3">
        <f t="shared" si="1"/>
        <v>0</v>
      </c>
      <c r="R3">
        <f t="shared" si="1"/>
        <v>0</v>
      </c>
      <c r="S3">
        <f t="shared" si="1"/>
        <v>0</v>
      </c>
    </row>
    <row r="4" spans="1:19" ht="30" x14ac:dyDescent="0.25">
      <c r="A4" s="13" t="s">
        <v>44</v>
      </c>
      <c r="B4" s="22" t="s">
        <v>230</v>
      </c>
      <c r="C4" s="31">
        <v>45609</v>
      </c>
      <c r="D4" s="32">
        <v>45611</v>
      </c>
      <c r="E4" s="32" t="s">
        <v>223</v>
      </c>
      <c r="F4" s="13">
        <f t="shared" si="0"/>
        <v>2</v>
      </c>
      <c r="G4" s="32">
        <v>45611</v>
      </c>
      <c r="H4" s="17" t="s">
        <v>51</v>
      </c>
      <c r="I4" s="13" t="s">
        <v>52</v>
      </c>
      <c r="J4" s="13" t="s">
        <v>225</v>
      </c>
      <c r="K4">
        <f t="shared" si="1"/>
        <v>0</v>
      </c>
      <c r="L4">
        <f t="shared" si="1"/>
        <v>0</v>
      </c>
      <c r="M4">
        <f t="shared" si="1"/>
        <v>0</v>
      </c>
      <c r="N4">
        <f t="shared" si="1"/>
        <v>0</v>
      </c>
      <c r="O4">
        <f t="shared" si="1"/>
        <v>0</v>
      </c>
      <c r="P4">
        <f t="shared" si="1"/>
        <v>0</v>
      </c>
      <c r="Q4">
        <f t="shared" si="1"/>
        <v>0</v>
      </c>
      <c r="R4">
        <f t="shared" si="1"/>
        <v>0</v>
      </c>
      <c r="S4">
        <f t="shared" si="1"/>
        <v>0</v>
      </c>
    </row>
    <row r="5" spans="1:19" ht="45" x14ac:dyDescent="0.25">
      <c r="A5" s="13" t="s">
        <v>78</v>
      </c>
      <c r="B5" s="22" t="s">
        <v>234</v>
      </c>
      <c r="C5" s="32">
        <v>45607</v>
      </c>
      <c r="D5" s="32">
        <v>45612</v>
      </c>
      <c r="E5" s="32" t="s">
        <v>223</v>
      </c>
      <c r="F5" s="13">
        <f t="shared" si="0"/>
        <v>5</v>
      </c>
      <c r="G5" s="32">
        <v>45610</v>
      </c>
      <c r="H5" s="17" t="s">
        <v>235</v>
      </c>
      <c r="I5" s="13" t="s">
        <v>52</v>
      </c>
      <c r="J5" s="13" t="s">
        <v>75</v>
      </c>
      <c r="K5">
        <f t="shared" si="1"/>
        <v>0</v>
      </c>
      <c r="L5">
        <f t="shared" si="1"/>
        <v>0</v>
      </c>
      <c r="M5">
        <f t="shared" si="1"/>
        <v>0</v>
      </c>
      <c r="N5">
        <f t="shared" si="1"/>
        <v>0</v>
      </c>
      <c r="O5">
        <f t="shared" si="1"/>
        <v>0</v>
      </c>
      <c r="P5">
        <f t="shared" si="1"/>
        <v>0</v>
      </c>
      <c r="Q5">
        <f t="shared" si="1"/>
        <v>0</v>
      </c>
      <c r="R5">
        <f t="shared" si="1"/>
        <v>0</v>
      </c>
      <c r="S5">
        <f t="shared" si="1"/>
        <v>0</v>
      </c>
    </row>
    <row r="6" spans="1:19" ht="30" x14ac:dyDescent="0.25">
      <c r="A6" s="13" t="s">
        <v>44</v>
      </c>
      <c r="B6" s="22" t="s">
        <v>237</v>
      </c>
      <c r="C6" s="31">
        <v>45606</v>
      </c>
      <c r="D6" s="32">
        <v>45613</v>
      </c>
      <c r="E6" s="32" t="s">
        <v>223</v>
      </c>
      <c r="F6" s="13">
        <f t="shared" si="0"/>
        <v>7</v>
      </c>
      <c r="G6" s="33">
        <v>45610</v>
      </c>
      <c r="H6" s="17" t="s">
        <v>51</v>
      </c>
      <c r="I6" s="13" t="s">
        <v>52</v>
      </c>
      <c r="J6" s="13" t="s">
        <v>225</v>
      </c>
      <c r="K6">
        <f t="shared" si="1"/>
        <v>0</v>
      </c>
      <c r="L6">
        <f t="shared" si="1"/>
        <v>0</v>
      </c>
      <c r="M6">
        <f t="shared" si="1"/>
        <v>0</v>
      </c>
      <c r="N6">
        <f t="shared" si="1"/>
        <v>0</v>
      </c>
      <c r="O6">
        <f t="shared" si="1"/>
        <v>0</v>
      </c>
      <c r="P6">
        <f t="shared" si="1"/>
        <v>0</v>
      </c>
      <c r="Q6">
        <f t="shared" si="1"/>
        <v>0</v>
      </c>
      <c r="R6">
        <f t="shared" si="1"/>
        <v>0</v>
      </c>
      <c r="S6">
        <f t="shared" si="1"/>
        <v>0</v>
      </c>
    </row>
    <row r="7" spans="1:19" x14ac:dyDescent="0.25">
      <c r="A7" s="13" t="s">
        <v>78</v>
      </c>
      <c r="B7" s="22" t="s">
        <v>239</v>
      </c>
      <c r="C7" s="33">
        <v>45600</v>
      </c>
      <c r="D7" s="32">
        <v>45616</v>
      </c>
      <c r="E7" s="32" t="s">
        <v>223</v>
      </c>
      <c r="F7" s="13">
        <f t="shared" si="0"/>
        <v>16</v>
      </c>
      <c r="G7" s="32">
        <v>45615</v>
      </c>
      <c r="H7" s="17" t="s">
        <v>57</v>
      </c>
      <c r="I7" s="13" t="s">
        <v>16</v>
      </c>
      <c r="J7" s="13" t="s">
        <v>75</v>
      </c>
      <c r="K7">
        <f t="shared" si="1"/>
        <v>0</v>
      </c>
      <c r="L7">
        <f t="shared" si="1"/>
        <v>0</v>
      </c>
      <c r="M7">
        <f t="shared" si="1"/>
        <v>0</v>
      </c>
      <c r="N7">
        <f t="shared" si="1"/>
        <v>0</v>
      </c>
      <c r="O7">
        <f t="shared" si="1"/>
        <v>0</v>
      </c>
      <c r="P7">
        <f t="shared" si="1"/>
        <v>0</v>
      </c>
      <c r="Q7">
        <f t="shared" si="1"/>
        <v>0</v>
      </c>
      <c r="R7">
        <f t="shared" si="1"/>
        <v>0</v>
      </c>
      <c r="S7">
        <f t="shared" si="1"/>
        <v>0</v>
      </c>
    </row>
    <row r="8" spans="1:19" x14ac:dyDescent="0.25">
      <c r="A8" s="13" t="s">
        <v>78</v>
      </c>
      <c r="B8" s="22" t="s">
        <v>241</v>
      </c>
      <c r="C8" s="32">
        <v>45615</v>
      </c>
      <c r="D8" s="32">
        <v>45618</v>
      </c>
      <c r="E8" s="13" t="s">
        <v>242</v>
      </c>
      <c r="F8" s="13">
        <f t="shared" si="0"/>
        <v>3</v>
      </c>
      <c r="G8" s="32">
        <v>45618</v>
      </c>
      <c r="H8" s="17" t="s">
        <v>243</v>
      </c>
      <c r="I8" s="33" t="s">
        <v>244</v>
      </c>
      <c r="J8" s="33" t="s">
        <v>75</v>
      </c>
      <c r="K8">
        <f t="shared" si="1"/>
        <v>0</v>
      </c>
      <c r="L8">
        <f t="shared" si="1"/>
        <v>0</v>
      </c>
      <c r="M8">
        <f t="shared" si="1"/>
        <v>0</v>
      </c>
      <c r="N8">
        <f t="shared" si="1"/>
        <v>0</v>
      </c>
      <c r="O8">
        <f t="shared" si="1"/>
        <v>0</v>
      </c>
      <c r="P8">
        <f t="shared" si="1"/>
        <v>0</v>
      </c>
      <c r="Q8">
        <f t="shared" si="1"/>
        <v>0</v>
      </c>
      <c r="R8">
        <f t="shared" si="1"/>
        <v>0</v>
      </c>
      <c r="S8">
        <f t="shared" si="1"/>
        <v>0</v>
      </c>
    </row>
    <row r="9" spans="1:19" x14ac:dyDescent="0.25">
      <c r="A9" s="13" t="s">
        <v>77</v>
      </c>
      <c r="B9" s="22" t="s">
        <v>247</v>
      </c>
      <c r="C9" s="31">
        <v>45566</v>
      </c>
      <c r="D9" s="32">
        <v>45622</v>
      </c>
      <c r="E9" s="13" t="s">
        <v>242</v>
      </c>
      <c r="F9" s="13">
        <f t="shared" si="0"/>
        <v>56</v>
      </c>
      <c r="G9" s="36">
        <v>45607</v>
      </c>
      <c r="H9" s="17" t="s">
        <v>248</v>
      </c>
      <c r="I9" s="13" t="s">
        <v>27</v>
      </c>
      <c r="J9" s="13" t="s">
        <v>74</v>
      </c>
      <c r="K9">
        <f t="shared" si="1"/>
        <v>0</v>
      </c>
      <c r="L9">
        <f t="shared" si="1"/>
        <v>0</v>
      </c>
      <c r="M9">
        <f t="shared" si="1"/>
        <v>0</v>
      </c>
      <c r="N9">
        <f t="shared" si="1"/>
        <v>0</v>
      </c>
      <c r="O9">
        <f t="shared" si="1"/>
        <v>0</v>
      </c>
      <c r="P9">
        <f t="shared" si="1"/>
        <v>0</v>
      </c>
      <c r="Q9">
        <f t="shared" si="1"/>
        <v>0</v>
      </c>
      <c r="R9">
        <f t="shared" si="1"/>
        <v>0</v>
      </c>
      <c r="S9">
        <f t="shared" si="1"/>
        <v>0</v>
      </c>
    </row>
    <row r="10" spans="1:19" x14ac:dyDescent="0.25">
      <c r="A10" s="13" t="s">
        <v>77</v>
      </c>
      <c r="B10" s="22" t="s">
        <v>251</v>
      </c>
      <c r="C10" s="31">
        <v>45566</v>
      </c>
      <c r="D10" s="32">
        <v>45622</v>
      </c>
      <c r="E10" s="13" t="s">
        <v>242</v>
      </c>
      <c r="F10" s="13">
        <f t="shared" si="0"/>
        <v>56</v>
      </c>
      <c r="G10" s="32">
        <v>45618</v>
      </c>
      <c r="H10" s="17" t="s">
        <v>252</v>
      </c>
      <c r="I10" s="13" t="s">
        <v>16</v>
      </c>
      <c r="J10" s="13"/>
      <c r="K10">
        <f t="shared" si="1"/>
        <v>0</v>
      </c>
      <c r="L10">
        <f t="shared" si="1"/>
        <v>0</v>
      </c>
      <c r="M10">
        <f t="shared" si="1"/>
        <v>0</v>
      </c>
      <c r="N10">
        <f t="shared" si="1"/>
        <v>0</v>
      </c>
      <c r="O10">
        <f t="shared" si="1"/>
        <v>0</v>
      </c>
      <c r="P10">
        <f t="shared" si="1"/>
        <v>0</v>
      </c>
      <c r="Q10">
        <f t="shared" si="1"/>
        <v>0</v>
      </c>
      <c r="R10">
        <f t="shared" si="1"/>
        <v>0</v>
      </c>
      <c r="S10">
        <f t="shared" si="1"/>
        <v>0</v>
      </c>
    </row>
    <row r="11" spans="1:19" x14ac:dyDescent="0.25">
      <c r="A11" s="35" t="s">
        <v>79</v>
      </c>
      <c r="B11" s="40" t="s">
        <v>253</v>
      </c>
      <c r="C11" s="33">
        <v>45601</v>
      </c>
      <c r="D11" s="32">
        <v>45624</v>
      </c>
      <c r="E11" s="13" t="s">
        <v>223</v>
      </c>
      <c r="F11" s="13">
        <f t="shared" si="0"/>
        <v>23</v>
      </c>
      <c r="G11" s="33">
        <v>45625</v>
      </c>
      <c r="H11" s="17" t="s">
        <v>254</v>
      </c>
      <c r="I11" s="13" t="s">
        <v>255</v>
      </c>
      <c r="J11" s="13" t="s">
        <v>225</v>
      </c>
      <c r="K11">
        <f t="shared" si="1"/>
        <v>0</v>
      </c>
      <c r="L11">
        <f t="shared" si="1"/>
        <v>0</v>
      </c>
      <c r="M11">
        <f t="shared" si="1"/>
        <v>0</v>
      </c>
      <c r="N11">
        <f t="shared" si="1"/>
        <v>0</v>
      </c>
      <c r="O11">
        <f t="shared" si="1"/>
        <v>0</v>
      </c>
      <c r="P11">
        <f t="shared" si="1"/>
        <v>0</v>
      </c>
      <c r="Q11">
        <f t="shared" si="1"/>
        <v>0</v>
      </c>
      <c r="R11">
        <f t="shared" si="1"/>
        <v>0</v>
      </c>
      <c r="S11">
        <f t="shared" si="1"/>
        <v>0</v>
      </c>
    </row>
    <row r="12" spans="1:19" ht="45" x14ac:dyDescent="0.25">
      <c r="A12" s="13" t="s">
        <v>77</v>
      </c>
      <c r="B12" s="22" t="s">
        <v>257</v>
      </c>
      <c r="C12" s="32">
        <v>45567</v>
      </c>
      <c r="D12" s="32">
        <v>45625</v>
      </c>
      <c r="E12" s="13" t="s">
        <v>223</v>
      </c>
      <c r="F12" s="13">
        <f t="shared" si="0"/>
        <v>58</v>
      </c>
      <c r="G12" s="32">
        <v>45625</v>
      </c>
      <c r="H12" s="17" t="s">
        <v>258</v>
      </c>
      <c r="I12" s="13" t="s">
        <v>16</v>
      </c>
      <c r="J12" s="13" t="s">
        <v>75</v>
      </c>
      <c r="K12">
        <f t="shared" si="1"/>
        <v>0</v>
      </c>
      <c r="L12">
        <f t="shared" si="1"/>
        <v>0</v>
      </c>
      <c r="M12">
        <f t="shared" si="1"/>
        <v>0</v>
      </c>
      <c r="N12">
        <f t="shared" si="1"/>
        <v>0</v>
      </c>
      <c r="O12">
        <f t="shared" si="1"/>
        <v>0</v>
      </c>
      <c r="P12">
        <f t="shared" si="1"/>
        <v>0</v>
      </c>
      <c r="Q12">
        <f t="shared" si="1"/>
        <v>0</v>
      </c>
      <c r="R12">
        <f t="shared" si="1"/>
        <v>0</v>
      </c>
      <c r="S12">
        <f t="shared" si="1"/>
        <v>0</v>
      </c>
    </row>
    <row r="13" spans="1:19" x14ac:dyDescent="0.25">
      <c r="A13" s="13" t="s">
        <v>77</v>
      </c>
      <c r="B13" s="22" t="s">
        <v>262</v>
      </c>
      <c r="C13" s="31">
        <v>45566</v>
      </c>
      <c r="D13" s="32">
        <v>45632</v>
      </c>
      <c r="E13" s="13" t="s">
        <v>223</v>
      </c>
      <c r="F13" s="13">
        <f t="shared" si="0"/>
        <v>66</v>
      </c>
      <c r="G13" s="36">
        <v>45625</v>
      </c>
      <c r="H13" s="17" t="s">
        <v>263</v>
      </c>
      <c r="I13" s="13" t="s">
        <v>16</v>
      </c>
      <c r="J13" s="13"/>
      <c r="K13">
        <f t="shared" ref="K13:S22" si="2">IF(AND($C13&lt;=EOMONTH(K$2,0),$D13&gt;=K$2),1,IF(AND($E13="Parada",EOMONTH(K$2,0)&gt;=$C13),1,0))</f>
        <v>0</v>
      </c>
      <c r="L13">
        <f t="shared" si="2"/>
        <v>0</v>
      </c>
      <c r="M13">
        <f t="shared" si="2"/>
        <v>0</v>
      </c>
      <c r="N13">
        <f t="shared" si="2"/>
        <v>0</v>
      </c>
      <c r="O13">
        <f t="shared" si="2"/>
        <v>0</v>
      </c>
      <c r="P13">
        <f t="shared" si="2"/>
        <v>0</v>
      </c>
      <c r="Q13">
        <f t="shared" si="2"/>
        <v>0</v>
      </c>
      <c r="R13">
        <f t="shared" si="2"/>
        <v>0</v>
      </c>
      <c r="S13">
        <f t="shared" si="2"/>
        <v>0</v>
      </c>
    </row>
    <row r="14" spans="1:19" x14ac:dyDescent="0.25">
      <c r="A14" s="13" t="s">
        <v>78</v>
      </c>
      <c r="B14" s="22" t="s">
        <v>264</v>
      </c>
      <c r="C14" s="32">
        <v>45566</v>
      </c>
      <c r="D14" s="32">
        <v>45637</v>
      </c>
      <c r="E14" s="13" t="s">
        <v>223</v>
      </c>
      <c r="F14" s="13">
        <f t="shared" si="0"/>
        <v>71</v>
      </c>
      <c r="G14" s="32">
        <v>45632</v>
      </c>
      <c r="H14" s="17" t="s">
        <v>57</v>
      </c>
      <c r="I14" s="13" t="s">
        <v>16</v>
      </c>
      <c r="J14" s="13"/>
      <c r="K14">
        <f t="shared" si="2"/>
        <v>0</v>
      </c>
      <c r="L14">
        <f t="shared" si="2"/>
        <v>0</v>
      </c>
      <c r="M14">
        <f t="shared" si="2"/>
        <v>0</v>
      </c>
      <c r="N14">
        <f t="shared" si="2"/>
        <v>0</v>
      </c>
      <c r="O14">
        <f t="shared" si="2"/>
        <v>0</v>
      </c>
      <c r="P14">
        <f t="shared" si="2"/>
        <v>0</v>
      </c>
      <c r="Q14">
        <f t="shared" si="2"/>
        <v>0</v>
      </c>
      <c r="R14">
        <f t="shared" si="2"/>
        <v>0</v>
      </c>
      <c r="S14">
        <f t="shared" si="2"/>
        <v>0</v>
      </c>
    </row>
    <row r="15" spans="1:19" x14ac:dyDescent="0.25">
      <c r="A15" s="13" t="s">
        <v>44</v>
      </c>
      <c r="B15" s="22" t="s">
        <v>266</v>
      </c>
      <c r="C15" s="31">
        <v>45607</v>
      </c>
      <c r="D15" s="32">
        <v>45637</v>
      </c>
      <c r="E15" s="13" t="s">
        <v>223</v>
      </c>
      <c r="F15" s="13">
        <f t="shared" si="0"/>
        <v>30</v>
      </c>
      <c r="G15" s="33">
        <v>45637</v>
      </c>
      <c r="H15" s="17" t="s">
        <v>57</v>
      </c>
      <c r="I15" s="13" t="s">
        <v>16</v>
      </c>
      <c r="J15" s="13" t="s">
        <v>75</v>
      </c>
      <c r="K15">
        <f t="shared" si="2"/>
        <v>0</v>
      </c>
      <c r="L15">
        <f t="shared" si="2"/>
        <v>0</v>
      </c>
      <c r="M15">
        <f t="shared" si="2"/>
        <v>0</v>
      </c>
      <c r="N15">
        <f t="shared" si="2"/>
        <v>0</v>
      </c>
      <c r="O15">
        <f t="shared" si="2"/>
        <v>0</v>
      </c>
      <c r="P15">
        <f t="shared" si="2"/>
        <v>0</v>
      </c>
      <c r="Q15">
        <f t="shared" si="2"/>
        <v>0</v>
      </c>
      <c r="R15">
        <f t="shared" si="2"/>
        <v>0</v>
      </c>
      <c r="S15">
        <f t="shared" si="2"/>
        <v>0</v>
      </c>
    </row>
    <row r="16" spans="1:19" ht="30" x14ac:dyDescent="0.25">
      <c r="A16" s="13" t="s">
        <v>77</v>
      </c>
      <c r="B16" s="22" t="s">
        <v>269</v>
      </c>
      <c r="C16" s="31">
        <v>45614</v>
      </c>
      <c r="D16" s="32">
        <v>45645</v>
      </c>
      <c r="E16" s="13" t="s">
        <v>223</v>
      </c>
      <c r="F16" s="13">
        <f t="shared" si="0"/>
        <v>31</v>
      </c>
      <c r="G16" s="32">
        <v>45646</v>
      </c>
      <c r="H16" s="17" t="s">
        <v>270</v>
      </c>
      <c r="I16" s="33" t="s">
        <v>16</v>
      </c>
      <c r="J16" s="33" t="s">
        <v>74</v>
      </c>
      <c r="K16">
        <f t="shared" si="2"/>
        <v>0</v>
      </c>
      <c r="L16">
        <f t="shared" si="2"/>
        <v>0</v>
      </c>
      <c r="M16">
        <f t="shared" si="2"/>
        <v>0</v>
      </c>
      <c r="N16">
        <f t="shared" si="2"/>
        <v>0</v>
      </c>
      <c r="O16">
        <f t="shared" si="2"/>
        <v>0</v>
      </c>
      <c r="P16">
        <f t="shared" si="2"/>
        <v>0</v>
      </c>
      <c r="Q16">
        <f t="shared" si="2"/>
        <v>0</v>
      </c>
      <c r="R16">
        <f t="shared" si="2"/>
        <v>0</v>
      </c>
      <c r="S16">
        <f t="shared" si="2"/>
        <v>0</v>
      </c>
    </row>
    <row r="17" spans="1:19" x14ac:dyDescent="0.25">
      <c r="A17" s="13" t="s">
        <v>77</v>
      </c>
      <c r="B17" s="22" t="s">
        <v>273</v>
      </c>
      <c r="C17" s="32">
        <v>45595</v>
      </c>
      <c r="D17" s="33">
        <v>45646</v>
      </c>
      <c r="E17" s="13" t="s">
        <v>223</v>
      </c>
      <c r="F17" s="13">
        <f t="shared" si="0"/>
        <v>51</v>
      </c>
      <c r="G17" s="33">
        <v>45646</v>
      </c>
      <c r="H17" s="17" t="s">
        <v>274</v>
      </c>
      <c r="I17" s="13" t="s">
        <v>19</v>
      </c>
      <c r="J17" s="13" t="s">
        <v>225</v>
      </c>
      <c r="K17">
        <f t="shared" si="2"/>
        <v>0</v>
      </c>
      <c r="L17">
        <f t="shared" si="2"/>
        <v>0</v>
      </c>
      <c r="M17">
        <f t="shared" si="2"/>
        <v>0</v>
      </c>
      <c r="N17">
        <f t="shared" si="2"/>
        <v>0</v>
      </c>
      <c r="O17">
        <f t="shared" si="2"/>
        <v>0</v>
      </c>
      <c r="P17">
        <f t="shared" si="2"/>
        <v>0</v>
      </c>
      <c r="Q17">
        <f t="shared" si="2"/>
        <v>0</v>
      </c>
      <c r="R17">
        <f t="shared" si="2"/>
        <v>0</v>
      </c>
      <c r="S17">
        <f t="shared" si="2"/>
        <v>0</v>
      </c>
    </row>
    <row r="18" spans="1:19" x14ac:dyDescent="0.25">
      <c r="A18" s="13" t="s">
        <v>78</v>
      </c>
      <c r="B18" s="22" t="s">
        <v>277</v>
      </c>
      <c r="C18" s="32">
        <v>45581</v>
      </c>
      <c r="D18" s="32">
        <v>45652</v>
      </c>
      <c r="E18" s="13" t="s">
        <v>223</v>
      </c>
      <c r="F18" s="13">
        <f t="shared" si="0"/>
        <v>71</v>
      </c>
      <c r="G18" s="32">
        <v>45652</v>
      </c>
      <c r="H18" s="17" t="s">
        <v>278</v>
      </c>
      <c r="I18" s="13" t="s">
        <v>279</v>
      </c>
      <c r="J18" s="13" t="s">
        <v>75</v>
      </c>
      <c r="K18">
        <f t="shared" si="2"/>
        <v>0</v>
      </c>
      <c r="L18">
        <f t="shared" si="2"/>
        <v>0</v>
      </c>
      <c r="M18">
        <f t="shared" si="2"/>
        <v>0</v>
      </c>
      <c r="N18">
        <f t="shared" si="2"/>
        <v>0</v>
      </c>
      <c r="O18">
        <f t="shared" si="2"/>
        <v>0</v>
      </c>
      <c r="P18">
        <f t="shared" si="2"/>
        <v>0</v>
      </c>
      <c r="Q18">
        <f t="shared" si="2"/>
        <v>0</v>
      </c>
      <c r="R18">
        <f t="shared" si="2"/>
        <v>0</v>
      </c>
      <c r="S18">
        <f t="shared" si="2"/>
        <v>0</v>
      </c>
    </row>
    <row r="19" spans="1:19" x14ac:dyDescent="0.25">
      <c r="A19" s="13" t="s">
        <v>77</v>
      </c>
      <c r="B19" s="13" t="s">
        <v>282</v>
      </c>
      <c r="C19" s="32">
        <v>45643</v>
      </c>
      <c r="D19" s="32">
        <v>45659</v>
      </c>
      <c r="E19" s="13" t="s">
        <v>223</v>
      </c>
      <c r="F19" s="13">
        <f t="shared" si="0"/>
        <v>16</v>
      </c>
      <c r="G19" s="32">
        <v>45660</v>
      </c>
      <c r="H19" s="17" t="s">
        <v>283</v>
      </c>
      <c r="I19" s="33" t="s">
        <v>16</v>
      </c>
      <c r="J19" s="13" t="s">
        <v>75</v>
      </c>
      <c r="K19">
        <f t="shared" si="2"/>
        <v>1</v>
      </c>
      <c r="L19">
        <f t="shared" si="2"/>
        <v>0</v>
      </c>
      <c r="M19">
        <f t="shared" si="2"/>
        <v>0</v>
      </c>
      <c r="N19">
        <f t="shared" si="2"/>
        <v>0</v>
      </c>
      <c r="O19">
        <f t="shared" si="2"/>
        <v>0</v>
      </c>
      <c r="P19">
        <f t="shared" si="2"/>
        <v>0</v>
      </c>
      <c r="Q19">
        <f t="shared" si="2"/>
        <v>0</v>
      </c>
      <c r="R19">
        <f t="shared" si="2"/>
        <v>0</v>
      </c>
      <c r="S19">
        <f t="shared" si="2"/>
        <v>0</v>
      </c>
    </row>
    <row r="20" spans="1:19" ht="30" x14ac:dyDescent="0.25">
      <c r="A20" s="13" t="s">
        <v>77</v>
      </c>
      <c r="B20" s="22" t="s">
        <v>285</v>
      </c>
      <c r="C20" s="31">
        <v>45633</v>
      </c>
      <c r="D20" s="32">
        <v>45665</v>
      </c>
      <c r="E20" s="13" t="s">
        <v>242</v>
      </c>
      <c r="F20" s="13">
        <f t="shared" si="0"/>
        <v>32</v>
      </c>
      <c r="G20" s="32">
        <v>45660</v>
      </c>
      <c r="H20" s="17" t="s">
        <v>286</v>
      </c>
      <c r="I20" s="33" t="s">
        <v>16</v>
      </c>
      <c r="J20" s="13" t="s">
        <v>75</v>
      </c>
      <c r="K20">
        <f t="shared" si="2"/>
        <v>1</v>
      </c>
      <c r="L20">
        <f t="shared" si="2"/>
        <v>0</v>
      </c>
      <c r="M20">
        <f t="shared" si="2"/>
        <v>0</v>
      </c>
      <c r="N20">
        <f t="shared" si="2"/>
        <v>0</v>
      </c>
      <c r="O20">
        <f t="shared" si="2"/>
        <v>0</v>
      </c>
      <c r="P20">
        <f t="shared" si="2"/>
        <v>0</v>
      </c>
      <c r="Q20">
        <f t="shared" si="2"/>
        <v>0</v>
      </c>
      <c r="R20">
        <f t="shared" si="2"/>
        <v>0</v>
      </c>
      <c r="S20">
        <f t="shared" si="2"/>
        <v>0</v>
      </c>
    </row>
    <row r="21" spans="1:19" ht="30" x14ac:dyDescent="0.25">
      <c r="A21" s="13" t="s">
        <v>77</v>
      </c>
      <c r="B21" s="13" t="s">
        <v>288</v>
      </c>
      <c r="C21" s="32">
        <v>45652</v>
      </c>
      <c r="D21" s="32">
        <v>45665</v>
      </c>
      <c r="E21" s="13" t="s">
        <v>223</v>
      </c>
      <c r="F21" s="13">
        <f t="shared" si="0"/>
        <v>13</v>
      </c>
      <c r="G21" s="32"/>
      <c r="H21" s="17" t="s">
        <v>289</v>
      </c>
      <c r="I21" s="33" t="s">
        <v>19</v>
      </c>
      <c r="J21" s="33" t="s">
        <v>75</v>
      </c>
      <c r="K21">
        <f t="shared" si="2"/>
        <v>1</v>
      </c>
      <c r="L21">
        <f t="shared" si="2"/>
        <v>0</v>
      </c>
      <c r="M21">
        <f t="shared" si="2"/>
        <v>0</v>
      </c>
      <c r="N21">
        <f t="shared" si="2"/>
        <v>0</v>
      </c>
      <c r="O21">
        <f t="shared" si="2"/>
        <v>0</v>
      </c>
      <c r="P21">
        <f t="shared" si="2"/>
        <v>0</v>
      </c>
      <c r="Q21">
        <f t="shared" si="2"/>
        <v>0</v>
      </c>
      <c r="R21">
        <f t="shared" si="2"/>
        <v>0</v>
      </c>
      <c r="S21">
        <f t="shared" si="2"/>
        <v>0</v>
      </c>
    </row>
    <row r="22" spans="1:19" x14ac:dyDescent="0.25">
      <c r="A22" s="13" t="s">
        <v>78</v>
      </c>
      <c r="B22" s="13" t="s">
        <v>291</v>
      </c>
      <c r="C22" s="32">
        <v>45659</v>
      </c>
      <c r="D22" s="32">
        <v>45666</v>
      </c>
      <c r="E22" s="13" t="s">
        <v>223</v>
      </c>
      <c r="F22" s="13">
        <f t="shared" si="0"/>
        <v>7</v>
      </c>
      <c r="G22" s="13"/>
      <c r="H22" s="17" t="s">
        <v>292</v>
      </c>
      <c r="I22" s="35" t="s">
        <v>25</v>
      </c>
      <c r="J22" s="35" t="s">
        <v>75</v>
      </c>
      <c r="K22">
        <f t="shared" si="2"/>
        <v>1</v>
      </c>
      <c r="L22">
        <f t="shared" si="2"/>
        <v>0</v>
      </c>
      <c r="M22">
        <f t="shared" si="2"/>
        <v>0</v>
      </c>
      <c r="N22">
        <f t="shared" si="2"/>
        <v>0</v>
      </c>
      <c r="O22">
        <f t="shared" si="2"/>
        <v>0</v>
      </c>
      <c r="P22">
        <f t="shared" si="2"/>
        <v>0</v>
      </c>
      <c r="Q22">
        <f t="shared" si="2"/>
        <v>0</v>
      </c>
      <c r="R22">
        <f t="shared" si="2"/>
        <v>0</v>
      </c>
      <c r="S22">
        <f t="shared" si="2"/>
        <v>0</v>
      </c>
    </row>
    <row r="23" spans="1:19" x14ac:dyDescent="0.25">
      <c r="A23" s="13" t="s">
        <v>79</v>
      </c>
      <c r="B23" s="13" t="s">
        <v>294</v>
      </c>
      <c r="C23" s="32">
        <v>45678</v>
      </c>
      <c r="D23" s="32">
        <v>45685</v>
      </c>
      <c r="E23" s="13" t="s">
        <v>223</v>
      </c>
      <c r="F23" s="13">
        <f t="shared" si="0"/>
        <v>7</v>
      </c>
      <c r="G23" s="13"/>
      <c r="H23" s="17" t="s">
        <v>295</v>
      </c>
      <c r="I23" s="35" t="s">
        <v>16</v>
      </c>
      <c r="J23" s="35" t="s">
        <v>75</v>
      </c>
      <c r="K23">
        <f t="shared" ref="K23:S32" si="3">IF(AND($C23&lt;=EOMONTH(K$2,0),$D23&gt;=K$2),1,IF(AND($E23="Parada",EOMONTH(K$2,0)&gt;=$C23),1,0))</f>
        <v>1</v>
      </c>
      <c r="L23">
        <f t="shared" si="3"/>
        <v>0</v>
      </c>
      <c r="M23">
        <f t="shared" si="3"/>
        <v>0</v>
      </c>
      <c r="N23">
        <f t="shared" si="3"/>
        <v>0</v>
      </c>
      <c r="O23">
        <f t="shared" si="3"/>
        <v>0</v>
      </c>
      <c r="P23">
        <f t="shared" si="3"/>
        <v>0</v>
      </c>
      <c r="Q23">
        <f t="shared" si="3"/>
        <v>0</v>
      </c>
      <c r="R23">
        <f t="shared" si="3"/>
        <v>0</v>
      </c>
      <c r="S23">
        <f t="shared" si="3"/>
        <v>0</v>
      </c>
    </row>
    <row r="24" spans="1:19" x14ac:dyDescent="0.25">
      <c r="A24" s="13" t="s">
        <v>77</v>
      </c>
      <c r="B24" s="13" t="s">
        <v>297</v>
      </c>
      <c r="C24" s="32">
        <v>45664</v>
      </c>
      <c r="D24" s="32">
        <v>45687</v>
      </c>
      <c r="E24" s="13" t="s">
        <v>223</v>
      </c>
      <c r="F24" s="13">
        <f t="shared" si="0"/>
        <v>23</v>
      </c>
      <c r="G24" s="13"/>
      <c r="H24" s="17" t="s">
        <v>298</v>
      </c>
      <c r="I24" s="35" t="s">
        <v>19</v>
      </c>
      <c r="J24" s="35" t="s">
        <v>74</v>
      </c>
      <c r="K24">
        <f t="shared" si="3"/>
        <v>1</v>
      </c>
      <c r="L24">
        <f t="shared" si="3"/>
        <v>0</v>
      </c>
      <c r="M24">
        <f t="shared" si="3"/>
        <v>0</v>
      </c>
      <c r="N24">
        <f t="shared" si="3"/>
        <v>0</v>
      </c>
      <c r="O24">
        <f t="shared" si="3"/>
        <v>0</v>
      </c>
      <c r="P24">
        <f t="shared" si="3"/>
        <v>0</v>
      </c>
      <c r="Q24">
        <f t="shared" si="3"/>
        <v>0</v>
      </c>
      <c r="R24">
        <f t="shared" si="3"/>
        <v>0</v>
      </c>
      <c r="S24">
        <f t="shared" si="3"/>
        <v>0</v>
      </c>
    </row>
    <row r="25" spans="1:19" x14ac:dyDescent="0.25">
      <c r="A25" s="13" t="s">
        <v>77</v>
      </c>
      <c r="B25" s="22" t="s">
        <v>300</v>
      </c>
      <c r="C25" s="31">
        <v>45618</v>
      </c>
      <c r="D25" s="31">
        <v>45693</v>
      </c>
      <c r="E25" s="13" t="s">
        <v>223</v>
      </c>
      <c r="F25" s="13">
        <f t="shared" si="0"/>
        <v>75</v>
      </c>
      <c r="G25" s="32"/>
      <c r="H25" s="17" t="s">
        <v>301</v>
      </c>
      <c r="I25" s="33" t="s">
        <v>27</v>
      </c>
      <c r="J25" s="33" t="s">
        <v>74</v>
      </c>
      <c r="K25">
        <f t="shared" si="3"/>
        <v>1</v>
      </c>
      <c r="L25">
        <f t="shared" si="3"/>
        <v>1</v>
      </c>
      <c r="M25">
        <f t="shared" si="3"/>
        <v>0</v>
      </c>
      <c r="N25">
        <f t="shared" si="3"/>
        <v>0</v>
      </c>
      <c r="O25">
        <f t="shared" si="3"/>
        <v>0</v>
      </c>
      <c r="P25">
        <f t="shared" si="3"/>
        <v>0</v>
      </c>
      <c r="Q25">
        <f t="shared" si="3"/>
        <v>0</v>
      </c>
      <c r="R25">
        <f t="shared" si="3"/>
        <v>0</v>
      </c>
      <c r="S25">
        <f t="shared" si="3"/>
        <v>0</v>
      </c>
    </row>
    <row r="26" spans="1:19" x14ac:dyDescent="0.25">
      <c r="A26" s="13" t="s">
        <v>44</v>
      </c>
      <c r="B26" s="13" t="s">
        <v>303</v>
      </c>
      <c r="C26" s="32">
        <v>45672</v>
      </c>
      <c r="D26" s="32">
        <v>45700</v>
      </c>
      <c r="E26" s="13" t="s">
        <v>223</v>
      </c>
      <c r="F26" s="13">
        <f t="shared" si="0"/>
        <v>28</v>
      </c>
      <c r="G26" s="32">
        <v>45708</v>
      </c>
      <c r="H26" s="17" t="s">
        <v>304</v>
      </c>
      <c r="I26" s="35" t="s">
        <v>21</v>
      </c>
      <c r="J26" s="35" t="s">
        <v>75</v>
      </c>
      <c r="K26">
        <f t="shared" si="3"/>
        <v>1</v>
      </c>
      <c r="L26">
        <f t="shared" si="3"/>
        <v>1</v>
      </c>
      <c r="M26">
        <f t="shared" si="3"/>
        <v>0</v>
      </c>
      <c r="N26">
        <f t="shared" si="3"/>
        <v>0</v>
      </c>
      <c r="O26">
        <f t="shared" si="3"/>
        <v>0</v>
      </c>
      <c r="P26">
        <f t="shared" si="3"/>
        <v>0</v>
      </c>
      <c r="Q26">
        <f t="shared" si="3"/>
        <v>0</v>
      </c>
      <c r="R26">
        <f t="shared" si="3"/>
        <v>0</v>
      </c>
      <c r="S26">
        <f t="shared" si="3"/>
        <v>0</v>
      </c>
    </row>
    <row r="27" spans="1:19" x14ac:dyDescent="0.25">
      <c r="A27" s="13" t="s">
        <v>77</v>
      </c>
      <c r="B27" s="13" t="s">
        <v>306</v>
      </c>
      <c r="C27" s="32">
        <v>45630</v>
      </c>
      <c r="D27" s="32">
        <v>45701</v>
      </c>
      <c r="E27" s="13" t="s">
        <v>223</v>
      </c>
      <c r="F27" s="13">
        <f t="shared" si="0"/>
        <v>71</v>
      </c>
      <c r="G27" s="13"/>
      <c r="H27" s="17" t="s">
        <v>307</v>
      </c>
      <c r="I27" s="35" t="s">
        <v>25</v>
      </c>
      <c r="J27" s="35" t="s">
        <v>75</v>
      </c>
      <c r="K27">
        <f t="shared" si="3"/>
        <v>1</v>
      </c>
      <c r="L27">
        <f t="shared" si="3"/>
        <v>1</v>
      </c>
      <c r="M27">
        <f t="shared" si="3"/>
        <v>0</v>
      </c>
      <c r="N27">
        <f t="shared" si="3"/>
        <v>0</v>
      </c>
      <c r="O27">
        <f t="shared" si="3"/>
        <v>0</v>
      </c>
      <c r="P27">
        <f t="shared" si="3"/>
        <v>0</v>
      </c>
      <c r="Q27">
        <f t="shared" si="3"/>
        <v>0</v>
      </c>
      <c r="R27">
        <f t="shared" si="3"/>
        <v>0</v>
      </c>
      <c r="S27">
        <f t="shared" si="3"/>
        <v>0</v>
      </c>
    </row>
    <row r="28" spans="1:19" x14ac:dyDescent="0.25">
      <c r="A28" s="13" t="s">
        <v>77</v>
      </c>
      <c r="B28" s="22" t="s">
        <v>309</v>
      </c>
      <c r="C28" s="31">
        <v>45626</v>
      </c>
      <c r="D28" s="32">
        <v>45702</v>
      </c>
      <c r="E28" s="13" t="s">
        <v>223</v>
      </c>
      <c r="F28" s="13">
        <f t="shared" si="0"/>
        <v>76</v>
      </c>
      <c r="G28" s="32"/>
      <c r="H28" s="17" t="s">
        <v>301</v>
      </c>
      <c r="I28" s="33" t="s">
        <v>27</v>
      </c>
      <c r="J28" s="33" t="s">
        <v>74</v>
      </c>
      <c r="K28">
        <f t="shared" si="3"/>
        <v>1</v>
      </c>
      <c r="L28">
        <f t="shared" si="3"/>
        <v>1</v>
      </c>
      <c r="M28">
        <f t="shared" si="3"/>
        <v>0</v>
      </c>
      <c r="N28">
        <f t="shared" si="3"/>
        <v>0</v>
      </c>
      <c r="O28">
        <f t="shared" si="3"/>
        <v>0</v>
      </c>
      <c r="P28">
        <f t="shared" si="3"/>
        <v>0</v>
      </c>
      <c r="Q28">
        <f t="shared" si="3"/>
        <v>0</v>
      </c>
      <c r="R28">
        <f t="shared" si="3"/>
        <v>0</v>
      </c>
      <c r="S28">
        <f t="shared" si="3"/>
        <v>0</v>
      </c>
    </row>
    <row r="29" spans="1:19" ht="30" x14ac:dyDescent="0.25">
      <c r="A29" s="13" t="s">
        <v>77</v>
      </c>
      <c r="B29" s="22" t="s">
        <v>311</v>
      </c>
      <c r="C29" s="31">
        <v>45566</v>
      </c>
      <c r="D29" s="32">
        <v>45708</v>
      </c>
      <c r="E29" s="13" t="s">
        <v>223</v>
      </c>
      <c r="F29" s="13">
        <f t="shared" si="0"/>
        <v>142</v>
      </c>
      <c r="G29" s="32"/>
      <c r="H29" s="17" t="s">
        <v>312</v>
      </c>
      <c r="I29" s="13" t="s">
        <v>19</v>
      </c>
      <c r="J29" s="13" t="s">
        <v>74</v>
      </c>
      <c r="K29">
        <f t="shared" si="3"/>
        <v>1</v>
      </c>
      <c r="L29">
        <f t="shared" si="3"/>
        <v>1</v>
      </c>
      <c r="M29">
        <f t="shared" si="3"/>
        <v>0</v>
      </c>
      <c r="N29">
        <f t="shared" si="3"/>
        <v>0</v>
      </c>
      <c r="O29">
        <f t="shared" si="3"/>
        <v>0</v>
      </c>
      <c r="P29">
        <f t="shared" si="3"/>
        <v>0</v>
      </c>
      <c r="Q29">
        <f t="shared" si="3"/>
        <v>0</v>
      </c>
      <c r="R29">
        <f t="shared" si="3"/>
        <v>0</v>
      </c>
      <c r="S29">
        <f t="shared" si="3"/>
        <v>0</v>
      </c>
    </row>
    <row r="30" spans="1:19" x14ac:dyDescent="0.25">
      <c r="A30" s="13" t="s">
        <v>77</v>
      </c>
      <c r="B30" s="13" t="s">
        <v>314</v>
      </c>
      <c r="C30" s="32">
        <v>45660</v>
      </c>
      <c r="D30" s="32">
        <v>45708</v>
      </c>
      <c r="E30" s="13" t="s">
        <v>223</v>
      </c>
      <c r="F30" s="13">
        <f t="shared" si="0"/>
        <v>48</v>
      </c>
      <c r="G30" s="13"/>
      <c r="H30" s="17" t="s">
        <v>315</v>
      </c>
      <c r="I30" s="35" t="s">
        <v>27</v>
      </c>
      <c r="J30" s="35" t="s">
        <v>74</v>
      </c>
      <c r="K30">
        <f t="shared" si="3"/>
        <v>1</v>
      </c>
      <c r="L30">
        <f t="shared" si="3"/>
        <v>1</v>
      </c>
      <c r="M30">
        <f t="shared" si="3"/>
        <v>0</v>
      </c>
      <c r="N30">
        <f t="shared" si="3"/>
        <v>0</v>
      </c>
      <c r="O30">
        <f t="shared" si="3"/>
        <v>0</v>
      </c>
      <c r="P30">
        <f t="shared" si="3"/>
        <v>0</v>
      </c>
      <c r="Q30">
        <f t="shared" si="3"/>
        <v>0</v>
      </c>
      <c r="R30">
        <f t="shared" si="3"/>
        <v>0</v>
      </c>
      <c r="S30">
        <f t="shared" si="3"/>
        <v>0</v>
      </c>
    </row>
    <row r="31" spans="1:19" x14ac:dyDescent="0.25">
      <c r="A31" s="13" t="s">
        <v>77</v>
      </c>
      <c r="B31" s="22" t="s">
        <v>317</v>
      </c>
      <c r="C31" s="32">
        <v>45566</v>
      </c>
      <c r="D31" s="32">
        <v>45714</v>
      </c>
      <c r="E31" s="13" t="s">
        <v>223</v>
      </c>
      <c r="F31" s="13">
        <f t="shared" si="0"/>
        <v>148</v>
      </c>
      <c r="G31" s="32"/>
      <c r="H31" s="17" t="s">
        <v>318</v>
      </c>
      <c r="I31" s="13" t="s">
        <v>21</v>
      </c>
      <c r="J31" s="13" t="s">
        <v>74</v>
      </c>
      <c r="K31">
        <f t="shared" si="3"/>
        <v>1</v>
      </c>
      <c r="L31">
        <f t="shared" si="3"/>
        <v>1</v>
      </c>
      <c r="M31">
        <f t="shared" si="3"/>
        <v>0</v>
      </c>
      <c r="N31">
        <f t="shared" si="3"/>
        <v>0</v>
      </c>
      <c r="O31">
        <f t="shared" si="3"/>
        <v>0</v>
      </c>
      <c r="P31">
        <f t="shared" si="3"/>
        <v>0</v>
      </c>
      <c r="Q31">
        <f t="shared" si="3"/>
        <v>0</v>
      </c>
      <c r="R31">
        <f t="shared" si="3"/>
        <v>0</v>
      </c>
      <c r="S31">
        <f t="shared" si="3"/>
        <v>0</v>
      </c>
    </row>
    <row r="32" spans="1:19" x14ac:dyDescent="0.25">
      <c r="A32" s="13" t="s">
        <v>77</v>
      </c>
      <c r="B32" s="13" t="s">
        <v>320</v>
      </c>
      <c r="C32" s="32">
        <v>45710</v>
      </c>
      <c r="D32" s="32">
        <v>45716</v>
      </c>
      <c r="E32" s="13" t="s">
        <v>223</v>
      </c>
      <c r="F32" s="13">
        <f t="shared" si="0"/>
        <v>6</v>
      </c>
      <c r="G32" s="13"/>
      <c r="H32" s="17" t="s">
        <v>321</v>
      </c>
      <c r="I32" s="13" t="s">
        <v>27</v>
      </c>
      <c r="J32" s="13" t="s">
        <v>75</v>
      </c>
      <c r="K32">
        <f t="shared" si="3"/>
        <v>0</v>
      </c>
      <c r="L32">
        <f t="shared" si="3"/>
        <v>1</v>
      </c>
      <c r="M32">
        <f t="shared" si="3"/>
        <v>0</v>
      </c>
      <c r="N32">
        <f t="shared" si="3"/>
        <v>0</v>
      </c>
      <c r="O32">
        <f t="shared" si="3"/>
        <v>0</v>
      </c>
      <c r="P32">
        <f t="shared" si="3"/>
        <v>0</v>
      </c>
      <c r="Q32">
        <f t="shared" si="3"/>
        <v>0</v>
      </c>
      <c r="R32">
        <f t="shared" si="3"/>
        <v>0</v>
      </c>
      <c r="S32">
        <f t="shared" si="3"/>
        <v>0</v>
      </c>
    </row>
    <row r="33" spans="1:19" x14ac:dyDescent="0.25">
      <c r="A33" s="13" t="s">
        <v>79</v>
      </c>
      <c r="B33" s="13" t="s">
        <v>323</v>
      </c>
      <c r="C33" s="32">
        <v>45714</v>
      </c>
      <c r="D33" s="32">
        <v>45717</v>
      </c>
      <c r="E33" s="13" t="s">
        <v>223</v>
      </c>
      <c r="F33" s="13">
        <f t="shared" si="0"/>
        <v>3</v>
      </c>
      <c r="G33" s="13"/>
      <c r="H33" s="17" t="s">
        <v>321</v>
      </c>
      <c r="I33" s="13" t="s">
        <v>27</v>
      </c>
      <c r="J33" s="13" t="s">
        <v>75</v>
      </c>
      <c r="K33">
        <f t="shared" ref="K33:S42" si="4">IF(AND($C33&lt;=EOMONTH(K$2,0),$D33&gt;=K$2),1,IF(AND($E33="Parada",EOMONTH(K$2,0)&gt;=$C33),1,0))</f>
        <v>0</v>
      </c>
      <c r="L33">
        <f t="shared" si="4"/>
        <v>1</v>
      </c>
      <c r="M33">
        <f t="shared" si="4"/>
        <v>1</v>
      </c>
      <c r="N33">
        <f t="shared" si="4"/>
        <v>0</v>
      </c>
      <c r="O33">
        <f t="shared" si="4"/>
        <v>0</v>
      </c>
      <c r="P33">
        <f t="shared" si="4"/>
        <v>0</v>
      </c>
      <c r="Q33">
        <f t="shared" si="4"/>
        <v>0</v>
      </c>
      <c r="R33">
        <f t="shared" si="4"/>
        <v>0</v>
      </c>
      <c r="S33">
        <f t="shared" si="4"/>
        <v>0</v>
      </c>
    </row>
    <row r="34" spans="1:19" x14ac:dyDescent="0.25">
      <c r="A34" s="13" t="s">
        <v>77</v>
      </c>
      <c r="B34" s="13" t="s">
        <v>325</v>
      </c>
      <c r="C34" s="32">
        <v>45686</v>
      </c>
      <c r="D34" s="32">
        <v>45721</v>
      </c>
      <c r="E34" s="13" t="s">
        <v>223</v>
      </c>
      <c r="F34" s="13">
        <f t="shared" si="0"/>
        <v>35</v>
      </c>
      <c r="G34" s="13"/>
      <c r="H34" s="17" t="s">
        <v>326</v>
      </c>
      <c r="I34" s="35" t="s">
        <v>27</v>
      </c>
      <c r="J34" s="35" t="s">
        <v>74</v>
      </c>
      <c r="K34">
        <f t="shared" si="4"/>
        <v>1</v>
      </c>
      <c r="L34">
        <f t="shared" si="4"/>
        <v>1</v>
      </c>
      <c r="M34">
        <f t="shared" si="4"/>
        <v>1</v>
      </c>
      <c r="N34">
        <f t="shared" si="4"/>
        <v>0</v>
      </c>
      <c r="O34">
        <f t="shared" si="4"/>
        <v>0</v>
      </c>
      <c r="P34">
        <f t="shared" si="4"/>
        <v>0</v>
      </c>
      <c r="Q34">
        <f t="shared" si="4"/>
        <v>0</v>
      </c>
      <c r="R34">
        <f t="shared" si="4"/>
        <v>0</v>
      </c>
      <c r="S34">
        <f t="shared" si="4"/>
        <v>0</v>
      </c>
    </row>
    <row r="35" spans="1:19" x14ac:dyDescent="0.25">
      <c r="A35" s="13" t="s">
        <v>77</v>
      </c>
      <c r="B35" s="13" t="s">
        <v>300</v>
      </c>
      <c r="C35" s="32">
        <v>45714</v>
      </c>
      <c r="D35" s="32">
        <v>45722</v>
      </c>
      <c r="E35" s="13" t="s">
        <v>223</v>
      </c>
      <c r="F35" s="13">
        <f t="shared" ref="F35:F66" si="5">D35-C35</f>
        <v>8</v>
      </c>
      <c r="G35" s="13"/>
      <c r="H35" s="17" t="s">
        <v>328</v>
      </c>
      <c r="I35" s="13" t="s">
        <v>329</v>
      </c>
      <c r="J35" s="13" t="s">
        <v>75</v>
      </c>
      <c r="K35">
        <f t="shared" si="4"/>
        <v>0</v>
      </c>
      <c r="L35">
        <f t="shared" si="4"/>
        <v>1</v>
      </c>
      <c r="M35">
        <f t="shared" si="4"/>
        <v>1</v>
      </c>
      <c r="N35">
        <f t="shared" si="4"/>
        <v>0</v>
      </c>
      <c r="O35">
        <f t="shared" si="4"/>
        <v>0</v>
      </c>
      <c r="P35">
        <f t="shared" si="4"/>
        <v>0</v>
      </c>
      <c r="Q35">
        <f t="shared" si="4"/>
        <v>0</v>
      </c>
      <c r="R35">
        <f t="shared" si="4"/>
        <v>0</v>
      </c>
      <c r="S35">
        <f t="shared" si="4"/>
        <v>0</v>
      </c>
    </row>
    <row r="36" spans="1:19" ht="30" x14ac:dyDescent="0.25">
      <c r="A36" s="13" t="s">
        <v>78</v>
      </c>
      <c r="B36" s="13" t="s">
        <v>331</v>
      </c>
      <c r="C36" s="32">
        <v>45708</v>
      </c>
      <c r="D36" s="32">
        <v>45727</v>
      </c>
      <c r="E36" s="13" t="s">
        <v>223</v>
      </c>
      <c r="F36" s="13">
        <f t="shared" si="5"/>
        <v>19</v>
      </c>
      <c r="G36" s="13"/>
      <c r="H36" s="17" t="s">
        <v>332</v>
      </c>
      <c r="I36" s="13" t="s">
        <v>19</v>
      </c>
      <c r="J36" s="13" t="s">
        <v>74</v>
      </c>
      <c r="K36">
        <f t="shared" si="4"/>
        <v>0</v>
      </c>
      <c r="L36">
        <f t="shared" si="4"/>
        <v>1</v>
      </c>
      <c r="M36">
        <f t="shared" si="4"/>
        <v>1</v>
      </c>
      <c r="N36">
        <f t="shared" si="4"/>
        <v>0</v>
      </c>
      <c r="O36">
        <f t="shared" si="4"/>
        <v>0</v>
      </c>
      <c r="P36">
        <f t="shared" si="4"/>
        <v>0</v>
      </c>
      <c r="Q36">
        <f t="shared" si="4"/>
        <v>0</v>
      </c>
      <c r="R36">
        <f t="shared" si="4"/>
        <v>0</v>
      </c>
      <c r="S36">
        <f t="shared" si="4"/>
        <v>0</v>
      </c>
    </row>
    <row r="37" spans="1:19" x14ac:dyDescent="0.25">
      <c r="A37" s="13" t="s">
        <v>77</v>
      </c>
      <c r="B37" s="22" t="s">
        <v>334</v>
      </c>
      <c r="C37" s="32">
        <v>45612</v>
      </c>
      <c r="D37" s="32">
        <v>45734</v>
      </c>
      <c r="E37" s="13" t="s">
        <v>223</v>
      </c>
      <c r="F37" s="13">
        <f t="shared" si="5"/>
        <v>122</v>
      </c>
      <c r="G37" s="32">
        <v>45752</v>
      </c>
      <c r="H37" s="17" t="s">
        <v>315</v>
      </c>
      <c r="I37" s="33" t="s">
        <v>27</v>
      </c>
      <c r="J37" s="33" t="s">
        <v>74</v>
      </c>
      <c r="K37">
        <f t="shared" si="4"/>
        <v>1</v>
      </c>
      <c r="L37">
        <f t="shared" si="4"/>
        <v>1</v>
      </c>
      <c r="M37">
        <f t="shared" si="4"/>
        <v>1</v>
      </c>
      <c r="N37">
        <f t="shared" si="4"/>
        <v>0</v>
      </c>
      <c r="O37">
        <f t="shared" si="4"/>
        <v>0</v>
      </c>
      <c r="P37">
        <f t="shared" si="4"/>
        <v>0</v>
      </c>
      <c r="Q37">
        <f t="shared" si="4"/>
        <v>0</v>
      </c>
      <c r="R37">
        <f t="shared" si="4"/>
        <v>0</v>
      </c>
      <c r="S37">
        <f t="shared" si="4"/>
        <v>0</v>
      </c>
    </row>
    <row r="38" spans="1:19" x14ac:dyDescent="0.25">
      <c r="A38" s="13" t="s">
        <v>77</v>
      </c>
      <c r="B38" s="13" t="s">
        <v>338</v>
      </c>
      <c r="C38" s="32">
        <v>45721</v>
      </c>
      <c r="D38" s="32">
        <v>45737</v>
      </c>
      <c r="E38" s="13" t="s">
        <v>223</v>
      </c>
      <c r="F38" s="13">
        <f t="shared" si="5"/>
        <v>16</v>
      </c>
      <c r="G38" s="32">
        <v>45737</v>
      </c>
      <c r="H38" s="17" t="s">
        <v>339</v>
      </c>
      <c r="I38" s="13" t="s">
        <v>27</v>
      </c>
      <c r="J38" s="13" t="s">
        <v>74</v>
      </c>
      <c r="K38">
        <f t="shared" si="4"/>
        <v>0</v>
      </c>
      <c r="L38">
        <f t="shared" si="4"/>
        <v>0</v>
      </c>
      <c r="M38">
        <f t="shared" si="4"/>
        <v>1</v>
      </c>
      <c r="N38">
        <f t="shared" si="4"/>
        <v>0</v>
      </c>
      <c r="O38">
        <f t="shared" si="4"/>
        <v>0</v>
      </c>
      <c r="P38">
        <f t="shared" si="4"/>
        <v>0</v>
      </c>
      <c r="Q38">
        <f t="shared" si="4"/>
        <v>0</v>
      </c>
      <c r="R38">
        <f t="shared" si="4"/>
        <v>0</v>
      </c>
      <c r="S38">
        <f t="shared" si="4"/>
        <v>0</v>
      </c>
    </row>
    <row r="39" spans="1:19" x14ac:dyDescent="0.25">
      <c r="A39" s="13" t="s">
        <v>78</v>
      </c>
      <c r="B39" s="13" t="s">
        <v>341</v>
      </c>
      <c r="C39" s="32">
        <v>45728</v>
      </c>
      <c r="D39" s="32">
        <v>45741</v>
      </c>
      <c r="E39" s="13" t="s">
        <v>223</v>
      </c>
      <c r="F39" s="13">
        <f t="shared" si="5"/>
        <v>13</v>
      </c>
      <c r="G39" s="13" t="s">
        <v>342</v>
      </c>
      <c r="H39" s="17" t="s">
        <v>343</v>
      </c>
      <c r="I39" s="13" t="s">
        <v>19</v>
      </c>
      <c r="J39" s="13" t="s">
        <v>74</v>
      </c>
      <c r="K39">
        <f t="shared" si="4"/>
        <v>0</v>
      </c>
      <c r="L39">
        <f t="shared" si="4"/>
        <v>0</v>
      </c>
      <c r="M39">
        <f t="shared" si="4"/>
        <v>1</v>
      </c>
      <c r="N39">
        <f t="shared" si="4"/>
        <v>0</v>
      </c>
      <c r="O39">
        <f t="shared" si="4"/>
        <v>0</v>
      </c>
      <c r="P39">
        <f t="shared" si="4"/>
        <v>0</v>
      </c>
      <c r="Q39">
        <f t="shared" si="4"/>
        <v>0</v>
      </c>
      <c r="R39">
        <f t="shared" si="4"/>
        <v>0</v>
      </c>
      <c r="S39">
        <f t="shared" si="4"/>
        <v>0</v>
      </c>
    </row>
    <row r="40" spans="1:19" x14ac:dyDescent="0.25">
      <c r="A40" s="13" t="s">
        <v>77</v>
      </c>
      <c r="B40" s="13" t="s">
        <v>345</v>
      </c>
      <c r="C40" s="32">
        <v>45698</v>
      </c>
      <c r="D40" s="32">
        <v>45743</v>
      </c>
      <c r="E40" s="13" t="s">
        <v>223</v>
      </c>
      <c r="F40" s="13">
        <f t="shared" si="5"/>
        <v>45</v>
      </c>
      <c r="G40" s="13"/>
      <c r="H40" s="17" t="s">
        <v>346</v>
      </c>
      <c r="I40" s="13" t="s">
        <v>27</v>
      </c>
      <c r="J40" s="35" t="s">
        <v>75</v>
      </c>
      <c r="K40">
        <f t="shared" si="4"/>
        <v>0</v>
      </c>
      <c r="L40">
        <f t="shared" si="4"/>
        <v>1</v>
      </c>
      <c r="M40">
        <f t="shared" si="4"/>
        <v>1</v>
      </c>
      <c r="N40">
        <f t="shared" si="4"/>
        <v>0</v>
      </c>
      <c r="O40">
        <f t="shared" si="4"/>
        <v>0</v>
      </c>
      <c r="P40">
        <f t="shared" si="4"/>
        <v>0</v>
      </c>
      <c r="Q40">
        <f t="shared" si="4"/>
        <v>0</v>
      </c>
      <c r="R40">
        <f t="shared" si="4"/>
        <v>0</v>
      </c>
      <c r="S40">
        <f t="shared" si="4"/>
        <v>0</v>
      </c>
    </row>
    <row r="41" spans="1:19" x14ac:dyDescent="0.25">
      <c r="A41" s="13" t="s">
        <v>77</v>
      </c>
      <c r="B41" s="13" t="s">
        <v>348</v>
      </c>
      <c r="C41" s="32">
        <v>45723</v>
      </c>
      <c r="D41" s="32">
        <v>45747</v>
      </c>
      <c r="E41" s="13" t="s">
        <v>223</v>
      </c>
      <c r="F41" s="13">
        <f t="shared" si="5"/>
        <v>24</v>
      </c>
      <c r="G41" s="13" t="s">
        <v>342</v>
      </c>
      <c r="H41" s="17" t="s">
        <v>349</v>
      </c>
      <c r="I41" s="13" t="s">
        <v>27</v>
      </c>
      <c r="J41" s="13" t="s">
        <v>74</v>
      </c>
      <c r="K41">
        <f t="shared" si="4"/>
        <v>0</v>
      </c>
      <c r="L41">
        <f t="shared" si="4"/>
        <v>0</v>
      </c>
      <c r="M41">
        <f t="shared" si="4"/>
        <v>1</v>
      </c>
      <c r="N41">
        <f t="shared" si="4"/>
        <v>0</v>
      </c>
      <c r="O41">
        <f t="shared" si="4"/>
        <v>0</v>
      </c>
      <c r="P41">
        <f t="shared" si="4"/>
        <v>0</v>
      </c>
      <c r="Q41">
        <f t="shared" si="4"/>
        <v>0</v>
      </c>
      <c r="R41">
        <f t="shared" si="4"/>
        <v>0</v>
      </c>
      <c r="S41">
        <f t="shared" si="4"/>
        <v>0</v>
      </c>
    </row>
    <row r="42" spans="1:19" x14ac:dyDescent="0.25">
      <c r="A42" s="13" t="s">
        <v>78</v>
      </c>
      <c r="B42" s="13" t="s">
        <v>291</v>
      </c>
      <c r="C42" s="32">
        <v>45734</v>
      </c>
      <c r="D42" s="32">
        <v>45748</v>
      </c>
      <c r="E42" s="13" t="s">
        <v>223</v>
      </c>
      <c r="F42" s="13">
        <f t="shared" si="5"/>
        <v>14</v>
      </c>
      <c r="G42" s="13" t="s">
        <v>342</v>
      </c>
      <c r="H42" s="17" t="s">
        <v>343</v>
      </c>
      <c r="I42" s="13" t="s">
        <v>19</v>
      </c>
      <c r="J42" s="13" t="s">
        <v>74</v>
      </c>
      <c r="K42">
        <f t="shared" si="4"/>
        <v>0</v>
      </c>
      <c r="L42">
        <f t="shared" si="4"/>
        <v>0</v>
      </c>
      <c r="M42">
        <f t="shared" si="4"/>
        <v>1</v>
      </c>
      <c r="N42">
        <f t="shared" si="4"/>
        <v>1</v>
      </c>
      <c r="O42">
        <f t="shared" si="4"/>
        <v>0</v>
      </c>
      <c r="P42">
        <f t="shared" si="4"/>
        <v>0</v>
      </c>
      <c r="Q42">
        <f t="shared" si="4"/>
        <v>0</v>
      </c>
      <c r="R42">
        <f t="shared" si="4"/>
        <v>0</v>
      </c>
      <c r="S42">
        <f t="shared" si="4"/>
        <v>0</v>
      </c>
    </row>
    <row r="43" spans="1:19" x14ac:dyDescent="0.25">
      <c r="A43" s="13" t="s">
        <v>78</v>
      </c>
      <c r="B43" s="13" t="s">
        <v>351</v>
      </c>
      <c r="C43" s="32">
        <v>45738</v>
      </c>
      <c r="D43" s="32">
        <v>45757</v>
      </c>
      <c r="E43" s="13" t="s">
        <v>223</v>
      </c>
      <c r="F43" s="13">
        <f t="shared" si="5"/>
        <v>19</v>
      </c>
      <c r="G43" s="32">
        <v>45757</v>
      </c>
      <c r="H43" s="17" t="s">
        <v>343</v>
      </c>
      <c r="I43" s="13" t="s">
        <v>19</v>
      </c>
      <c r="J43" s="13" t="s">
        <v>74</v>
      </c>
      <c r="K43">
        <f t="shared" ref="K43:S52" si="6">IF(AND($C43&lt;=EOMONTH(K$2,0),$D43&gt;=K$2),1,IF(AND($E43="Parada",EOMONTH(K$2,0)&gt;=$C43),1,0))</f>
        <v>0</v>
      </c>
      <c r="L43">
        <f t="shared" si="6"/>
        <v>0</v>
      </c>
      <c r="M43">
        <f t="shared" si="6"/>
        <v>1</v>
      </c>
      <c r="N43">
        <f t="shared" si="6"/>
        <v>1</v>
      </c>
      <c r="O43">
        <f t="shared" si="6"/>
        <v>0</v>
      </c>
      <c r="P43">
        <f t="shared" si="6"/>
        <v>0</v>
      </c>
      <c r="Q43">
        <f t="shared" si="6"/>
        <v>0</v>
      </c>
      <c r="R43">
        <f t="shared" si="6"/>
        <v>0</v>
      </c>
      <c r="S43">
        <f t="shared" si="6"/>
        <v>0</v>
      </c>
    </row>
    <row r="44" spans="1:19" x14ac:dyDescent="0.25">
      <c r="A44" s="13" t="s">
        <v>77</v>
      </c>
      <c r="B44" s="22" t="s">
        <v>297</v>
      </c>
      <c r="C44" s="31"/>
      <c r="D44" s="32"/>
      <c r="E44" s="13" t="s">
        <v>870</v>
      </c>
      <c r="F44" s="13">
        <f t="shared" si="5"/>
        <v>0</v>
      </c>
      <c r="G44" s="32"/>
      <c r="H44" s="17" t="s">
        <v>871</v>
      </c>
      <c r="I44" s="33" t="s">
        <v>19</v>
      </c>
      <c r="J44" s="33" t="s">
        <v>75</v>
      </c>
      <c r="K44">
        <f t="shared" si="6"/>
        <v>0</v>
      </c>
      <c r="L44">
        <f t="shared" si="6"/>
        <v>0</v>
      </c>
      <c r="M44">
        <f t="shared" si="6"/>
        <v>0</v>
      </c>
      <c r="N44">
        <f t="shared" si="6"/>
        <v>0</v>
      </c>
      <c r="O44">
        <f t="shared" si="6"/>
        <v>0</v>
      </c>
      <c r="P44">
        <f t="shared" si="6"/>
        <v>0</v>
      </c>
      <c r="Q44">
        <f t="shared" si="6"/>
        <v>0</v>
      </c>
      <c r="R44">
        <f t="shared" si="6"/>
        <v>0</v>
      </c>
      <c r="S44">
        <f t="shared" si="6"/>
        <v>0</v>
      </c>
    </row>
    <row r="45" spans="1:19" x14ac:dyDescent="0.25">
      <c r="A45" s="13" t="s">
        <v>79</v>
      </c>
      <c r="B45" s="22" t="s">
        <v>353</v>
      </c>
      <c r="C45" s="32">
        <v>45607</v>
      </c>
      <c r="D45" s="32">
        <v>45758</v>
      </c>
      <c r="E45" s="13" t="s">
        <v>223</v>
      </c>
      <c r="F45" s="13">
        <f t="shared" si="5"/>
        <v>151</v>
      </c>
      <c r="G45" s="32">
        <v>45755</v>
      </c>
      <c r="H45" s="17" t="s">
        <v>354</v>
      </c>
      <c r="I45" s="13" t="s">
        <v>27</v>
      </c>
      <c r="J45" s="13" t="s">
        <v>74</v>
      </c>
      <c r="K45">
        <f t="shared" si="6"/>
        <v>1</v>
      </c>
      <c r="L45">
        <f t="shared" si="6"/>
        <v>1</v>
      </c>
      <c r="M45">
        <f t="shared" si="6"/>
        <v>1</v>
      </c>
      <c r="N45">
        <f t="shared" si="6"/>
        <v>1</v>
      </c>
      <c r="O45">
        <f t="shared" si="6"/>
        <v>0</v>
      </c>
      <c r="P45">
        <f t="shared" si="6"/>
        <v>0</v>
      </c>
      <c r="Q45">
        <f t="shared" si="6"/>
        <v>0</v>
      </c>
      <c r="R45">
        <f t="shared" si="6"/>
        <v>0</v>
      </c>
      <c r="S45">
        <f t="shared" si="6"/>
        <v>0</v>
      </c>
    </row>
    <row r="46" spans="1:19" x14ac:dyDescent="0.25">
      <c r="A46" s="13" t="s">
        <v>77</v>
      </c>
      <c r="B46" s="13" t="s">
        <v>357</v>
      </c>
      <c r="C46" s="32">
        <v>45712</v>
      </c>
      <c r="D46" s="32">
        <v>45763</v>
      </c>
      <c r="E46" s="13" t="s">
        <v>223</v>
      </c>
      <c r="F46" s="13">
        <f t="shared" si="5"/>
        <v>51</v>
      </c>
      <c r="G46" s="32" t="s">
        <v>342</v>
      </c>
      <c r="H46" s="17" t="s">
        <v>358</v>
      </c>
      <c r="I46" s="13" t="s">
        <v>25</v>
      </c>
      <c r="J46" s="13" t="s">
        <v>74</v>
      </c>
      <c r="K46">
        <f t="shared" si="6"/>
        <v>0</v>
      </c>
      <c r="L46">
        <f t="shared" si="6"/>
        <v>1</v>
      </c>
      <c r="M46">
        <f t="shared" si="6"/>
        <v>1</v>
      </c>
      <c r="N46">
        <f t="shared" si="6"/>
        <v>1</v>
      </c>
      <c r="O46">
        <f t="shared" si="6"/>
        <v>0</v>
      </c>
      <c r="P46">
        <f t="shared" si="6"/>
        <v>0</v>
      </c>
      <c r="Q46">
        <f t="shared" si="6"/>
        <v>0</v>
      </c>
      <c r="R46">
        <f t="shared" si="6"/>
        <v>0</v>
      </c>
      <c r="S46">
        <f t="shared" si="6"/>
        <v>0</v>
      </c>
    </row>
    <row r="47" spans="1:19" ht="30" x14ac:dyDescent="0.25">
      <c r="A47" s="13" t="s">
        <v>44</v>
      </c>
      <c r="B47" s="22" t="s">
        <v>361</v>
      </c>
      <c r="C47" s="32">
        <v>45601</v>
      </c>
      <c r="D47" s="32">
        <v>45764</v>
      </c>
      <c r="E47" s="13" t="s">
        <v>223</v>
      </c>
      <c r="F47" s="13">
        <f t="shared" si="5"/>
        <v>163</v>
      </c>
      <c r="G47" s="33">
        <v>45762</v>
      </c>
      <c r="H47" s="17" t="s">
        <v>362</v>
      </c>
      <c r="I47" s="13" t="s">
        <v>16</v>
      </c>
      <c r="J47" s="13" t="s">
        <v>74</v>
      </c>
      <c r="K47">
        <f t="shared" si="6"/>
        <v>1</v>
      </c>
      <c r="L47">
        <f t="shared" si="6"/>
        <v>1</v>
      </c>
      <c r="M47">
        <f t="shared" si="6"/>
        <v>1</v>
      </c>
      <c r="N47">
        <f t="shared" si="6"/>
        <v>1</v>
      </c>
      <c r="O47">
        <f t="shared" si="6"/>
        <v>0</v>
      </c>
      <c r="P47">
        <f t="shared" si="6"/>
        <v>0</v>
      </c>
      <c r="Q47">
        <f t="shared" si="6"/>
        <v>0</v>
      </c>
      <c r="R47">
        <f t="shared" si="6"/>
        <v>0</v>
      </c>
      <c r="S47">
        <f t="shared" si="6"/>
        <v>0</v>
      </c>
    </row>
    <row r="48" spans="1:19" x14ac:dyDescent="0.25">
      <c r="A48" s="13" t="s">
        <v>77</v>
      </c>
      <c r="B48" s="13" t="s">
        <v>257</v>
      </c>
      <c r="C48" s="32">
        <v>45750</v>
      </c>
      <c r="D48" s="32">
        <v>45769</v>
      </c>
      <c r="E48" s="13" t="s">
        <v>223</v>
      </c>
      <c r="F48" s="13">
        <f t="shared" si="5"/>
        <v>19</v>
      </c>
      <c r="G48" s="32">
        <v>45770</v>
      </c>
      <c r="H48" s="17" t="s">
        <v>364</v>
      </c>
      <c r="I48" s="13" t="s">
        <v>16</v>
      </c>
      <c r="J48" s="13" t="s">
        <v>225</v>
      </c>
      <c r="K48">
        <f t="shared" si="6"/>
        <v>0</v>
      </c>
      <c r="L48">
        <f t="shared" si="6"/>
        <v>0</v>
      </c>
      <c r="M48">
        <f t="shared" si="6"/>
        <v>0</v>
      </c>
      <c r="N48">
        <f t="shared" si="6"/>
        <v>1</v>
      </c>
      <c r="O48">
        <f t="shared" si="6"/>
        <v>0</v>
      </c>
      <c r="P48">
        <f t="shared" si="6"/>
        <v>0</v>
      </c>
      <c r="Q48">
        <f t="shared" si="6"/>
        <v>0</v>
      </c>
      <c r="R48">
        <f t="shared" si="6"/>
        <v>0</v>
      </c>
      <c r="S48">
        <f t="shared" si="6"/>
        <v>0</v>
      </c>
    </row>
    <row r="49" spans="1:19" x14ac:dyDescent="0.25">
      <c r="A49" s="13" t="s">
        <v>78</v>
      </c>
      <c r="B49" s="13" t="s">
        <v>367</v>
      </c>
      <c r="C49" s="32">
        <v>45708</v>
      </c>
      <c r="D49" s="32">
        <v>45772</v>
      </c>
      <c r="E49" s="13" t="s">
        <v>223</v>
      </c>
      <c r="F49" s="13">
        <f t="shared" si="5"/>
        <v>64</v>
      </c>
      <c r="G49" s="32">
        <v>45771</v>
      </c>
      <c r="H49" s="17" t="s">
        <v>346</v>
      </c>
      <c r="I49" s="13" t="s">
        <v>27</v>
      </c>
      <c r="J49" s="35" t="s">
        <v>75</v>
      </c>
      <c r="K49">
        <f t="shared" si="6"/>
        <v>0</v>
      </c>
      <c r="L49">
        <f t="shared" si="6"/>
        <v>1</v>
      </c>
      <c r="M49">
        <f t="shared" si="6"/>
        <v>1</v>
      </c>
      <c r="N49">
        <f t="shared" si="6"/>
        <v>1</v>
      </c>
      <c r="O49">
        <f t="shared" si="6"/>
        <v>0</v>
      </c>
      <c r="P49">
        <f t="shared" si="6"/>
        <v>0</v>
      </c>
      <c r="Q49">
        <f t="shared" si="6"/>
        <v>0</v>
      </c>
      <c r="R49">
        <f t="shared" si="6"/>
        <v>0</v>
      </c>
      <c r="S49">
        <f t="shared" si="6"/>
        <v>0</v>
      </c>
    </row>
    <row r="50" spans="1:19" x14ac:dyDescent="0.25">
      <c r="A50" s="13" t="s">
        <v>77</v>
      </c>
      <c r="B50" s="13" t="s">
        <v>369</v>
      </c>
      <c r="C50" s="32">
        <v>45761</v>
      </c>
      <c r="D50" s="32">
        <v>45778</v>
      </c>
      <c r="E50" s="13" t="s">
        <v>223</v>
      </c>
      <c r="F50" s="13">
        <f t="shared" si="5"/>
        <v>17</v>
      </c>
      <c r="G50" s="32">
        <v>45772</v>
      </c>
      <c r="H50" s="48" t="s">
        <v>370</v>
      </c>
      <c r="I50" s="13" t="s">
        <v>21</v>
      </c>
      <c r="J50" s="13" t="s">
        <v>10</v>
      </c>
      <c r="K50">
        <f t="shared" si="6"/>
        <v>0</v>
      </c>
      <c r="L50">
        <f t="shared" si="6"/>
        <v>0</v>
      </c>
      <c r="M50">
        <f t="shared" si="6"/>
        <v>0</v>
      </c>
      <c r="N50">
        <f t="shared" si="6"/>
        <v>1</v>
      </c>
      <c r="O50">
        <f t="shared" si="6"/>
        <v>1</v>
      </c>
      <c r="P50">
        <f t="shared" si="6"/>
        <v>0</v>
      </c>
      <c r="Q50">
        <f t="shared" si="6"/>
        <v>0</v>
      </c>
      <c r="R50">
        <f t="shared" si="6"/>
        <v>0</v>
      </c>
      <c r="S50">
        <f t="shared" si="6"/>
        <v>0</v>
      </c>
    </row>
    <row r="51" spans="1:19" x14ac:dyDescent="0.25">
      <c r="A51" s="13" t="s">
        <v>78</v>
      </c>
      <c r="B51" s="13" t="s">
        <v>372</v>
      </c>
      <c r="C51" s="32">
        <v>45763</v>
      </c>
      <c r="D51" s="32">
        <v>45778</v>
      </c>
      <c r="E51" s="13" t="s">
        <v>223</v>
      </c>
      <c r="F51" s="13">
        <f t="shared" si="5"/>
        <v>15</v>
      </c>
      <c r="G51" s="32">
        <v>45778</v>
      </c>
      <c r="H51" s="48" t="s">
        <v>373</v>
      </c>
      <c r="I51" s="13" t="s">
        <v>19</v>
      </c>
      <c r="J51" s="13" t="s">
        <v>74</v>
      </c>
      <c r="K51">
        <f t="shared" si="6"/>
        <v>0</v>
      </c>
      <c r="L51">
        <f t="shared" si="6"/>
        <v>0</v>
      </c>
      <c r="M51">
        <f t="shared" si="6"/>
        <v>0</v>
      </c>
      <c r="N51">
        <f t="shared" si="6"/>
        <v>1</v>
      </c>
      <c r="O51">
        <f t="shared" si="6"/>
        <v>1</v>
      </c>
      <c r="P51">
        <f t="shared" si="6"/>
        <v>0</v>
      </c>
      <c r="Q51">
        <f t="shared" si="6"/>
        <v>0</v>
      </c>
      <c r="R51">
        <f t="shared" si="6"/>
        <v>0</v>
      </c>
      <c r="S51">
        <f t="shared" si="6"/>
        <v>0</v>
      </c>
    </row>
    <row r="52" spans="1:19" x14ac:dyDescent="0.25">
      <c r="A52" s="13" t="s">
        <v>78</v>
      </c>
      <c r="B52" s="13" t="s">
        <v>331</v>
      </c>
      <c r="C52" s="32">
        <v>45763</v>
      </c>
      <c r="D52" s="32">
        <v>45786</v>
      </c>
      <c r="E52" s="13" t="s">
        <v>223</v>
      </c>
      <c r="F52" s="13">
        <f t="shared" si="5"/>
        <v>23</v>
      </c>
      <c r="G52" s="32">
        <v>45786</v>
      </c>
      <c r="H52" s="48" t="s">
        <v>370</v>
      </c>
      <c r="I52" s="13" t="s">
        <v>21</v>
      </c>
      <c r="J52" s="13" t="s">
        <v>10</v>
      </c>
      <c r="K52">
        <f t="shared" si="6"/>
        <v>0</v>
      </c>
      <c r="L52">
        <f t="shared" si="6"/>
        <v>0</v>
      </c>
      <c r="M52">
        <f t="shared" si="6"/>
        <v>0</v>
      </c>
      <c r="N52">
        <f t="shared" si="6"/>
        <v>1</v>
      </c>
      <c r="O52">
        <f t="shared" si="6"/>
        <v>1</v>
      </c>
      <c r="P52">
        <f t="shared" si="6"/>
        <v>0</v>
      </c>
      <c r="Q52">
        <f t="shared" si="6"/>
        <v>0</v>
      </c>
      <c r="R52">
        <f t="shared" si="6"/>
        <v>0</v>
      </c>
      <c r="S52">
        <f t="shared" si="6"/>
        <v>0</v>
      </c>
    </row>
    <row r="53" spans="1:19" x14ac:dyDescent="0.25">
      <c r="A53" s="13" t="s">
        <v>78</v>
      </c>
      <c r="B53" s="13" t="s">
        <v>375</v>
      </c>
      <c r="C53" s="32">
        <v>45775</v>
      </c>
      <c r="D53" s="32">
        <v>45786</v>
      </c>
      <c r="E53" s="13" t="s">
        <v>223</v>
      </c>
      <c r="F53" s="13">
        <f t="shared" si="5"/>
        <v>11</v>
      </c>
      <c r="G53" s="32">
        <v>45786</v>
      </c>
      <c r="H53" s="48" t="s">
        <v>370</v>
      </c>
      <c r="I53" s="13" t="s">
        <v>21</v>
      </c>
      <c r="J53" s="13" t="s">
        <v>10</v>
      </c>
      <c r="K53">
        <f t="shared" ref="K53:S62" si="7">IF(AND($C53&lt;=EOMONTH(K$2,0),$D53&gt;=K$2),1,IF(AND($E53="Parada",EOMONTH(K$2,0)&gt;=$C53),1,0))</f>
        <v>0</v>
      </c>
      <c r="L53">
        <f t="shared" si="7"/>
        <v>0</v>
      </c>
      <c r="M53">
        <f t="shared" si="7"/>
        <v>0</v>
      </c>
      <c r="N53">
        <f t="shared" si="7"/>
        <v>1</v>
      </c>
      <c r="O53">
        <f t="shared" si="7"/>
        <v>1</v>
      </c>
      <c r="P53">
        <f t="shared" si="7"/>
        <v>0</v>
      </c>
      <c r="Q53">
        <f t="shared" si="7"/>
        <v>0</v>
      </c>
      <c r="R53">
        <f t="shared" si="7"/>
        <v>0</v>
      </c>
      <c r="S53">
        <f t="shared" si="7"/>
        <v>0</v>
      </c>
    </row>
    <row r="54" spans="1:19" x14ac:dyDescent="0.25">
      <c r="A54" s="13" t="s">
        <v>78</v>
      </c>
      <c r="B54" s="13" t="s">
        <v>376</v>
      </c>
      <c r="C54" s="32">
        <v>45783</v>
      </c>
      <c r="D54" s="32">
        <v>45786</v>
      </c>
      <c r="E54" s="13" t="s">
        <v>223</v>
      </c>
      <c r="F54" s="13">
        <f t="shared" si="5"/>
        <v>3</v>
      </c>
      <c r="G54" s="32">
        <v>45793</v>
      </c>
      <c r="H54" s="48" t="s">
        <v>370</v>
      </c>
      <c r="I54" s="13" t="s">
        <v>21</v>
      </c>
      <c r="J54" s="13" t="s">
        <v>10</v>
      </c>
      <c r="K54">
        <f t="shared" si="7"/>
        <v>0</v>
      </c>
      <c r="L54">
        <f t="shared" si="7"/>
        <v>0</v>
      </c>
      <c r="M54">
        <f t="shared" si="7"/>
        <v>0</v>
      </c>
      <c r="N54">
        <f t="shared" si="7"/>
        <v>0</v>
      </c>
      <c r="O54">
        <f t="shared" si="7"/>
        <v>1</v>
      </c>
      <c r="P54">
        <f t="shared" si="7"/>
        <v>0</v>
      </c>
      <c r="Q54">
        <f t="shared" si="7"/>
        <v>0</v>
      </c>
      <c r="R54">
        <f t="shared" si="7"/>
        <v>0</v>
      </c>
      <c r="S54">
        <f t="shared" si="7"/>
        <v>0</v>
      </c>
    </row>
    <row r="55" spans="1:19" x14ac:dyDescent="0.25">
      <c r="A55" s="13" t="s">
        <v>78</v>
      </c>
      <c r="B55" s="13" t="s">
        <v>348</v>
      </c>
      <c r="C55" s="32">
        <v>45782</v>
      </c>
      <c r="D55" s="32">
        <v>45789</v>
      </c>
      <c r="E55" s="13" t="s">
        <v>223</v>
      </c>
      <c r="F55" s="13">
        <f t="shared" si="5"/>
        <v>7</v>
      </c>
      <c r="G55" s="50">
        <v>45793</v>
      </c>
      <c r="H55" s="48" t="s">
        <v>370</v>
      </c>
      <c r="I55" s="13" t="s">
        <v>21</v>
      </c>
      <c r="J55" s="13" t="s">
        <v>10</v>
      </c>
      <c r="K55">
        <f t="shared" si="7"/>
        <v>0</v>
      </c>
      <c r="L55">
        <f t="shared" si="7"/>
        <v>0</v>
      </c>
      <c r="M55">
        <f t="shared" si="7"/>
        <v>0</v>
      </c>
      <c r="N55">
        <f t="shared" si="7"/>
        <v>0</v>
      </c>
      <c r="O55">
        <f t="shared" si="7"/>
        <v>1</v>
      </c>
      <c r="P55">
        <f t="shared" si="7"/>
        <v>0</v>
      </c>
      <c r="Q55">
        <f t="shared" si="7"/>
        <v>0</v>
      </c>
      <c r="R55">
        <f t="shared" si="7"/>
        <v>0</v>
      </c>
      <c r="S55">
        <f t="shared" si="7"/>
        <v>0</v>
      </c>
    </row>
    <row r="56" spans="1:19" ht="30" x14ac:dyDescent="0.25">
      <c r="A56" s="13" t="s">
        <v>78</v>
      </c>
      <c r="B56" s="13" t="s">
        <v>377</v>
      </c>
      <c r="C56" s="32">
        <v>45754</v>
      </c>
      <c r="D56" s="32">
        <v>45790</v>
      </c>
      <c r="E56" s="13" t="s">
        <v>223</v>
      </c>
      <c r="F56" s="13">
        <f t="shared" si="5"/>
        <v>36</v>
      </c>
      <c r="G56" s="32">
        <v>45786</v>
      </c>
      <c r="H56" s="17" t="s">
        <v>378</v>
      </c>
      <c r="I56" s="13" t="s">
        <v>27</v>
      </c>
      <c r="J56" s="13" t="s">
        <v>74</v>
      </c>
      <c r="K56">
        <f t="shared" si="7"/>
        <v>0</v>
      </c>
      <c r="L56">
        <f t="shared" si="7"/>
        <v>0</v>
      </c>
      <c r="M56">
        <f t="shared" si="7"/>
        <v>0</v>
      </c>
      <c r="N56">
        <f t="shared" si="7"/>
        <v>1</v>
      </c>
      <c r="O56">
        <f t="shared" si="7"/>
        <v>1</v>
      </c>
      <c r="P56">
        <f t="shared" si="7"/>
        <v>0</v>
      </c>
      <c r="Q56">
        <f t="shared" si="7"/>
        <v>0</v>
      </c>
      <c r="R56">
        <f t="shared" si="7"/>
        <v>0</v>
      </c>
      <c r="S56">
        <f t="shared" si="7"/>
        <v>0</v>
      </c>
    </row>
    <row r="57" spans="1:19" x14ac:dyDescent="0.25">
      <c r="A57" s="13" t="s">
        <v>79</v>
      </c>
      <c r="B57" s="13" t="s">
        <v>380</v>
      </c>
      <c r="C57" s="32">
        <v>45762</v>
      </c>
      <c r="D57" s="32">
        <v>45790</v>
      </c>
      <c r="E57" s="13" t="s">
        <v>223</v>
      </c>
      <c r="F57" s="13">
        <f t="shared" si="5"/>
        <v>28</v>
      </c>
      <c r="G57" s="13"/>
      <c r="H57" s="48" t="s">
        <v>381</v>
      </c>
      <c r="I57" s="13" t="s">
        <v>16</v>
      </c>
      <c r="J57" s="13" t="s">
        <v>225</v>
      </c>
      <c r="K57">
        <f t="shared" si="7"/>
        <v>0</v>
      </c>
      <c r="L57">
        <f t="shared" si="7"/>
        <v>0</v>
      </c>
      <c r="M57">
        <f t="shared" si="7"/>
        <v>0</v>
      </c>
      <c r="N57">
        <f t="shared" si="7"/>
        <v>1</v>
      </c>
      <c r="O57">
        <f t="shared" si="7"/>
        <v>1</v>
      </c>
      <c r="P57">
        <f t="shared" si="7"/>
        <v>0</v>
      </c>
      <c r="Q57">
        <f t="shared" si="7"/>
        <v>0</v>
      </c>
      <c r="R57">
        <f t="shared" si="7"/>
        <v>0</v>
      </c>
      <c r="S57">
        <f t="shared" si="7"/>
        <v>0</v>
      </c>
    </row>
    <row r="58" spans="1:19" ht="30" x14ac:dyDescent="0.25">
      <c r="A58" s="13" t="s">
        <v>44</v>
      </c>
      <c r="B58" s="13" t="s">
        <v>266</v>
      </c>
      <c r="C58" s="32">
        <v>45652</v>
      </c>
      <c r="D58" s="32">
        <v>45791</v>
      </c>
      <c r="E58" s="28" t="s">
        <v>223</v>
      </c>
      <c r="F58" s="13">
        <f t="shared" si="5"/>
        <v>139</v>
      </c>
      <c r="G58" s="32">
        <v>45793</v>
      </c>
      <c r="H58" s="17" t="s">
        <v>383</v>
      </c>
      <c r="I58" s="33" t="s">
        <v>16</v>
      </c>
      <c r="J58" s="35" t="s">
        <v>74</v>
      </c>
      <c r="K58">
        <f t="shared" si="7"/>
        <v>1</v>
      </c>
      <c r="L58">
        <f t="shared" si="7"/>
        <v>1</v>
      </c>
      <c r="M58">
        <f t="shared" si="7"/>
        <v>1</v>
      </c>
      <c r="N58">
        <f t="shared" si="7"/>
        <v>1</v>
      </c>
      <c r="O58">
        <f t="shared" si="7"/>
        <v>1</v>
      </c>
      <c r="P58">
        <f t="shared" si="7"/>
        <v>0</v>
      </c>
      <c r="Q58">
        <f t="shared" si="7"/>
        <v>0</v>
      </c>
      <c r="R58">
        <f t="shared" si="7"/>
        <v>0</v>
      </c>
      <c r="S58">
        <f t="shared" si="7"/>
        <v>0</v>
      </c>
    </row>
    <row r="59" spans="1:19" ht="30" x14ac:dyDescent="0.25">
      <c r="A59" s="13" t="s">
        <v>78</v>
      </c>
      <c r="B59" s="13" t="s">
        <v>336</v>
      </c>
      <c r="C59" s="32"/>
      <c r="D59" s="32"/>
      <c r="E59" s="13"/>
      <c r="F59" s="13">
        <f t="shared" si="5"/>
        <v>0</v>
      </c>
      <c r="G59" s="13"/>
      <c r="H59" s="17" t="s">
        <v>337</v>
      </c>
      <c r="I59" s="13" t="s">
        <v>19</v>
      </c>
      <c r="J59" s="13" t="s">
        <v>74</v>
      </c>
      <c r="K59">
        <f t="shared" si="7"/>
        <v>0</v>
      </c>
      <c r="L59">
        <f t="shared" si="7"/>
        <v>0</v>
      </c>
      <c r="M59">
        <f t="shared" si="7"/>
        <v>0</v>
      </c>
      <c r="N59">
        <f t="shared" si="7"/>
        <v>0</v>
      </c>
      <c r="O59">
        <f t="shared" si="7"/>
        <v>0</v>
      </c>
      <c r="P59">
        <f t="shared" si="7"/>
        <v>0</v>
      </c>
      <c r="Q59">
        <f t="shared" si="7"/>
        <v>0</v>
      </c>
      <c r="R59">
        <f t="shared" si="7"/>
        <v>0</v>
      </c>
      <c r="S59">
        <f t="shared" si="7"/>
        <v>0</v>
      </c>
    </row>
    <row r="60" spans="1:19" x14ac:dyDescent="0.25">
      <c r="A60" s="13" t="s">
        <v>78</v>
      </c>
      <c r="B60" s="13" t="s">
        <v>385</v>
      </c>
      <c r="C60" s="32">
        <v>45740</v>
      </c>
      <c r="D60" s="32">
        <v>45807</v>
      </c>
      <c r="E60" s="13" t="s">
        <v>223</v>
      </c>
      <c r="F60" s="13">
        <f t="shared" si="5"/>
        <v>67</v>
      </c>
      <c r="G60" s="32">
        <v>45814</v>
      </c>
      <c r="H60" s="48" t="s">
        <v>370</v>
      </c>
      <c r="I60" s="13" t="s">
        <v>21</v>
      </c>
      <c r="J60" s="13" t="s">
        <v>10</v>
      </c>
      <c r="K60">
        <f t="shared" si="7"/>
        <v>0</v>
      </c>
      <c r="L60">
        <f t="shared" si="7"/>
        <v>0</v>
      </c>
      <c r="M60">
        <f t="shared" si="7"/>
        <v>1</v>
      </c>
      <c r="N60">
        <f t="shared" si="7"/>
        <v>1</v>
      </c>
      <c r="O60">
        <f t="shared" si="7"/>
        <v>1</v>
      </c>
      <c r="P60">
        <f t="shared" si="7"/>
        <v>0</v>
      </c>
      <c r="Q60">
        <f t="shared" si="7"/>
        <v>0</v>
      </c>
      <c r="R60">
        <f t="shared" si="7"/>
        <v>0</v>
      </c>
      <c r="S60">
        <f t="shared" si="7"/>
        <v>0</v>
      </c>
    </row>
    <row r="61" spans="1:19" ht="30" x14ac:dyDescent="0.25">
      <c r="A61" s="13" t="s">
        <v>77</v>
      </c>
      <c r="B61" s="13" t="s">
        <v>386</v>
      </c>
      <c r="C61" s="32">
        <v>45654</v>
      </c>
      <c r="D61" s="32">
        <v>45808</v>
      </c>
      <c r="E61" s="13" t="s">
        <v>223</v>
      </c>
      <c r="F61" s="13">
        <f t="shared" si="5"/>
        <v>154</v>
      </c>
      <c r="G61" s="32">
        <v>45807</v>
      </c>
      <c r="H61" s="17" t="s">
        <v>387</v>
      </c>
      <c r="I61" s="35" t="s">
        <v>16</v>
      </c>
      <c r="J61" s="35" t="s">
        <v>74</v>
      </c>
      <c r="K61">
        <f t="shared" si="7"/>
        <v>1</v>
      </c>
      <c r="L61">
        <f t="shared" si="7"/>
        <v>1</v>
      </c>
      <c r="M61">
        <f t="shared" si="7"/>
        <v>1</v>
      </c>
      <c r="N61">
        <f t="shared" si="7"/>
        <v>1</v>
      </c>
      <c r="O61">
        <f t="shared" si="7"/>
        <v>1</v>
      </c>
      <c r="P61">
        <f t="shared" si="7"/>
        <v>0</v>
      </c>
      <c r="Q61">
        <f t="shared" si="7"/>
        <v>0</v>
      </c>
      <c r="R61">
        <f t="shared" si="7"/>
        <v>0</v>
      </c>
      <c r="S61">
        <f t="shared" si="7"/>
        <v>0</v>
      </c>
    </row>
    <row r="62" spans="1:19" ht="30" x14ac:dyDescent="0.25">
      <c r="A62" s="13" t="s">
        <v>44</v>
      </c>
      <c r="B62" s="13" t="s">
        <v>389</v>
      </c>
      <c r="C62" s="32">
        <v>45798</v>
      </c>
      <c r="D62" s="32">
        <v>45816</v>
      </c>
      <c r="E62" s="13" t="s">
        <v>223</v>
      </c>
      <c r="F62" s="13">
        <f t="shared" si="5"/>
        <v>18</v>
      </c>
      <c r="G62" s="32">
        <v>45815</v>
      </c>
      <c r="H62" s="17" t="s">
        <v>390</v>
      </c>
      <c r="I62" s="13" t="s">
        <v>21</v>
      </c>
      <c r="J62" s="13" t="s">
        <v>74</v>
      </c>
      <c r="K62">
        <f t="shared" si="7"/>
        <v>0</v>
      </c>
      <c r="L62">
        <f t="shared" si="7"/>
        <v>0</v>
      </c>
      <c r="M62">
        <f t="shared" si="7"/>
        <v>0</v>
      </c>
      <c r="N62">
        <f t="shared" si="7"/>
        <v>0</v>
      </c>
      <c r="O62">
        <f t="shared" si="7"/>
        <v>1</v>
      </c>
      <c r="P62">
        <f t="shared" si="7"/>
        <v>1</v>
      </c>
      <c r="Q62">
        <f t="shared" si="7"/>
        <v>0</v>
      </c>
      <c r="R62">
        <f t="shared" si="7"/>
        <v>0</v>
      </c>
      <c r="S62">
        <f t="shared" si="7"/>
        <v>0</v>
      </c>
    </row>
    <row r="63" spans="1:19" x14ac:dyDescent="0.25">
      <c r="A63" s="13" t="s">
        <v>78</v>
      </c>
      <c r="B63" s="13" t="s">
        <v>392</v>
      </c>
      <c r="C63" s="32">
        <v>45796</v>
      </c>
      <c r="D63" s="32">
        <v>45821</v>
      </c>
      <c r="E63" s="13" t="s">
        <v>223</v>
      </c>
      <c r="F63" s="13">
        <f t="shared" si="5"/>
        <v>25</v>
      </c>
      <c r="G63" s="32">
        <v>45821</v>
      </c>
      <c r="H63" s="48" t="s">
        <v>370</v>
      </c>
      <c r="I63" s="13" t="s">
        <v>21</v>
      </c>
      <c r="J63" s="13" t="s">
        <v>10</v>
      </c>
      <c r="K63">
        <f t="shared" ref="K63:S72" si="8">IF(AND($C63&lt;=EOMONTH(K$2,0),$D63&gt;=K$2),1,IF(AND($E63="Parada",EOMONTH(K$2,0)&gt;=$C63),1,0))</f>
        <v>0</v>
      </c>
      <c r="L63">
        <f t="shared" si="8"/>
        <v>0</v>
      </c>
      <c r="M63">
        <f t="shared" si="8"/>
        <v>0</v>
      </c>
      <c r="N63">
        <f t="shared" si="8"/>
        <v>0</v>
      </c>
      <c r="O63">
        <f t="shared" si="8"/>
        <v>1</v>
      </c>
      <c r="P63">
        <f t="shared" si="8"/>
        <v>1</v>
      </c>
      <c r="Q63">
        <f t="shared" si="8"/>
        <v>0</v>
      </c>
      <c r="R63">
        <f t="shared" si="8"/>
        <v>0</v>
      </c>
      <c r="S63">
        <f t="shared" si="8"/>
        <v>0</v>
      </c>
    </row>
    <row r="64" spans="1:19" x14ac:dyDescent="0.25">
      <c r="A64" s="28" t="s">
        <v>78</v>
      </c>
      <c r="B64" s="28" t="s">
        <v>393</v>
      </c>
      <c r="C64" s="46">
        <v>45810</v>
      </c>
      <c r="D64" s="46">
        <v>45821</v>
      </c>
      <c r="E64" s="28" t="s">
        <v>223</v>
      </c>
      <c r="F64" s="13">
        <f t="shared" si="5"/>
        <v>11</v>
      </c>
      <c r="G64" s="28"/>
      <c r="H64" s="52" t="s">
        <v>248</v>
      </c>
      <c r="I64" s="28" t="s">
        <v>27</v>
      </c>
      <c r="J64" s="28" t="s">
        <v>74</v>
      </c>
      <c r="K64">
        <f t="shared" si="8"/>
        <v>0</v>
      </c>
      <c r="L64">
        <f t="shared" si="8"/>
        <v>0</v>
      </c>
      <c r="M64">
        <f t="shared" si="8"/>
        <v>0</v>
      </c>
      <c r="N64">
        <f t="shared" si="8"/>
        <v>0</v>
      </c>
      <c r="O64">
        <f t="shared" si="8"/>
        <v>0</v>
      </c>
      <c r="P64">
        <f t="shared" si="8"/>
        <v>1</v>
      </c>
      <c r="Q64">
        <f t="shared" si="8"/>
        <v>0</v>
      </c>
      <c r="R64">
        <f t="shared" si="8"/>
        <v>0</v>
      </c>
      <c r="S64">
        <f t="shared" si="8"/>
        <v>0</v>
      </c>
    </row>
    <row r="65" spans="1:19" ht="30" x14ac:dyDescent="0.25">
      <c r="A65" s="13" t="s">
        <v>79</v>
      </c>
      <c r="B65" s="13" t="s">
        <v>395</v>
      </c>
      <c r="C65" s="32">
        <v>45756</v>
      </c>
      <c r="D65" s="32">
        <v>45822</v>
      </c>
      <c r="E65" s="13" t="s">
        <v>223</v>
      </c>
      <c r="F65" s="13">
        <f t="shared" si="5"/>
        <v>66</v>
      </c>
      <c r="G65" s="32">
        <v>45820</v>
      </c>
      <c r="H65" s="17" t="s">
        <v>396</v>
      </c>
      <c r="I65" s="13" t="s">
        <v>27</v>
      </c>
      <c r="J65" s="13" t="s">
        <v>74</v>
      </c>
      <c r="K65">
        <f t="shared" si="8"/>
        <v>0</v>
      </c>
      <c r="L65">
        <f t="shared" si="8"/>
        <v>0</v>
      </c>
      <c r="M65">
        <f t="shared" si="8"/>
        <v>0</v>
      </c>
      <c r="N65">
        <f t="shared" si="8"/>
        <v>1</v>
      </c>
      <c r="O65">
        <f t="shared" si="8"/>
        <v>1</v>
      </c>
      <c r="P65">
        <f t="shared" si="8"/>
        <v>1</v>
      </c>
      <c r="Q65">
        <f t="shared" si="8"/>
        <v>0</v>
      </c>
      <c r="R65">
        <f t="shared" si="8"/>
        <v>0</v>
      </c>
      <c r="S65">
        <f t="shared" si="8"/>
        <v>0</v>
      </c>
    </row>
    <row r="66" spans="1:19" x14ac:dyDescent="0.25">
      <c r="A66" s="13" t="s">
        <v>78</v>
      </c>
      <c r="B66" s="13" t="s">
        <v>399</v>
      </c>
      <c r="C66" s="32">
        <v>45821</v>
      </c>
      <c r="D66" s="32">
        <v>45839</v>
      </c>
      <c r="E66" s="13" t="s">
        <v>223</v>
      </c>
      <c r="F66" s="13">
        <f t="shared" si="5"/>
        <v>18</v>
      </c>
      <c r="G66" s="32">
        <v>45852</v>
      </c>
      <c r="H66" s="17" t="s">
        <v>400</v>
      </c>
      <c r="I66" s="13" t="s">
        <v>21</v>
      </c>
      <c r="J66" s="13" t="s">
        <v>10</v>
      </c>
      <c r="K66">
        <f t="shared" si="8"/>
        <v>0</v>
      </c>
      <c r="L66">
        <f t="shared" si="8"/>
        <v>0</v>
      </c>
      <c r="M66">
        <f t="shared" si="8"/>
        <v>0</v>
      </c>
      <c r="N66">
        <f t="shared" si="8"/>
        <v>0</v>
      </c>
      <c r="O66">
        <f t="shared" si="8"/>
        <v>0</v>
      </c>
      <c r="P66">
        <f t="shared" si="8"/>
        <v>1</v>
      </c>
      <c r="Q66">
        <f t="shared" si="8"/>
        <v>1</v>
      </c>
      <c r="R66">
        <f t="shared" si="8"/>
        <v>0</v>
      </c>
      <c r="S66">
        <f t="shared" si="8"/>
        <v>0</v>
      </c>
    </row>
    <row r="67" spans="1:19" x14ac:dyDescent="0.25">
      <c r="A67" s="28" t="s">
        <v>77</v>
      </c>
      <c r="B67" s="28" t="s">
        <v>402</v>
      </c>
      <c r="C67" s="46">
        <v>45821</v>
      </c>
      <c r="D67" s="46">
        <v>45840</v>
      </c>
      <c r="E67" s="28" t="s">
        <v>223</v>
      </c>
      <c r="F67" s="13">
        <f t="shared" ref="F67:F98" si="9">D67-C67</f>
        <v>19</v>
      </c>
      <c r="G67" s="46">
        <v>45852</v>
      </c>
      <c r="H67" s="47" t="s">
        <v>400</v>
      </c>
      <c r="I67" s="28" t="s">
        <v>21</v>
      </c>
      <c r="J67" s="28" t="s">
        <v>10</v>
      </c>
      <c r="K67">
        <f t="shared" si="8"/>
        <v>0</v>
      </c>
      <c r="L67">
        <f t="shared" si="8"/>
        <v>0</v>
      </c>
      <c r="M67">
        <f t="shared" si="8"/>
        <v>0</v>
      </c>
      <c r="N67">
        <f t="shared" si="8"/>
        <v>0</v>
      </c>
      <c r="O67">
        <f t="shared" si="8"/>
        <v>0</v>
      </c>
      <c r="P67">
        <f t="shared" si="8"/>
        <v>1</v>
      </c>
      <c r="Q67">
        <f t="shared" si="8"/>
        <v>1</v>
      </c>
      <c r="R67">
        <f t="shared" si="8"/>
        <v>0</v>
      </c>
      <c r="S67">
        <f t="shared" si="8"/>
        <v>0</v>
      </c>
    </row>
    <row r="68" spans="1:19" x14ac:dyDescent="0.25">
      <c r="A68" s="28" t="s">
        <v>79</v>
      </c>
      <c r="B68" s="28" t="s">
        <v>403</v>
      </c>
      <c r="C68" s="46">
        <v>45821</v>
      </c>
      <c r="D68" s="46">
        <v>45842</v>
      </c>
      <c r="E68" s="28" t="s">
        <v>223</v>
      </c>
      <c r="F68" s="13">
        <f t="shared" si="9"/>
        <v>21</v>
      </c>
      <c r="G68" s="28" t="s">
        <v>65</v>
      </c>
      <c r="H68" s="47" t="s">
        <v>400</v>
      </c>
      <c r="I68" s="28" t="s">
        <v>21</v>
      </c>
      <c r="J68" s="28" t="s">
        <v>10</v>
      </c>
      <c r="K68">
        <f t="shared" si="8"/>
        <v>0</v>
      </c>
      <c r="L68">
        <f t="shared" si="8"/>
        <v>0</v>
      </c>
      <c r="M68">
        <f t="shared" si="8"/>
        <v>0</v>
      </c>
      <c r="N68">
        <f t="shared" si="8"/>
        <v>0</v>
      </c>
      <c r="O68">
        <f t="shared" si="8"/>
        <v>0</v>
      </c>
      <c r="P68">
        <f t="shared" si="8"/>
        <v>1</v>
      </c>
      <c r="Q68">
        <f t="shared" si="8"/>
        <v>1</v>
      </c>
      <c r="R68">
        <f t="shared" si="8"/>
        <v>0</v>
      </c>
      <c r="S68">
        <f t="shared" si="8"/>
        <v>0</v>
      </c>
    </row>
    <row r="69" spans="1:19" x14ac:dyDescent="0.25">
      <c r="A69" s="13" t="s">
        <v>44</v>
      </c>
      <c r="B69" s="13" t="s">
        <v>404</v>
      </c>
      <c r="C69" s="32">
        <v>45835</v>
      </c>
      <c r="D69" s="32">
        <v>45846</v>
      </c>
      <c r="E69" s="13" t="s">
        <v>223</v>
      </c>
      <c r="F69" s="13">
        <f t="shared" si="9"/>
        <v>11</v>
      </c>
      <c r="G69" s="13" t="s">
        <v>65</v>
      </c>
      <c r="H69" s="17" t="s">
        <v>400</v>
      </c>
      <c r="I69" s="13" t="s">
        <v>21</v>
      </c>
      <c r="J69" s="13" t="s">
        <v>10</v>
      </c>
      <c r="K69">
        <f t="shared" si="8"/>
        <v>0</v>
      </c>
      <c r="L69">
        <f t="shared" si="8"/>
        <v>0</v>
      </c>
      <c r="M69">
        <f t="shared" si="8"/>
        <v>0</v>
      </c>
      <c r="N69">
        <f t="shared" si="8"/>
        <v>0</v>
      </c>
      <c r="O69">
        <f t="shared" si="8"/>
        <v>0</v>
      </c>
      <c r="P69">
        <f t="shared" si="8"/>
        <v>1</v>
      </c>
      <c r="Q69">
        <f t="shared" si="8"/>
        <v>1</v>
      </c>
      <c r="R69">
        <f t="shared" si="8"/>
        <v>0</v>
      </c>
      <c r="S69">
        <f t="shared" si="8"/>
        <v>0</v>
      </c>
    </row>
    <row r="70" spans="1:19" x14ac:dyDescent="0.25">
      <c r="A70" s="13" t="s">
        <v>78</v>
      </c>
      <c r="B70" s="13" t="s">
        <v>406</v>
      </c>
      <c r="C70" s="32">
        <v>45693</v>
      </c>
      <c r="D70" s="32">
        <v>45847</v>
      </c>
      <c r="E70" s="13" t="s">
        <v>223</v>
      </c>
      <c r="F70" s="13">
        <f t="shared" si="9"/>
        <v>154</v>
      </c>
      <c r="G70" s="32">
        <v>45839</v>
      </c>
      <c r="H70" s="17" t="s">
        <v>407</v>
      </c>
      <c r="I70" s="13" t="s">
        <v>16</v>
      </c>
      <c r="J70" s="35" t="s">
        <v>74</v>
      </c>
      <c r="K70">
        <f t="shared" si="8"/>
        <v>0</v>
      </c>
      <c r="L70">
        <f t="shared" si="8"/>
        <v>1</v>
      </c>
      <c r="M70">
        <f t="shared" si="8"/>
        <v>1</v>
      </c>
      <c r="N70">
        <f t="shared" si="8"/>
        <v>1</v>
      </c>
      <c r="O70">
        <f t="shared" si="8"/>
        <v>1</v>
      </c>
      <c r="P70">
        <f t="shared" si="8"/>
        <v>1</v>
      </c>
      <c r="Q70">
        <f t="shared" si="8"/>
        <v>1</v>
      </c>
      <c r="R70">
        <f t="shared" si="8"/>
        <v>0</v>
      </c>
      <c r="S70">
        <f t="shared" si="8"/>
        <v>0</v>
      </c>
    </row>
    <row r="71" spans="1:19" x14ac:dyDescent="0.25">
      <c r="A71" s="28" t="s">
        <v>77</v>
      </c>
      <c r="B71" s="28" t="s">
        <v>273</v>
      </c>
      <c r="C71" s="46">
        <v>45821</v>
      </c>
      <c r="D71" s="46">
        <v>45848</v>
      </c>
      <c r="E71" s="28" t="s">
        <v>223</v>
      </c>
      <c r="F71" s="13">
        <f t="shared" si="9"/>
        <v>27</v>
      </c>
      <c r="G71" s="28" t="s">
        <v>65</v>
      </c>
      <c r="H71" s="47" t="s">
        <v>400</v>
      </c>
      <c r="I71" s="28" t="s">
        <v>21</v>
      </c>
      <c r="J71" s="28" t="s">
        <v>10</v>
      </c>
      <c r="K71">
        <f t="shared" si="8"/>
        <v>0</v>
      </c>
      <c r="L71">
        <f t="shared" si="8"/>
        <v>0</v>
      </c>
      <c r="M71">
        <f t="shared" si="8"/>
        <v>0</v>
      </c>
      <c r="N71">
        <f t="shared" si="8"/>
        <v>0</v>
      </c>
      <c r="O71">
        <f t="shared" si="8"/>
        <v>0</v>
      </c>
      <c r="P71">
        <f t="shared" si="8"/>
        <v>1</v>
      </c>
      <c r="Q71">
        <f t="shared" si="8"/>
        <v>1</v>
      </c>
      <c r="R71">
        <f t="shared" si="8"/>
        <v>0</v>
      </c>
      <c r="S71">
        <f t="shared" si="8"/>
        <v>0</v>
      </c>
    </row>
    <row r="72" spans="1:19" x14ac:dyDescent="0.25">
      <c r="A72" s="13" t="s">
        <v>77</v>
      </c>
      <c r="B72" s="13" t="s">
        <v>409</v>
      </c>
      <c r="C72" s="32">
        <v>45821</v>
      </c>
      <c r="D72" s="32">
        <v>45848</v>
      </c>
      <c r="E72" s="13" t="s">
        <v>223</v>
      </c>
      <c r="F72" s="13">
        <f t="shared" si="9"/>
        <v>27</v>
      </c>
      <c r="G72" s="32">
        <v>45859</v>
      </c>
      <c r="H72" s="17" t="s">
        <v>400</v>
      </c>
      <c r="I72" s="13" t="s">
        <v>21</v>
      </c>
      <c r="J72" s="13" t="s">
        <v>10</v>
      </c>
      <c r="K72">
        <f t="shared" si="8"/>
        <v>0</v>
      </c>
      <c r="L72">
        <f t="shared" si="8"/>
        <v>0</v>
      </c>
      <c r="M72">
        <f t="shared" si="8"/>
        <v>0</v>
      </c>
      <c r="N72">
        <f t="shared" si="8"/>
        <v>0</v>
      </c>
      <c r="O72">
        <f t="shared" si="8"/>
        <v>0</v>
      </c>
      <c r="P72">
        <f t="shared" si="8"/>
        <v>1</v>
      </c>
      <c r="Q72">
        <f t="shared" si="8"/>
        <v>1</v>
      </c>
      <c r="R72">
        <f t="shared" si="8"/>
        <v>0</v>
      </c>
      <c r="S72">
        <f t="shared" si="8"/>
        <v>0</v>
      </c>
    </row>
    <row r="73" spans="1:19" ht="30" x14ac:dyDescent="0.25">
      <c r="A73" s="13" t="s">
        <v>78</v>
      </c>
      <c r="B73" s="13" t="s">
        <v>410</v>
      </c>
      <c r="C73" s="32">
        <v>45789</v>
      </c>
      <c r="D73" s="32">
        <v>45849</v>
      </c>
      <c r="E73" s="13" t="s">
        <v>223</v>
      </c>
      <c r="F73" s="13">
        <f t="shared" si="9"/>
        <v>60</v>
      </c>
      <c r="G73" s="32">
        <v>45849</v>
      </c>
      <c r="H73" s="48" t="s">
        <v>411</v>
      </c>
      <c r="I73" s="13" t="s">
        <v>16</v>
      </c>
      <c r="J73" s="13" t="s">
        <v>412</v>
      </c>
      <c r="K73">
        <f t="shared" ref="K73:S82" si="10">IF(AND($C73&lt;=EOMONTH(K$2,0),$D73&gt;=K$2),1,IF(AND($E73="Parada",EOMONTH(K$2,0)&gt;=$C73),1,0))</f>
        <v>0</v>
      </c>
      <c r="L73">
        <f t="shared" si="10"/>
        <v>0</v>
      </c>
      <c r="M73">
        <f t="shared" si="10"/>
        <v>0</v>
      </c>
      <c r="N73">
        <f t="shared" si="10"/>
        <v>0</v>
      </c>
      <c r="O73">
        <f t="shared" si="10"/>
        <v>1</v>
      </c>
      <c r="P73">
        <f t="shared" si="10"/>
        <v>1</v>
      </c>
      <c r="Q73">
        <f t="shared" si="10"/>
        <v>1</v>
      </c>
      <c r="R73">
        <f t="shared" si="10"/>
        <v>0</v>
      </c>
      <c r="S73">
        <f t="shared" si="10"/>
        <v>0</v>
      </c>
    </row>
    <row r="74" spans="1:19" x14ac:dyDescent="0.25">
      <c r="A74" s="13" t="s">
        <v>78</v>
      </c>
      <c r="B74" s="13" t="s">
        <v>414</v>
      </c>
      <c r="C74" s="32">
        <v>45821</v>
      </c>
      <c r="D74" s="32">
        <v>45853</v>
      </c>
      <c r="E74" s="13" t="s">
        <v>223</v>
      </c>
      <c r="F74" s="13">
        <f t="shared" si="9"/>
        <v>32</v>
      </c>
      <c r="G74" s="13" t="s">
        <v>65</v>
      </c>
      <c r="H74" s="17" t="s">
        <v>400</v>
      </c>
      <c r="I74" s="13" t="s">
        <v>21</v>
      </c>
      <c r="J74" s="13" t="s">
        <v>10</v>
      </c>
      <c r="K74">
        <f t="shared" si="10"/>
        <v>0</v>
      </c>
      <c r="L74">
        <f t="shared" si="10"/>
        <v>0</v>
      </c>
      <c r="M74">
        <f t="shared" si="10"/>
        <v>0</v>
      </c>
      <c r="N74">
        <f t="shared" si="10"/>
        <v>0</v>
      </c>
      <c r="O74">
        <f t="shared" si="10"/>
        <v>0</v>
      </c>
      <c r="P74">
        <f t="shared" si="10"/>
        <v>1</v>
      </c>
      <c r="Q74">
        <f t="shared" si="10"/>
        <v>1</v>
      </c>
      <c r="R74">
        <f t="shared" si="10"/>
        <v>0</v>
      </c>
      <c r="S74">
        <f t="shared" si="10"/>
        <v>0</v>
      </c>
    </row>
    <row r="75" spans="1:19" x14ac:dyDescent="0.25">
      <c r="A75" s="13" t="s">
        <v>78</v>
      </c>
      <c r="B75" s="22" t="s">
        <v>415</v>
      </c>
      <c r="C75" s="32">
        <v>45566</v>
      </c>
      <c r="D75" s="32">
        <v>45855</v>
      </c>
      <c r="E75" s="13" t="s">
        <v>242</v>
      </c>
      <c r="F75" s="13">
        <f t="shared" si="9"/>
        <v>289</v>
      </c>
      <c r="G75" s="32">
        <v>45849</v>
      </c>
      <c r="H75" s="17" t="s">
        <v>301</v>
      </c>
      <c r="I75" s="13" t="s">
        <v>27</v>
      </c>
      <c r="J75" s="13" t="s">
        <v>74</v>
      </c>
      <c r="K75">
        <f t="shared" si="10"/>
        <v>1</v>
      </c>
      <c r="L75">
        <f t="shared" si="10"/>
        <v>1</v>
      </c>
      <c r="M75">
        <f t="shared" si="10"/>
        <v>1</v>
      </c>
      <c r="N75">
        <f t="shared" si="10"/>
        <v>1</v>
      </c>
      <c r="O75">
        <f t="shared" si="10"/>
        <v>1</v>
      </c>
      <c r="P75">
        <f t="shared" si="10"/>
        <v>1</v>
      </c>
      <c r="Q75">
        <f t="shared" si="10"/>
        <v>1</v>
      </c>
      <c r="R75">
        <f t="shared" si="10"/>
        <v>0</v>
      </c>
      <c r="S75">
        <f t="shared" si="10"/>
        <v>0</v>
      </c>
    </row>
    <row r="76" spans="1:19" x14ac:dyDescent="0.25">
      <c r="A76" s="13" t="s">
        <v>78</v>
      </c>
      <c r="B76" s="13" t="s">
        <v>239</v>
      </c>
      <c r="C76" s="32">
        <v>45694</v>
      </c>
      <c r="D76" s="32">
        <v>45856</v>
      </c>
      <c r="E76" s="13" t="s">
        <v>223</v>
      </c>
      <c r="F76" s="13">
        <f t="shared" si="9"/>
        <v>162</v>
      </c>
      <c r="G76" s="32">
        <v>45849</v>
      </c>
      <c r="H76" s="17" t="s">
        <v>407</v>
      </c>
      <c r="I76" s="13" t="s">
        <v>16</v>
      </c>
      <c r="J76" s="13" t="s">
        <v>74</v>
      </c>
      <c r="K76">
        <f t="shared" si="10"/>
        <v>0</v>
      </c>
      <c r="L76">
        <f t="shared" si="10"/>
        <v>1</v>
      </c>
      <c r="M76">
        <f t="shared" si="10"/>
        <v>1</v>
      </c>
      <c r="N76">
        <f t="shared" si="10"/>
        <v>1</v>
      </c>
      <c r="O76">
        <f t="shared" si="10"/>
        <v>1</v>
      </c>
      <c r="P76">
        <f t="shared" si="10"/>
        <v>1</v>
      </c>
      <c r="Q76">
        <f t="shared" si="10"/>
        <v>1</v>
      </c>
      <c r="R76">
        <f t="shared" si="10"/>
        <v>0</v>
      </c>
      <c r="S76">
        <f t="shared" si="10"/>
        <v>0</v>
      </c>
    </row>
    <row r="77" spans="1:19" x14ac:dyDescent="0.25">
      <c r="A77" s="13" t="s">
        <v>77</v>
      </c>
      <c r="B77" s="13" t="s">
        <v>300</v>
      </c>
      <c r="C77" s="32">
        <v>45737</v>
      </c>
      <c r="D77" s="32">
        <v>45861</v>
      </c>
      <c r="E77" s="13" t="s">
        <v>223</v>
      </c>
      <c r="F77" s="13">
        <f t="shared" si="9"/>
        <v>124</v>
      </c>
      <c r="G77" s="32">
        <v>45859</v>
      </c>
      <c r="H77" s="17" t="s">
        <v>418</v>
      </c>
      <c r="I77" s="13" t="s">
        <v>16</v>
      </c>
      <c r="J77" s="13" t="s">
        <v>74</v>
      </c>
      <c r="K77">
        <f t="shared" si="10"/>
        <v>0</v>
      </c>
      <c r="L77">
        <f t="shared" si="10"/>
        <v>0</v>
      </c>
      <c r="M77">
        <f t="shared" si="10"/>
        <v>1</v>
      </c>
      <c r="N77">
        <f t="shared" si="10"/>
        <v>1</v>
      </c>
      <c r="O77">
        <f t="shared" si="10"/>
        <v>1</v>
      </c>
      <c r="P77">
        <f t="shared" si="10"/>
        <v>1</v>
      </c>
      <c r="Q77">
        <f t="shared" si="10"/>
        <v>1</v>
      </c>
      <c r="R77">
        <f t="shared" si="10"/>
        <v>0</v>
      </c>
      <c r="S77">
        <f t="shared" si="10"/>
        <v>0</v>
      </c>
    </row>
    <row r="78" spans="1:19" x14ac:dyDescent="0.25">
      <c r="A78" s="13" t="s">
        <v>78</v>
      </c>
      <c r="B78" s="13" t="s">
        <v>420</v>
      </c>
      <c r="C78" s="32">
        <v>45754</v>
      </c>
      <c r="D78" s="32">
        <v>45862</v>
      </c>
      <c r="E78" s="13" t="s">
        <v>223</v>
      </c>
      <c r="F78" s="13">
        <f t="shared" si="9"/>
        <v>108</v>
      </c>
      <c r="G78" s="32">
        <v>45862</v>
      </c>
      <c r="H78" s="17" t="s">
        <v>421</v>
      </c>
      <c r="I78" s="13" t="s">
        <v>19</v>
      </c>
      <c r="J78" s="13" t="s">
        <v>74</v>
      </c>
      <c r="K78">
        <f t="shared" si="10"/>
        <v>0</v>
      </c>
      <c r="L78">
        <f t="shared" si="10"/>
        <v>0</v>
      </c>
      <c r="M78">
        <f t="shared" si="10"/>
        <v>0</v>
      </c>
      <c r="N78">
        <f t="shared" si="10"/>
        <v>1</v>
      </c>
      <c r="O78">
        <f t="shared" si="10"/>
        <v>1</v>
      </c>
      <c r="P78">
        <f t="shared" si="10"/>
        <v>1</v>
      </c>
      <c r="Q78">
        <f t="shared" si="10"/>
        <v>1</v>
      </c>
      <c r="R78">
        <f t="shared" si="10"/>
        <v>0</v>
      </c>
      <c r="S78">
        <f t="shared" si="10"/>
        <v>0</v>
      </c>
    </row>
    <row r="79" spans="1:19" ht="30" x14ac:dyDescent="0.25">
      <c r="A79" s="13" t="s">
        <v>44</v>
      </c>
      <c r="B79" s="13" t="s">
        <v>423</v>
      </c>
      <c r="C79" s="32">
        <v>45791</v>
      </c>
      <c r="D79" s="32">
        <v>45863</v>
      </c>
      <c r="E79" s="13" t="s">
        <v>223</v>
      </c>
      <c r="F79" s="13">
        <f t="shared" si="9"/>
        <v>72</v>
      </c>
      <c r="G79" s="32">
        <v>45863</v>
      </c>
      <c r="H79" s="48" t="s">
        <v>424</v>
      </c>
      <c r="I79" s="13" t="s">
        <v>23</v>
      </c>
      <c r="J79" s="13" t="s">
        <v>74</v>
      </c>
      <c r="K79">
        <f t="shared" si="10"/>
        <v>0</v>
      </c>
      <c r="L79">
        <f t="shared" si="10"/>
        <v>0</v>
      </c>
      <c r="M79">
        <f t="shared" si="10"/>
        <v>0</v>
      </c>
      <c r="N79">
        <f t="shared" si="10"/>
        <v>0</v>
      </c>
      <c r="O79">
        <f t="shared" si="10"/>
        <v>1</v>
      </c>
      <c r="P79">
        <f t="shared" si="10"/>
        <v>1</v>
      </c>
      <c r="Q79">
        <f t="shared" si="10"/>
        <v>1</v>
      </c>
      <c r="R79">
        <f t="shared" si="10"/>
        <v>0</v>
      </c>
      <c r="S79">
        <f t="shared" si="10"/>
        <v>0</v>
      </c>
    </row>
    <row r="80" spans="1:19" x14ac:dyDescent="0.25">
      <c r="A80" s="13" t="s">
        <v>78</v>
      </c>
      <c r="B80" s="13" t="s">
        <v>426</v>
      </c>
      <c r="C80" s="32">
        <v>45847</v>
      </c>
      <c r="D80" s="32">
        <v>45868</v>
      </c>
      <c r="E80" s="13" t="s">
        <v>223</v>
      </c>
      <c r="F80" s="13">
        <f t="shared" si="9"/>
        <v>21</v>
      </c>
      <c r="G80" s="32" t="s">
        <v>427</v>
      </c>
      <c r="H80" s="17" t="s">
        <v>428</v>
      </c>
      <c r="I80" s="13" t="s">
        <v>16</v>
      </c>
      <c r="J80" s="13" t="s">
        <v>75</v>
      </c>
      <c r="K80">
        <f t="shared" si="10"/>
        <v>0</v>
      </c>
      <c r="L80">
        <f t="shared" si="10"/>
        <v>0</v>
      </c>
      <c r="M80">
        <f t="shared" si="10"/>
        <v>0</v>
      </c>
      <c r="N80">
        <f t="shared" si="10"/>
        <v>0</v>
      </c>
      <c r="O80">
        <f t="shared" si="10"/>
        <v>0</v>
      </c>
      <c r="P80">
        <f t="shared" si="10"/>
        <v>0</v>
      </c>
      <c r="Q80">
        <f t="shared" si="10"/>
        <v>1</v>
      </c>
      <c r="R80">
        <f t="shared" si="10"/>
        <v>0</v>
      </c>
      <c r="S80">
        <f t="shared" si="10"/>
        <v>0</v>
      </c>
    </row>
    <row r="81" spans="1:19" ht="30" x14ac:dyDescent="0.25">
      <c r="A81" s="13" t="s">
        <v>78</v>
      </c>
      <c r="B81" s="13" t="s">
        <v>257</v>
      </c>
      <c r="C81" s="32">
        <v>45816</v>
      </c>
      <c r="D81" s="13"/>
      <c r="E81" s="13" t="s">
        <v>63</v>
      </c>
      <c r="F81" s="13">
        <f t="shared" si="9"/>
        <v>-45816</v>
      </c>
      <c r="G81" s="32" t="s">
        <v>342</v>
      </c>
      <c r="H81" s="48" t="s">
        <v>516</v>
      </c>
      <c r="I81" s="13" t="s">
        <v>16</v>
      </c>
      <c r="J81" s="13" t="s">
        <v>74</v>
      </c>
      <c r="K81">
        <f t="shared" si="10"/>
        <v>0</v>
      </c>
      <c r="L81">
        <f t="shared" si="10"/>
        <v>0</v>
      </c>
      <c r="M81">
        <f t="shared" si="10"/>
        <v>0</v>
      </c>
      <c r="N81">
        <f t="shared" si="10"/>
        <v>0</v>
      </c>
      <c r="O81">
        <f t="shared" si="10"/>
        <v>0</v>
      </c>
      <c r="P81">
        <f t="shared" si="10"/>
        <v>1</v>
      </c>
      <c r="Q81">
        <f t="shared" si="10"/>
        <v>1</v>
      </c>
      <c r="R81">
        <f t="shared" si="10"/>
        <v>1</v>
      </c>
      <c r="S81">
        <f t="shared" si="10"/>
        <v>1</v>
      </c>
    </row>
    <row r="82" spans="1:19" x14ac:dyDescent="0.25">
      <c r="A82" s="13" t="s">
        <v>78</v>
      </c>
      <c r="B82" s="13" t="s">
        <v>430</v>
      </c>
      <c r="C82" s="32">
        <v>45839</v>
      </c>
      <c r="D82" s="32">
        <v>45872</v>
      </c>
      <c r="E82" s="13" t="s">
        <v>223</v>
      </c>
      <c r="F82" s="13">
        <f t="shared" si="9"/>
        <v>33</v>
      </c>
      <c r="G82" s="13" t="s">
        <v>65</v>
      </c>
      <c r="H82" s="17" t="s">
        <v>315</v>
      </c>
      <c r="I82" s="13" t="s">
        <v>27</v>
      </c>
      <c r="J82" s="13" t="s">
        <v>74</v>
      </c>
      <c r="K82">
        <f t="shared" si="10"/>
        <v>0</v>
      </c>
      <c r="L82">
        <f t="shared" si="10"/>
        <v>0</v>
      </c>
      <c r="M82">
        <f t="shared" si="10"/>
        <v>0</v>
      </c>
      <c r="N82">
        <f t="shared" si="10"/>
        <v>0</v>
      </c>
      <c r="O82">
        <f t="shared" si="10"/>
        <v>0</v>
      </c>
      <c r="P82">
        <f t="shared" si="10"/>
        <v>0</v>
      </c>
      <c r="Q82">
        <f t="shared" si="10"/>
        <v>1</v>
      </c>
      <c r="R82">
        <f t="shared" si="10"/>
        <v>1</v>
      </c>
      <c r="S82">
        <f t="shared" si="10"/>
        <v>0</v>
      </c>
    </row>
    <row r="83" spans="1:19" ht="30" x14ac:dyDescent="0.25">
      <c r="A83" s="13" t="s">
        <v>78</v>
      </c>
      <c r="B83" s="13" t="s">
        <v>432</v>
      </c>
      <c r="C83" s="32">
        <v>45726</v>
      </c>
      <c r="D83" s="32">
        <v>45876</v>
      </c>
      <c r="E83" s="13" t="s">
        <v>223</v>
      </c>
      <c r="F83" s="13">
        <f t="shared" si="9"/>
        <v>150</v>
      </c>
      <c r="G83" s="13" t="s">
        <v>342</v>
      </c>
      <c r="H83" s="17" t="s">
        <v>433</v>
      </c>
      <c r="I83" s="13" t="s">
        <v>434</v>
      </c>
      <c r="J83" s="13" t="s">
        <v>74</v>
      </c>
      <c r="K83">
        <f t="shared" ref="K83:S92" si="11">IF(AND($C83&lt;=EOMONTH(K$2,0),$D83&gt;=K$2),1,IF(AND($E83="Parada",EOMONTH(K$2,0)&gt;=$C83),1,0))</f>
        <v>0</v>
      </c>
      <c r="L83">
        <f t="shared" si="11"/>
        <v>0</v>
      </c>
      <c r="M83">
        <f t="shared" si="11"/>
        <v>1</v>
      </c>
      <c r="N83">
        <f t="shared" si="11"/>
        <v>1</v>
      </c>
      <c r="O83">
        <f t="shared" si="11"/>
        <v>1</v>
      </c>
      <c r="P83">
        <f t="shared" si="11"/>
        <v>1</v>
      </c>
      <c r="Q83">
        <f t="shared" si="11"/>
        <v>1</v>
      </c>
      <c r="R83">
        <f t="shared" si="11"/>
        <v>1</v>
      </c>
      <c r="S83">
        <f t="shared" si="11"/>
        <v>0</v>
      </c>
    </row>
    <row r="84" spans="1:19" ht="60" x14ac:dyDescent="0.25">
      <c r="A84" s="13" t="s">
        <v>78</v>
      </c>
      <c r="B84" s="13" t="s">
        <v>294</v>
      </c>
      <c r="C84" s="32">
        <v>45838</v>
      </c>
      <c r="D84" s="32">
        <v>45882</v>
      </c>
      <c r="E84" s="13" t="s">
        <v>223</v>
      </c>
      <c r="F84" s="13">
        <f t="shared" si="9"/>
        <v>44</v>
      </c>
      <c r="G84" s="13" t="s">
        <v>65</v>
      </c>
      <c r="H84" s="17" t="s">
        <v>436</v>
      </c>
      <c r="I84" s="13" t="s">
        <v>27</v>
      </c>
      <c r="J84" s="13" t="s">
        <v>74</v>
      </c>
      <c r="K84">
        <f t="shared" si="11"/>
        <v>0</v>
      </c>
      <c r="L84">
        <f t="shared" si="11"/>
        <v>0</v>
      </c>
      <c r="M84">
        <f t="shared" si="11"/>
        <v>0</v>
      </c>
      <c r="N84">
        <f t="shared" si="11"/>
        <v>0</v>
      </c>
      <c r="O84">
        <f t="shared" si="11"/>
        <v>0</v>
      </c>
      <c r="P84">
        <f t="shared" si="11"/>
        <v>1</v>
      </c>
      <c r="Q84">
        <f t="shared" si="11"/>
        <v>1</v>
      </c>
      <c r="R84">
        <f t="shared" si="11"/>
        <v>1</v>
      </c>
      <c r="S84">
        <f t="shared" si="11"/>
        <v>0</v>
      </c>
    </row>
    <row r="85" spans="1:19" x14ac:dyDescent="0.25">
      <c r="A85" s="13" t="s">
        <v>78</v>
      </c>
      <c r="B85" s="13" t="s">
        <v>438</v>
      </c>
      <c r="C85" s="32">
        <v>45858</v>
      </c>
      <c r="D85" s="32">
        <v>45884</v>
      </c>
      <c r="E85" s="13" t="s">
        <v>223</v>
      </c>
      <c r="F85" s="13">
        <f t="shared" si="9"/>
        <v>26</v>
      </c>
      <c r="G85" s="32" t="s">
        <v>342</v>
      </c>
      <c r="H85" s="17" t="s">
        <v>439</v>
      </c>
      <c r="I85" s="13" t="s">
        <v>25</v>
      </c>
      <c r="J85" s="13" t="s">
        <v>74</v>
      </c>
      <c r="K85">
        <f t="shared" si="11"/>
        <v>0</v>
      </c>
      <c r="L85">
        <f t="shared" si="11"/>
        <v>0</v>
      </c>
      <c r="M85">
        <f t="shared" si="11"/>
        <v>0</v>
      </c>
      <c r="N85">
        <f t="shared" si="11"/>
        <v>0</v>
      </c>
      <c r="O85">
        <f t="shared" si="11"/>
        <v>0</v>
      </c>
      <c r="P85">
        <f t="shared" si="11"/>
        <v>0</v>
      </c>
      <c r="Q85">
        <f t="shared" si="11"/>
        <v>1</v>
      </c>
      <c r="R85">
        <f t="shared" si="11"/>
        <v>1</v>
      </c>
      <c r="S85">
        <f t="shared" si="11"/>
        <v>0</v>
      </c>
    </row>
    <row r="86" spans="1:19" ht="30" x14ac:dyDescent="0.25">
      <c r="A86" s="13" t="s">
        <v>78</v>
      </c>
      <c r="B86" s="13" t="s">
        <v>441</v>
      </c>
      <c r="C86" s="32">
        <v>45866</v>
      </c>
      <c r="D86" s="32">
        <v>45890</v>
      </c>
      <c r="E86" s="13" t="s">
        <v>223</v>
      </c>
      <c r="F86" s="13">
        <f t="shared" si="9"/>
        <v>24</v>
      </c>
      <c r="G86" s="32">
        <v>45891</v>
      </c>
      <c r="H86" s="17" t="s">
        <v>442</v>
      </c>
      <c r="I86" s="13" t="s">
        <v>27</v>
      </c>
      <c r="J86" s="13" t="s">
        <v>74</v>
      </c>
      <c r="K86">
        <f t="shared" si="11"/>
        <v>0</v>
      </c>
      <c r="L86">
        <f t="shared" si="11"/>
        <v>0</v>
      </c>
      <c r="M86">
        <f t="shared" si="11"/>
        <v>0</v>
      </c>
      <c r="N86">
        <f t="shared" si="11"/>
        <v>0</v>
      </c>
      <c r="O86">
        <f t="shared" si="11"/>
        <v>0</v>
      </c>
      <c r="P86">
        <f t="shared" si="11"/>
        <v>0</v>
      </c>
      <c r="Q86">
        <f t="shared" si="11"/>
        <v>1</v>
      </c>
      <c r="R86">
        <f t="shared" si="11"/>
        <v>1</v>
      </c>
      <c r="S86">
        <f t="shared" si="11"/>
        <v>0</v>
      </c>
    </row>
    <row r="87" spans="1:19" x14ac:dyDescent="0.25">
      <c r="A87" s="13" t="s">
        <v>78</v>
      </c>
      <c r="B87" s="13" t="s">
        <v>444</v>
      </c>
      <c r="C87" s="32">
        <v>45818</v>
      </c>
      <c r="D87" s="32">
        <v>45894</v>
      </c>
      <c r="E87" s="13" t="s">
        <v>223</v>
      </c>
      <c r="F87" s="13">
        <f t="shared" si="9"/>
        <v>76</v>
      </c>
      <c r="G87" s="32"/>
      <c r="H87" s="48" t="s">
        <v>445</v>
      </c>
      <c r="I87" s="13" t="s">
        <v>23</v>
      </c>
      <c r="J87" s="13" t="s">
        <v>74</v>
      </c>
      <c r="K87">
        <f t="shared" si="11"/>
        <v>0</v>
      </c>
      <c r="L87">
        <f t="shared" si="11"/>
        <v>0</v>
      </c>
      <c r="M87">
        <f t="shared" si="11"/>
        <v>0</v>
      </c>
      <c r="N87">
        <f t="shared" si="11"/>
        <v>0</v>
      </c>
      <c r="O87">
        <f t="shared" si="11"/>
        <v>0</v>
      </c>
      <c r="P87">
        <f t="shared" si="11"/>
        <v>1</v>
      </c>
      <c r="Q87">
        <f t="shared" si="11"/>
        <v>1</v>
      </c>
      <c r="R87">
        <f t="shared" si="11"/>
        <v>1</v>
      </c>
      <c r="S87">
        <f t="shared" si="11"/>
        <v>0</v>
      </c>
    </row>
    <row r="88" spans="1:19" x14ac:dyDescent="0.25">
      <c r="A88" s="13" t="s">
        <v>78</v>
      </c>
      <c r="B88" s="13" t="s">
        <v>341</v>
      </c>
      <c r="C88" s="32">
        <v>45822</v>
      </c>
      <c r="D88" s="32">
        <v>45894</v>
      </c>
      <c r="E88" s="13" t="s">
        <v>223</v>
      </c>
      <c r="F88" s="13">
        <f t="shared" si="9"/>
        <v>72</v>
      </c>
      <c r="G88" s="32">
        <v>45894</v>
      </c>
      <c r="H88" s="17" t="s">
        <v>315</v>
      </c>
      <c r="I88" s="13" t="s">
        <v>27</v>
      </c>
      <c r="J88" s="13" t="s">
        <v>74</v>
      </c>
      <c r="K88">
        <f t="shared" si="11"/>
        <v>0</v>
      </c>
      <c r="L88">
        <f t="shared" si="11"/>
        <v>0</v>
      </c>
      <c r="M88">
        <f t="shared" si="11"/>
        <v>0</v>
      </c>
      <c r="N88">
        <f t="shared" si="11"/>
        <v>0</v>
      </c>
      <c r="O88">
        <f t="shared" si="11"/>
        <v>0</v>
      </c>
      <c r="P88">
        <f t="shared" si="11"/>
        <v>1</v>
      </c>
      <c r="Q88">
        <f t="shared" si="11"/>
        <v>1</v>
      </c>
      <c r="R88">
        <f t="shared" si="11"/>
        <v>1</v>
      </c>
      <c r="S88">
        <f t="shared" si="11"/>
        <v>0</v>
      </c>
    </row>
    <row r="89" spans="1:19" x14ac:dyDescent="0.25">
      <c r="A89" s="13" t="s">
        <v>78</v>
      </c>
      <c r="B89" s="13" t="s">
        <v>450</v>
      </c>
      <c r="C89" s="32">
        <v>45885</v>
      </c>
      <c r="D89" s="32">
        <v>45897</v>
      </c>
      <c r="E89" s="13" t="s">
        <v>223</v>
      </c>
      <c r="F89" s="13">
        <f t="shared" si="9"/>
        <v>12</v>
      </c>
      <c r="G89" s="32"/>
      <c r="H89" s="17" t="s">
        <v>451</v>
      </c>
      <c r="I89" s="13" t="s">
        <v>255</v>
      </c>
      <c r="J89" s="13" t="s">
        <v>75</v>
      </c>
      <c r="K89">
        <f t="shared" si="11"/>
        <v>0</v>
      </c>
      <c r="L89">
        <f t="shared" si="11"/>
        <v>0</v>
      </c>
      <c r="M89">
        <f t="shared" si="11"/>
        <v>0</v>
      </c>
      <c r="N89">
        <f t="shared" si="11"/>
        <v>0</v>
      </c>
      <c r="O89">
        <f t="shared" si="11"/>
        <v>0</v>
      </c>
      <c r="P89">
        <f t="shared" si="11"/>
        <v>0</v>
      </c>
      <c r="Q89">
        <f t="shared" si="11"/>
        <v>0</v>
      </c>
      <c r="R89">
        <f t="shared" si="11"/>
        <v>1</v>
      </c>
      <c r="S89">
        <f t="shared" si="11"/>
        <v>0</v>
      </c>
    </row>
    <row r="90" spans="1:19" ht="30" x14ac:dyDescent="0.25">
      <c r="A90" s="13" t="s">
        <v>78</v>
      </c>
      <c r="B90" s="13" t="s">
        <v>399</v>
      </c>
      <c r="C90" s="32">
        <v>45854</v>
      </c>
      <c r="D90" s="32">
        <v>45897</v>
      </c>
      <c r="E90" s="13" t="s">
        <v>223</v>
      </c>
      <c r="F90" s="13">
        <f t="shared" si="9"/>
        <v>43</v>
      </c>
      <c r="G90" s="32"/>
      <c r="H90" s="17" t="s">
        <v>448</v>
      </c>
      <c r="I90" s="13" t="s">
        <v>434</v>
      </c>
      <c r="J90" s="13" t="s">
        <v>75</v>
      </c>
      <c r="K90">
        <f t="shared" si="11"/>
        <v>0</v>
      </c>
      <c r="L90">
        <f t="shared" si="11"/>
        <v>0</v>
      </c>
      <c r="M90">
        <f t="shared" si="11"/>
        <v>0</v>
      </c>
      <c r="N90">
        <f t="shared" si="11"/>
        <v>0</v>
      </c>
      <c r="O90">
        <f t="shared" si="11"/>
        <v>0</v>
      </c>
      <c r="P90">
        <f t="shared" si="11"/>
        <v>0</v>
      </c>
      <c r="Q90">
        <f t="shared" si="11"/>
        <v>1</v>
      </c>
      <c r="R90">
        <f t="shared" si="11"/>
        <v>1</v>
      </c>
      <c r="S90">
        <f t="shared" si="11"/>
        <v>0</v>
      </c>
    </row>
    <row r="91" spans="1:19" x14ac:dyDescent="0.25">
      <c r="A91" s="13" t="s">
        <v>78</v>
      </c>
      <c r="B91" s="13" t="s">
        <v>454</v>
      </c>
      <c r="C91" s="32">
        <v>45895</v>
      </c>
      <c r="D91" s="32">
        <v>45900</v>
      </c>
      <c r="E91" s="13" t="s">
        <v>223</v>
      </c>
      <c r="F91" s="13">
        <f t="shared" si="9"/>
        <v>5</v>
      </c>
      <c r="G91" s="32"/>
      <c r="H91" s="17" t="s">
        <v>451</v>
      </c>
      <c r="I91" s="13" t="s">
        <v>255</v>
      </c>
      <c r="J91" s="13" t="s">
        <v>75</v>
      </c>
      <c r="K91">
        <f t="shared" si="11"/>
        <v>0</v>
      </c>
      <c r="L91">
        <f t="shared" si="11"/>
        <v>0</v>
      </c>
      <c r="M91">
        <f t="shared" si="11"/>
        <v>0</v>
      </c>
      <c r="N91">
        <f t="shared" si="11"/>
        <v>0</v>
      </c>
      <c r="O91">
        <f t="shared" si="11"/>
        <v>0</v>
      </c>
      <c r="P91">
        <f t="shared" si="11"/>
        <v>0</v>
      </c>
      <c r="Q91">
        <f t="shared" si="11"/>
        <v>0</v>
      </c>
      <c r="R91">
        <f t="shared" si="11"/>
        <v>1</v>
      </c>
      <c r="S91">
        <f t="shared" si="11"/>
        <v>0</v>
      </c>
    </row>
    <row r="92" spans="1:19" x14ac:dyDescent="0.25">
      <c r="A92" s="28" t="s">
        <v>78</v>
      </c>
      <c r="B92" s="28" t="s">
        <v>234</v>
      </c>
      <c r="C92" s="46">
        <v>45888</v>
      </c>
      <c r="D92" s="46">
        <v>45909</v>
      </c>
      <c r="E92" s="28" t="s">
        <v>223</v>
      </c>
      <c r="F92" s="13">
        <f t="shared" si="9"/>
        <v>21</v>
      </c>
      <c r="G92" s="32">
        <v>45910</v>
      </c>
      <c r="H92" s="47" t="s">
        <v>456</v>
      </c>
      <c r="I92" s="28" t="s">
        <v>16</v>
      </c>
      <c r="J92" s="28" t="s">
        <v>75</v>
      </c>
      <c r="K92">
        <f t="shared" si="11"/>
        <v>0</v>
      </c>
      <c r="L92">
        <f t="shared" si="11"/>
        <v>0</v>
      </c>
      <c r="M92">
        <f t="shared" si="11"/>
        <v>0</v>
      </c>
      <c r="N92">
        <f t="shared" si="11"/>
        <v>0</v>
      </c>
      <c r="O92">
        <f t="shared" si="11"/>
        <v>0</v>
      </c>
      <c r="P92">
        <f t="shared" si="11"/>
        <v>0</v>
      </c>
      <c r="Q92">
        <f t="shared" si="11"/>
        <v>0</v>
      </c>
      <c r="R92">
        <f t="shared" si="11"/>
        <v>1</v>
      </c>
      <c r="S92">
        <f t="shared" si="11"/>
        <v>1</v>
      </c>
    </row>
    <row r="93" spans="1:19" x14ac:dyDescent="0.25">
      <c r="A93" s="28" t="s">
        <v>78</v>
      </c>
      <c r="B93" s="28" t="s">
        <v>393</v>
      </c>
      <c r="C93" s="46">
        <v>45908</v>
      </c>
      <c r="D93" s="46">
        <v>45915</v>
      </c>
      <c r="E93" s="28" t="s">
        <v>223</v>
      </c>
      <c r="F93" s="13">
        <f t="shared" si="9"/>
        <v>7</v>
      </c>
      <c r="G93" s="32"/>
      <c r="H93" s="47" t="s">
        <v>458</v>
      </c>
      <c r="I93" s="28" t="s">
        <v>25</v>
      </c>
      <c r="J93" s="28" t="s">
        <v>75</v>
      </c>
      <c r="K93">
        <f t="shared" ref="K93:S102" si="12">IF(AND($C93&lt;=EOMONTH(K$2,0),$D93&gt;=K$2),1,IF(AND($E93="Parada",EOMONTH(K$2,0)&gt;=$C93),1,0))</f>
        <v>0</v>
      </c>
      <c r="L93">
        <f t="shared" si="12"/>
        <v>0</v>
      </c>
      <c r="M93">
        <f t="shared" si="12"/>
        <v>0</v>
      </c>
      <c r="N93">
        <f t="shared" si="12"/>
        <v>0</v>
      </c>
      <c r="O93">
        <f t="shared" si="12"/>
        <v>0</v>
      </c>
      <c r="P93">
        <f t="shared" si="12"/>
        <v>0</v>
      </c>
      <c r="Q93">
        <f t="shared" si="12"/>
        <v>0</v>
      </c>
      <c r="R93">
        <f t="shared" si="12"/>
        <v>0</v>
      </c>
      <c r="S93">
        <f t="shared" si="12"/>
        <v>1</v>
      </c>
    </row>
    <row r="94" spans="1:19" x14ac:dyDescent="0.25">
      <c r="A94" s="13" t="s">
        <v>78</v>
      </c>
      <c r="B94" s="13" t="s">
        <v>460</v>
      </c>
      <c r="C94" s="32">
        <v>45898</v>
      </c>
      <c r="D94" s="32">
        <v>45918</v>
      </c>
      <c r="E94" s="13" t="s">
        <v>223</v>
      </c>
      <c r="F94" s="13">
        <f t="shared" si="9"/>
        <v>20</v>
      </c>
      <c r="G94" s="32">
        <v>45918</v>
      </c>
      <c r="H94" s="17" t="s">
        <v>456</v>
      </c>
      <c r="I94" s="13" t="s">
        <v>16</v>
      </c>
      <c r="J94" s="13" t="s">
        <v>75</v>
      </c>
      <c r="K94">
        <f t="shared" si="12"/>
        <v>0</v>
      </c>
      <c r="L94">
        <f t="shared" si="12"/>
        <v>0</v>
      </c>
      <c r="M94">
        <f t="shared" si="12"/>
        <v>0</v>
      </c>
      <c r="N94">
        <f t="shared" si="12"/>
        <v>0</v>
      </c>
      <c r="O94">
        <f t="shared" si="12"/>
        <v>0</v>
      </c>
      <c r="P94">
        <f t="shared" si="12"/>
        <v>0</v>
      </c>
      <c r="Q94">
        <f t="shared" si="12"/>
        <v>0</v>
      </c>
      <c r="R94">
        <f t="shared" si="12"/>
        <v>1</v>
      </c>
      <c r="S94">
        <f t="shared" si="12"/>
        <v>1</v>
      </c>
    </row>
    <row r="95" spans="1:19" x14ac:dyDescent="0.25">
      <c r="A95" s="13" t="s">
        <v>77</v>
      </c>
      <c r="B95" s="13" t="s">
        <v>727</v>
      </c>
      <c r="C95" s="32">
        <v>45821</v>
      </c>
      <c r="D95" s="13" t="s">
        <v>728</v>
      </c>
      <c r="E95" s="13" t="s">
        <v>223</v>
      </c>
      <c r="F95" s="13">
        <f t="shared" si="9"/>
        <v>35</v>
      </c>
      <c r="G95" s="32">
        <v>45856</v>
      </c>
      <c r="H95" s="17" t="s">
        <v>400</v>
      </c>
      <c r="I95" s="13" t="s">
        <v>21</v>
      </c>
      <c r="J95" s="13" t="s">
        <v>10</v>
      </c>
      <c r="K95">
        <f t="shared" si="12"/>
        <v>0</v>
      </c>
      <c r="L95">
        <f t="shared" si="12"/>
        <v>0</v>
      </c>
      <c r="M95">
        <f t="shared" si="12"/>
        <v>0</v>
      </c>
      <c r="N95">
        <f t="shared" si="12"/>
        <v>0</v>
      </c>
      <c r="O95">
        <f t="shared" si="12"/>
        <v>0</v>
      </c>
      <c r="P95">
        <f t="shared" si="12"/>
        <v>1</v>
      </c>
      <c r="Q95">
        <f t="shared" si="12"/>
        <v>1</v>
      </c>
      <c r="R95">
        <f t="shared" si="12"/>
        <v>1</v>
      </c>
      <c r="S95">
        <f t="shared" si="12"/>
        <v>1</v>
      </c>
    </row>
    <row r="96" spans="1:19" x14ac:dyDescent="0.25">
      <c r="A96" s="13" t="s">
        <v>77</v>
      </c>
      <c r="B96" s="13" t="s">
        <v>540</v>
      </c>
      <c r="C96" s="32">
        <v>45691</v>
      </c>
      <c r="D96" s="32">
        <v>45716</v>
      </c>
      <c r="E96" s="13" t="s">
        <v>223</v>
      </c>
      <c r="F96" s="13">
        <f t="shared" si="9"/>
        <v>25</v>
      </c>
      <c r="G96" s="13"/>
      <c r="H96" s="17" t="s">
        <v>733</v>
      </c>
      <c r="I96" s="35" t="s">
        <v>21</v>
      </c>
      <c r="J96" s="35" t="s">
        <v>75</v>
      </c>
      <c r="K96">
        <f t="shared" si="12"/>
        <v>0</v>
      </c>
      <c r="L96">
        <f t="shared" si="12"/>
        <v>1</v>
      </c>
      <c r="M96">
        <f t="shared" si="12"/>
        <v>0</v>
      </c>
      <c r="N96">
        <f t="shared" si="12"/>
        <v>0</v>
      </c>
      <c r="O96">
        <f t="shared" si="12"/>
        <v>0</v>
      </c>
      <c r="P96">
        <f t="shared" si="12"/>
        <v>0</v>
      </c>
      <c r="Q96">
        <f t="shared" si="12"/>
        <v>0</v>
      </c>
      <c r="R96">
        <f t="shared" si="12"/>
        <v>0</v>
      </c>
      <c r="S96">
        <f t="shared" si="12"/>
        <v>0</v>
      </c>
    </row>
    <row r="97" spans="1:19" x14ac:dyDescent="0.25">
      <c r="A97" s="13" t="s">
        <v>77</v>
      </c>
      <c r="B97" s="13" t="s">
        <v>735</v>
      </c>
      <c r="C97" s="32">
        <v>45691</v>
      </c>
      <c r="D97" s="32">
        <v>45716</v>
      </c>
      <c r="E97" s="13" t="s">
        <v>223</v>
      </c>
      <c r="F97" s="13">
        <f t="shared" si="9"/>
        <v>25</v>
      </c>
      <c r="G97" s="13"/>
      <c r="H97" s="17" t="s">
        <v>733</v>
      </c>
      <c r="I97" s="35" t="s">
        <v>21</v>
      </c>
      <c r="J97" s="35" t="s">
        <v>75</v>
      </c>
      <c r="K97">
        <f t="shared" si="12"/>
        <v>0</v>
      </c>
      <c r="L97">
        <f t="shared" si="12"/>
        <v>1</v>
      </c>
      <c r="M97">
        <f t="shared" si="12"/>
        <v>0</v>
      </c>
      <c r="N97">
        <f t="shared" si="12"/>
        <v>0</v>
      </c>
      <c r="O97">
        <f t="shared" si="12"/>
        <v>0</v>
      </c>
      <c r="P97">
        <f t="shared" si="12"/>
        <v>0</v>
      </c>
      <c r="Q97">
        <f t="shared" si="12"/>
        <v>0</v>
      </c>
      <c r="R97">
        <f t="shared" si="12"/>
        <v>0</v>
      </c>
      <c r="S97">
        <f t="shared" si="12"/>
        <v>0</v>
      </c>
    </row>
    <row r="98" spans="1:19" ht="45" x14ac:dyDescent="0.25">
      <c r="A98" s="13" t="s">
        <v>77</v>
      </c>
      <c r="B98" s="13" t="s">
        <v>462</v>
      </c>
      <c r="C98" s="32">
        <v>45873</v>
      </c>
      <c r="D98" s="13"/>
      <c r="E98" s="13" t="s">
        <v>63</v>
      </c>
      <c r="F98" s="13">
        <f t="shared" si="9"/>
        <v>-45873</v>
      </c>
      <c r="G98" s="32">
        <v>45919</v>
      </c>
      <c r="H98" s="17" t="s">
        <v>463</v>
      </c>
      <c r="I98" s="13" t="s">
        <v>27</v>
      </c>
      <c r="J98" s="13" t="s">
        <v>74</v>
      </c>
      <c r="K98">
        <f t="shared" si="12"/>
        <v>0</v>
      </c>
      <c r="L98">
        <f t="shared" si="12"/>
        <v>0</v>
      </c>
      <c r="M98">
        <f t="shared" si="12"/>
        <v>0</v>
      </c>
      <c r="N98">
        <f t="shared" si="12"/>
        <v>0</v>
      </c>
      <c r="O98">
        <f t="shared" si="12"/>
        <v>0</v>
      </c>
      <c r="P98">
        <f t="shared" si="12"/>
        <v>0</v>
      </c>
      <c r="Q98">
        <f t="shared" si="12"/>
        <v>0</v>
      </c>
      <c r="R98">
        <f t="shared" si="12"/>
        <v>1</v>
      </c>
      <c r="S98">
        <f t="shared" si="12"/>
        <v>1</v>
      </c>
    </row>
    <row r="99" spans="1:19" x14ac:dyDescent="0.25">
      <c r="A99" s="13" t="s">
        <v>77</v>
      </c>
      <c r="B99" s="13" t="s">
        <v>345</v>
      </c>
      <c r="C99" s="32">
        <v>45878</v>
      </c>
      <c r="D99" s="13"/>
      <c r="E99" s="13" t="s">
        <v>63</v>
      </c>
      <c r="F99" s="13">
        <f t="shared" ref="F99:F110" si="13">D99-C99</f>
        <v>-45878</v>
      </c>
      <c r="G99" s="32"/>
      <c r="H99" s="17" t="s">
        <v>496</v>
      </c>
      <c r="I99" s="13" t="s">
        <v>27</v>
      </c>
      <c r="J99" s="13" t="s">
        <v>75</v>
      </c>
      <c r="K99">
        <f t="shared" si="12"/>
        <v>0</v>
      </c>
      <c r="L99">
        <f t="shared" si="12"/>
        <v>0</v>
      </c>
      <c r="M99">
        <f t="shared" si="12"/>
        <v>0</v>
      </c>
      <c r="N99">
        <f t="shared" si="12"/>
        <v>0</v>
      </c>
      <c r="O99">
        <f t="shared" si="12"/>
        <v>0</v>
      </c>
      <c r="P99">
        <f t="shared" si="12"/>
        <v>0</v>
      </c>
      <c r="Q99">
        <f t="shared" si="12"/>
        <v>0</v>
      </c>
      <c r="R99">
        <f t="shared" si="12"/>
        <v>1</v>
      </c>
      <c r="S99">
        <f t="shared" si="12"/>
        <v>1</v>
      </c>
    </row>
    <row r="100" spans="1:19" x14ac:dyDescent="0.25">
      <c r="A100" s="13" t="s">
        <v>78</v>
      </c>
      <c r="B100" s="13" t="s">
        <v>393</v>
      </c>
      <c r="C100" s="32">
        <v>45691</v>
      </c>
      <c r="D100" s="32">
        <v>45716</v>
      </c>
      <c r="E100" s="13" t="s">
        <v>223</v>
      </c>
      <c r="F100" s="13">
        <f t="shared" si="13"/>
        <v>25</v>
      </c>
      <c r="G100" s="13"/>
      <c r="H100" s="17" t="s">
        <v>733</v>
      </c>
      <c r="I100" s="35" t="s">
        <v>21</v>
      </c>
      <c r="J100" s="35" t="s">
        <v>75</v>
      </c>
      <c r="K100">
        <f t="shared" si="12"/>
        <v>0</v>
      </c>
      <c r="L100">
        <f t="shared" si="12"/>
        <v>1</v>
      </c>
      <c r="M100">
        <f t="shared" si="12"/>
        <v>0</v>
      </c>
      <c r="N100">
        <f t="shared" si="12"/>
        <v>0</v>
      </c>
      <c r="O100">
        <f t="shared" si="12"/>
        <v>0</v>
      </c>
      <c r="P100">
        <f t="shared" si="12"/>
        <v>0</v>
      </c>
      <c r="Q100">
        <f t="shared" si="12"/>
        <v>0</v>
      </c>
      <c r="R100">
        <f t="shared" si="12"/>
        <v>0</v>
      </c>
      <c r="S100">
        <f t="shared" si="12"/>
        <v>0</v>
      </c>
    </row>
    <row r="101" spans="1:19" x14ac:dyDescent="0.25">
      <c r="A101" s="28" t="s">
        <v>77</v>
      </c>
      <c r="B101" s="28" t="s">
        <v>736</v>
      </c>
      <c r="C101" s="46">
        <v>45692</v>
      </c>
      <c r="D101" s="32">
        <v>45716</v>
      </c>
      <c r="E101" s="28" t="s">
        <v>223</v>
      </c>
      <c r="F101" s="13">
        <f t="shared" si="13"/>
        <v>24</v>
      </c>
      <c r="G101" s="28"/>
      <c r="H101" s="47" t="s">
        <v>737</v>
      </c>
      <c r="I101" s="49" t="s">
        <v>21</v>
      </c>
      <c r="J101" s="49" t="s">
        <v>75</v>
      </c>
      <c r="K101">
        <f t="shared" si="12"/>
        <v>0</v>
      </c>
      <c r="L101">
        <f t="shared" si="12"/>
        <v>1</v>
      </c>
      <c r="M101">
        <f t="shared" si="12"/>
        <v>0</v>
      </c>
      <c r="N101">
        <f t="shared" si="12"/>
        <v>0</v>
      </c>
      <c r="O101">
        <f t="shared" si="12"/>
        <v>0</v>
      </c>
      <c r="P101">
        <f t="shared" si="12"/>
        <v>0</v>
      </c>
      <c r="Q101">
        <f t="shared" si="12"/>
        <v>0</v>
      </c>
      <c r="R101">
        <f t="shared" si="12"/>
        <v>0</v>
      </c>
      <c r="S101">
        <f t="shared" si="12"/>
        <v>0</v>
      </c>
    </row>
    <row r="102" spans="1:19" x14ac:dyDescent="0.25">
      <c r="A102" s="13" t="s">
        <v>77</v>
      </c>
      <c r="B102" s="13" t="s">
        <v>430</v>
      </c>
      <c r="C102" s="32">
        <v>45705</v>
      </c>
      <c r="D102" s="32">
        <v>45716</v>
      </c>
      <c r="E102" s="13" t="s">
        <v>223</v>
      </c>
      <c r="F102" s="13">
        <f t="shared" si="13"/>
        <v>11</v>
      </c>
      <c r="G102" s="13"/>
      <c r="H102" s="17" t="s">
        <v>738</v>
      </c>
      <c r="I102" s="13" t="s">
        <v>21</v>
      </c>
      <c r="J102" s="35" t="s">
        <v>75</v>
      </c>
      <c r="K102">
        <f t="shared" si="12"/>
        <v>0</v>
      </c>
      <c r="L102">
        <f t="shared" si="12"/>
        <v>1</v>
      </c>
      <c r="M102">
        <f t="shared" si="12"/>
        <v>0</v>
      </c>
      <c r="N102">
        <f t="shared" si="12"/>
        <v>0</v>
      </c>
      <c r="O102">
        <f t="shared" si="12"/>
        <v>0</v>
      </c>
      <c r="P102">
        <f t="shared" si="12"/>
        <v>0</v>
      </c>
      <c r="Q102">
        <f t="shared" si="12"/>
        <v>0</v>
      </c>
      <c r="R102">
        <f t="shared" si="12"/>
        <v>0</v>
      </c>
      <c r="S102">
        <f t="shared" si="12"/>
        <v>0</v>
      </c>
    </row>
    <row r="103" spans="1:19" x14ac:dyDescent="0.25">
      <c r="A103" s="13" t="s">
        <v>78</v>
      </c>
      <c r="B103" s="13" t="s">
        <v>399</v>
      </c>
      <c r="C103" s="32">
        <v>45898</v>
      </c>
      <c r="D103" s="13"/>
      <c r="E103" s="13" t="s">
        <v>63</v>
      </c>
      <c r="F103" s="13">
        <f t="shared" si="13"/>
        <v>-45898</v>
      </c>
      <c r="G103" s="32"/>
      <c r="H103" s="17" t="s">
        <v>456</v>
      </c>
      <c r="I103" s="13" t="s">
        <v>530</v>
      </c>
      <c r="J103" s="13" t="s">
        <v>74</v>
      </c>
      <c r="K103">
        <f t="shared" ref="K103:S111" si="14">IF(AND($C103&lt;=EOMONTH(K$2,0),$D103&gt;=K$2),1,IF(AND($E103="Parada",EOMONTH(K$2,0)&gt;=$C103),1,0))</f>
        <v>0</v>
      </c>
      <c r="L103">
        <f t="shared" si="14"/>
        <v>0</v>
      </c>
      <c r="M103">
        <f t="shared" si="14"/>
        <v>0</v>
      </c>
      <c r="N103">
        <f t="shared" si="14"/>
        <v>0</v>
      </c>
      <c r="O103">
        <f t="shared" si="14"/>
        <v>0</v>
      </c>
      <c r="P103">
        <f t="shared" si="14"/>
        <v>0</v>
      </c>
      <c r="Q103">
        <f t="shared" si="14"/>
        <v>0</v>
      </c>
      <c r="R103">
        <f t="shared" si="14"/>
        <v>1</v>
      </c>
      <c r="S103">
        <f t="shared" si="14"/>
        <v>1</v>
      </c>
    </row>
    <row r="104" spans="1:19" x14ac:dyDescent="0.25">
      <c r="A104" s="13" t="s">
        <v>78</v>
      </c>
      <c r="B104" s="13" t="s">
        <v>739</v>
      </c>
      <c r="C104" s="32">
        <v>45707</v>
      </c>
      <c r="D104" s="32">
        <v>45716</v>
      </c>
      <c r="E104" s="13" t="s">
        <v>223</v>
      </c>
      <c r="F104" s="13">
        <f t="shared" si="13"/>
        <v>9</v>
      </c>
      <c r="G104" s="13"/>
      <c r="H104" s="17" t="s">
        <v>738</v>
      </c>
      <c r="I104" s="13" t="s">
        <v>21</v>
      </c>
      <c r="J104" s="35" t="s">
        <v>75</v>
      </c>
      <c r="K104">
        <f t="shared" si="14"/>
        <v>0</v>
      </c>
      <c r="L104">
        <f t="shared" si="14"/>
        <v>1</v>
      </c>
      <c r="M104">
        <f t="shared" si="14"/>
        <v>0</v>
      </c>
      <c r="N104">
        <f t="shared" si="14"/>
        <v>0</v>
      </c>
      <c r="O104">
        <f t="shared" si="14"/>
        <v>0</v>
      </c>
      <c r="P104">
        <f t="shared" si="14"/>
        <v>0</v>
      </c>
      <c r="Q104">
        <f t="shared" si="14"/>
        <v>0</v>
      </c>
      <c r="R104">
        <f t="shared" si="14"/>
        <v>0</v>
      </c>
      <c r="S104">
        <f t="shared" si="14"/>
        <v>0</v>
      </c>
    </row>
    <row r="105" spans="1:19" x14ac:dyDescent="0.25">
      <c r="A105" s="13" t="s">
        <v>77</v>
      </c>
      <c r="B105" s="13" t="s">
        <v>465</v>
      </c>
      <c r="C105" s="32">
        <v>45898</v>
      </c>
      <c r="D105" s="13"/>
      <c r="E105" s="13" t="s">
        <v>63</v>
      </c>
      <c r="F105" s="13">
        <f t="shared" si="13"/>
        <v>-45898</v>
      </c>
      <c r="G105" s="32"/>
      <c r="H105" s="17" t="s">
        <v>456</v>
      </c>
      <c r="I105" s="13" t="s">
        <v>16</v>
      </c>
      <c r="J105" s="13" t="s">
        <v>75</v>
      </c>
      <c r="K105">
        <f t="shared" si="14"/>
        <v>0</v>
      </c>
      <c r="L105">
        <f t="shared" si="14"/>
        <v>0</v>
      </c>
      <c r="M105">
        <f t="shared" si="14"/>
        <v>0</v>
      </c>
      <c r="N105">
        <f t="shared" si="14"/>
        <v>0</v>
      </c>
      <c r="O105">
        <f t="shared" si="14"/>
        <v>0</v>
      </c>
      <c r="P105">
        <f t="shared" si="14"/>
        <v>0</v>
      </c>
      <c r="Q105">
        <f t="shared" si="14"/>
        <v>0</v>
      </c>
      <c r="R105">
        <f t="shared" si="14"/>
        <v>1</v>
      </c>
      <c r="S105">
        <f t="shared" si="14"/>
        <v>1</v>
      </c>
    </row>
    <row r="106" spans="1:19" x14ac:dyDescent="0.25">
      <c r="A106" s="13" t="s">
        <v>77</v>
      </c>
      <c r="B106" s="13" t="s">
        <v>498</v>
      </c>
      <c r="C106" s="32">
        <v>45901</v>
      </c>
      <c r="D106" s="13"/>
      <c r="E106" s="13" t="s">
        <v>63</v>
      </c>
      <c r="F106" s="13">
        <f t="shared" si="13"/>
        <v>-45901</v>
      </c>
      <c r="G106" s="32"/>
      <c r="H106" s="17" t="s">
        <v>499</v>
      </c>
      <c r="I106" s="13" t="s">
        <v>16</v>
      </c>
      <c r="J106" s="13" t="s">
        <v>75</v>
      </c>
      <c r="K106">
        <f t="shared" si="14"/>
        <v>0</v>
      </c>
      <c r="L106">
        <f t="shared" si="14"/>
        <v>0</v>
      </c>
      <c r="M106">
        <f t="shared" si="14"/>
        <v>0</v>
      </c>
      <c r="N106">
        <f t="shared" si="14"/>
        <v>0</v>
      </c>
      <c r="O106">
        <f t="shared" si="14"/>
        <v>0</v>
      </c>
      <c r="P106">
        <f t="shared" si="14"/>
        <v>0</v>
      </c>
      <c r="Q106">
        <f t="shared" si="14"/>
        <v>0</v>
      </c>
      <c r="R106">
        <f t="shared" si="14"/>
        <v>0</v>
      </c>
      <c r="S106">
        <f t="shared" si="14"/>
        <v>1</v>
      </c>
    </row>
    <row r="107" spans="1:19" x14ac:dyDescent="0.25">
      <c r="A107" s="13" t="s">
        <v>77</v>
      </c>
      <c r="B107" s="13" t="s">
        <v>320</v>
      </c>
      <c r="C107" s="32">
        <v>45903</v>
      </c>
      <c r="D107" s="13"/>
      <c r="E107" s="13" t="s">
        <v>63</v>
      </c>
      <c r="F107" s="13">
        <f t="shared" si="13"/>
        <v>-45903</v>
      </c>
      <c r="G107" s="32"/>
      <c r="H107" s="17" t="s">
        <v>481</v>
      </c>
      <c r="I107" s="13" t="s">
        <v>19</v>
      </c>
      <c r="J107" s="13" t="s">
        <v>74</v>
      </c>
      <c r="K107">
        <f t="shared" si="14"/>
        <v>0</v>
      </c>
      <c r="L107">
        <f t="shared" si="14"/>
        <v>0</v>
      </c>
      <c r="M107">
        <f t="shared" si="14"/>
        <v>0</v>
      </c>
      <c r="N107">
        <f t="shared" si="14"/>
        <v>0</v>
      </c>
      <c r="O107">
        <f t="shared" si="14"/>
        <v>0</v>
      </c>
      <c r="P107">
        <f t="shared" si="14"/>
        <v>0</v>
      </c>
      <c r="Q107">
        <f t="shared" si="14"/>
        <v>0</v>
      </c>
      <c r="R107">
        <f t="shared" si="14"/>
        <v>0</v>
      </c>
      <c r="S107">
        <f t="shared" si="14"/>
        <v>1</v>
      </c>
    </row>
    <row r="108" spans="1:19" x14ac:dyDescent="0.25">
      <c r="A108" s="13" t="s">
        <v>77</v>
      </c>
      <c r="B108" s="13" t="s">
        <v>740</v>
      </c>
      <c r="C108" s="32">
        <v>45691</v>
      </c>
      <c r="D108" s="32">
        <v>45716</v>
      </c>
      <c r="E108" s="13" t="s">
        <v>223</v>
      </c>
      <c r="F108" s="13">
        <f t="shared" si="13"/>
        <v>25</v>
      </c>
      <c r="G108" s="13"/>
      <c r="H108" s="17" t="s">
        <v>738</v>
      </c>
      <c r="I108" s="35" t="s">
        <v>21</v>
      </c>
      <c r="J108" s="35" t="s">
        <v>75</v>
      </c>
      <c r="K108">
        <f t="shared" si="14"/>
        <v>0</v>
      </c>
      <c r="L108">
        <f t="shared" si="14"/>
        <v>1</v>
      </c>
      <c r="M108">
        <f t="shared" si="14"/>
        <v>0</v>
      </c>
      <c r="N108">
        <f t="shared" si="14"/>
        <v>0</v>
      </c>
      <c r="O108">
        <f t="shared" si="14"/>
        <v>0</v>
      </c>
      <c r="P108">
        <f t="shared" si="14"/>
        <v>0</v>
      </c>
      <c r="Q108">
        <f t="shared" si="14"/>
        <v>0</v>
      </c>
      <c r="R108">
        <f t="shared" si="14"/>
        <v>0</v>
      </c>
      <c r="S108">
        <f t="shared" si="14"/>
        <v>0</v>
      </c>
    </row>
    <row r="109" spans="1:19" x14ac:dyDescent="0.25">
      <c r="A109" s="13" t="s">
        <v>77</v>
      </c>
      <c r="B109" s="13" t="s">
        <v>311</v>
      </c>
      <c r="C109" s="32">
        <v>45908</v>
      </c>
      <c r="D109" s="13"/>
      <c r="E109" s="13" t="s">
        <v>63</v>
      </c>
      <c r="F109" s="13">
        <f t="shared" si="13"/>
        <v>-45908</v>
      </c>
      <c r="G109" s="32"/>
      <c r="H109" s="17" t="s">
        <v>499</v>
      </c>
      <c r="I109" s="13" t="s">
        <v>16</v>
      </c>
      <c r="J109" s="13" t="s">
        <v>75</v>
      </c>
      <c r="K109">
        <f t="shared" si="14"/>
        <v>0</v>
      </c>
      <c r="L109">
        <f t="shared" si="14"/>
        <v>0</v>
      </c>
      <c r="M109">
        <f t="shared" si="14"/>
        <v>0</v>
      </c>
      <c r="N109">
        <f t="shared" si="14"/>
        <v>0</v>
      </c>
      <c r="O109">
        <f t="shared" si="14"/>
        <v>0</v>
      </c>
      <c r="P109">
        <f t="shared" si="14"/>
        <v>0</v>
      </c>
      <c r="Q109">
        <f t="shared" si="14"/>
        <v>0</v>
      </c>
      <c r="R109">
        <f t="shared" si="14"/>
        <v>0</v>
      </c>
      <c r="S109">
        <f t="shared" si="14"/>
        <v>1</v>
      </c>
    </row>
    <row r="110" spans="1:19" x14ac:dyDescent="0.25">
      <c r="A110" s="13" t="s">
        <v>77</v>
      </c>
      <c r="B110" s="13" t="s">
        <v>475</v>
      </c>
      <c r="C110" s="32">
        <v>45910</v>
      </c>
      <c r="D110" s="13"/>
      <c r="E110" s="13" t="s">
        <v>63</v>
      </c>
      <c r="F110" s="13">
        <f t="shared" si="13"/>
        <v>-45910</v>
      </c>
      <c r="G110" s="32"/>
      <c r="H110" s="17" t="s">
        <v>476</v>
      </c>
      <c r="I110" s="13" t="s">
        <v>23</v>
      </c>
      <c r="J110" s="13" t="s">
        <v>74</v>
      </c>
      <c r="K110">
        <f t="shared" si="14"/>
        <v>0</v>
      </c>
      <c r="L110">
        <f t="shared" si="14"/>
        <v>0</v>
      </c>
      <c r="M110">
        <f t="shared" si="14"/>
        <v>0</v>
      </c>
      <c r="N110">
        <f t="shared" si="14"/>
        <v>0</v>
      </c>
      <c r="O110">
        <f t="shared" si="14"/>
        <v>0</v>
      </c>
      <c r="P110">
        <f t="shared" si="14"/>
        <v>0</v>
      </c>
      <c r="Q110">
        <f t="shared" si="14"/>
        <v>0</v>
      </c>
      <c r="R110">
        <f t="shared" si="14"/>
        <v>0</v>
      </c>
      <c r="S110">
        <f t="shared" si="14"/>
        <v>1</v>
      </c>
    </row>
    <row r="111" spans="1:19" x14ac:dyDescent="0.25">
      <c r="K111">
        <f t="shared" si="14"/>
        <v>0</v>
      </c>
      <c r="L111">
        <f t="shared" si="14"/>
        <v>0</v>
      </c>
      <c r="M111">
        <f t="shared" si="14"/>
        <v>0</v>
      </c>
      <c r="N111">
        <f t="shared" si="14"/>
        <v>0</v>
      </c>
      <c r="O111">
        <f t="shared" si="14"/>
        <v>0</v>
      </c>
      <c r="P111">
        <f t="shared" si="14"/>
        <v>0</v>
      </c>
      <c r="Q111">
        <f t="shared" si="14"/>
        <v>0</v>
      </c>
      <c r="R111">
        <f t="shared" si="14"/>
        <v>0</v>
      </c>
      <c r="S111">
        <f t="shared" si="14"/>
        <v>0</v>
      </c>
    </row>
  </sheetData>
  <autoFilter ref="A2:S111" xr:uid="{59CAE2C1-8C93-4E67-9D0D-D7CDA0FAC68F}"/>
  <conditionalFormatting sqref="B2:B110">
    <cfRule type="duplicateValues" dxfId="19" priority="1"/>
  </conditionalFormatting>
  <conditionalFormatting sqref="F2:F110">
    <cfRule type="colorScale" priority="2">
      <colorScale>
        <cfvo type="min"/>
        <cfvo type="percentile" val="50"/>
        <cfvo type="max"/>
        <color rgb="FF92D050"/>
        <color rgb="FFFFEB84"/>
        <color rgb="FFFF0000"/>
      </colorScale>
    </cfRule>
  </conditionalFormatting>
  <pageMargins left="0.511811024" right="0.511811024" top="0.78740157499999996" bottom="0.78740157499999996" header="0.31496062000000002" footer="0.31496062000000002"/>
  <legacy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C892EB-E8EB-49D2-92C2-C06061955392}">
  <sheetPr codeName="Planilha10"/>
  <dimension ref="A2:K58"/>
  <sheetViews>
    <sheetView workbookViewId="0">
      <selection activeCell="C1" sqref="C1"/>
    </sheetView>
  </sheetViews>
  <sheetFormatPr defaultRowHeight="15" x14ac:dyDescent="0.25"/>
  <cols>
    <col min="1" max="1" width="10.7109375" bestFit="1" customWidth="1"/>
    <col min="2" max="2" width="18.28515625" bestFit="1" customWidth="1"/>
  </cols>
  <sheetData>
    <row r="2" spans="1:11" x14ac:dyDescent="0.25">
      <c r="A2" s="55" t="s">
        <v>34</v>
      </c>
      <c r="B2" s="55" t="s">
        <v>872</v>
      </c>
      <c r="C2" s="55">
        <v>45658</v>
      </c>
      <c r="D2" s="55">
        <v>45689</v>
      </c>
      <c r="E2" s="55">
        <v>45717</v>
      </c>
      <c r="F2" s="55">
        <v>45748</v>
      </c>
      <c r="G2" s="55">
        <v>45778</v>
      </c>
      <c r="H2" s="55">
        <v>45809</v>
      </c>
      <c r="I2" s="55">
        <v>45839</v>
      </c>
      <c r="J2" s="55">
        <v>45870</v>
      </c>
      <c r="K2" s="55">
        <v>45901</v>
      </c>
    </row>
    <row r="3" spans="1:11" x14ac:dyDescent="0.25">
      <c r="A3" s="14" t="s">
        <v>44</v>
      </c>
      <c r="B3" s="33" t="s">
        <v>225</v>
      </c>
      <c r="C3" s="2">
        <f>SUMIFS(Planilha3!K:K,Planilha3!$A:$A,Planilha5!$A3,Planilha3!$I:$I,Planilha5!$B3)</f>
        <v>0</v>
      </c>
      <c r="D3" s="2">
        <f>SUMIFS(Planilha3!L:L,Planilha3!$A:$A,Planilha5!$A3,Planilha3!$I:$I,Planilha5!$B3)</f>
        <v>0</v>
      </c>
      <c r="E3" s="2">
        <f>SUMIFS(Planilha3!M:M,Planilha3!$A:$A,Planilha5!$A3,Planilha3!$I:$I,Planilha5!$B3)</f>
        <v>0</v>
      </c>
      <c r="F3" s="2">
        <f>SUMIFS(Planilha3!N:N,Planilha3!$A:$A,Planilha5!$A3,Planilha3!$I:$I,Planilha5!$B3)</f>
        <v>0</v>
      </c>
      <c r="G3" s="2">
        <f>SUMIFS(Planilha3!O:O,Planilha3!$A:$A,Planilha5!$A3,Planilha3!$I:$I,Planilha5!$B3)</f>
        <v>0</v>
      </c>
      <c r="H3" s="2">
        <f>SUMIFS(Planilha3!P:P,Planilha3!$A:$A,Planilha5!$A3,Planilha3!$I:$I,Planilha5!$B3)</f>
        <v>0</v>
      </c>
      <c r="I3" s="2">
        <f>SUMIFS(Planilha3!Q:Q,Planilha3!$A:$A,Planilha5!$A3,Planilha3!$I:$I,Planilha5!$B3)</f>
        <v>0</v>
      </c>
      <c r="J3" s="2">
        <f>SUMIFS(Planilha3!R:R,Planilha3!$A:$A,Planilha5!$A3,Planilha3!$I:$I,Planilha5!$B3)</f>
        <v>0</v>
      </c>
      <c r="K3" s="2">
        <f>SUMIFS(Planilha3!S:S,Planilha3!$A:$A,Planilha5!$A3,Planilha3!$I:$I,Planilha5!$B3)</f>
        <v>0</v>
      </c>
    </row>
    <row r="4" spans="1:11" x14ac:dyDescent="0.25">
      <c r="A4" s="14" t="s">
        <v>44</v>
      </c>
      <c r="B4" s="13" t="s">
        <v>52</v>
      </c>
      <c r="C4" s="2">
        <f>SUMIFS(Planilha3!$K:$K,Planilha3!$A:$A,Planilha5!$A4,Planilha3!$I:$I,Planilha5!$B4)</f>
        <v>0</v>
      </c>
      <c r="D4" s="2">
        <f>SUMIFS(Planilha3!L:L,Planilha3!$A:$A,Planilha5!$A4,Planilha3!$I:$I,Planilha5!$B4)</f>
        <v>0</v>
      </c>
      <c r="E4" s="2">
        <f>SUMIFS(Planilha3!M:M,Planilha3!$A:$A,Planilha5!$A4,Planilha3!$I:$I,Planilha5!$B4)</f>
        <v>0</v>
      </c>
      <c r="F4" s="2">
        <f>SUMIFS(Planilha3!N:N,Planilha3!$A:$A,Planilha5!$A4,Planilha3!$I:$I,Planilha5!$B4)</f>
        <v>0</v>
      </c>
      <c r="G4" s="2">
        <f>SUMIFS(Planilha3!O:O,Planilha3!$A:$A,Planilha5!$A4,Planilha3!$I:$I,Planilha5!$B4)</f>
        <v>0</v>
      </c>
      <c r="H4" s="2">
        <f>SUMIFS(Planilha3!P:P,Planilha3!$A:$A,Planilha5!$A4,Planilha3!$I:$I,Planilha5!$B4)</f>
        <v>0</v>
      </c>
      <c r="I4" s="2">
        <f>SUMIFS(Planilha3!Q:Q,Planilha3!$A:$A,Planilha5!$A4,Planilha3!$I:$I,Planilha5!$B4)</f>
        <v>0</v>
      </c>
      <c r="J4" s="2">
        <f>SUMIFS(Planilha3!R:R,Planilha3!$A:$A,Planilha5!$A4,Planilha3!$I:$I,Planilha5!$B4)</f>
        <v>0</v>
      </c>
      <c r="K4" s="2">
        <f>SUMIFS(Planilha3!S:S,Planilha3!$A:$A,Planilha5!$A4,Planilha3!$I:$I,Planilha5!$B4)</f>
        <v>0</v>
      </c>
    </row>
    <row r="5" spans="1:11" x14ac:dyDescent="0.25">
      <c r="A5" s="14" t="s">
        <v>44</v>
      </c>
      <c r="B5" s="13" t="s">
        <v>16</v>
      </c>
      <c r="C5" s="2">
        <f>SUMIFS(Planilha3!$K:$K,Planilha3!$A:$A,Planilha5!$A5,Planilha3!$I:$I,Planilha5!$B5)</f>
        <v>2</v>
      </c>
      <c r="D5" s="2">
        <f>SUMIFS(Planilha3!L:L,Planilha3!$A:$A,Planilha5!$A5,Planilha3!$I:$I,Planilha5!$B5)</f>
        <v>2</v>
      </c>
      <c r="E5" s="2">
        <f>SUMIFS(Planilha3!M:M,Planilha3!$A:$A,Planilha5!$A5,Planilha3!$I:$I,Planilha5!$B5)</f>
        <v>2</v>
      </c>
      <c r="F5" s="2">
        <f>SUMIFS(Planilha3!N:N,Planilha3!$A:$A,Planilha5!$A5,Planilha3!$I:$I,Planilha5!$B5)</f>
        <v>2</v>
      </c>
      <c r="G5" s="2">
        <f>SUMIFS(Planilha3!O:O,Planilha3!$A:$A,Planilha5!$A5,Planilha3!$I:$I,Planilha5!$B5)</f>
        <v>1</v>
      </c>
      <c r="H5" s="2">
        <f>SUMIFS(Planilha3!P:P,Planilha3!$A:$A,Planilha5!$A5,Planilha3!$I:$I,Planilha5!$B5)</f>
        <v>0</v>
      </c>
      <c r="I5" s="2">
        <f>SUMIFS(Planilha3!Q:Q,Planilha3!$A:$A,Planilha5!$A5,Planilha3!$I:$I,Planilha5!$B5)</f>
        <v>0</v>
      </c>
      <c r="J5" s="2">
        <f>SUMIFS(Planilha3!R:R,Planilha3!$A:$A,Planilha5!$A5,Planilha3!$I:$I,Planilha5!$B5)</f>
        <v>0</v>
      </c>
      <c r="K5" s="2">
        <f>SUMIFS(Planilha3!S:S,Planilha3!$A:$A,Planilha5!$A5,Planilha3!$I:$I,Planilha5!$B5)</f>
        <v>0</v>
      </c>
    </row>
    <row r="6" spans="1:11" x14ac:dyDescent="0.25">
      <c r="A6" s="14" t="s">
        <v>44</v>
      </c>
      <c r="B6" s="33" t="s">
        <v>244</v>
      </c>
      <c r="C6" s="2">
        <f>SUMIFS(Planilha3!$K:$K,Planilha3!$A:$A,Planilha5!$A6,Planilha3!$I:$I,Planilha5!$B6)</f>
        <v>0</v>
      </c>
      <c r="D6" s="2">
        <f>SUMIFS(Planilha3!L:L,Planilha3!$A:$A,Planilha5!$A6,Planilha3!$I:$I,Planilha5!$B6)</f>
        <v>0</v>
      </c>
      <c r="E6" s="2">
        <f>SUMIFS(Planilha3!M:M,Planilha3!$A:$A,Planilha5!$A6,Planilha3!$I:$I,Planilha5!$B6)</f>
        <v>0</v>
      </c>
      <c r="F6" s="2">
        <f>SUMIFS(Planilha3!N:N,Planilha3!$A:$A,Planilha5!$A6,Planilha3!$I:$I,Planilha5!$B6)</f>
        <v>0</v>
      </c>
      <c r="G6" s="2">
        <f>SUMIFS(Planilha3!O:O,Planilha3!$A:$A,Planilha5!$A6,Planilha3!$I:$I,Planilha5!$B6)</f>
        <v>0</v>
      </c>
      <c r="H6" s="2">
        <f>SUMIFS(Planilha3!P:P,Planilha3!$A:$A,Planilha5!$A6,Planilha3!$I:$I,Planilha5!$B6)</f>
        <v>0</v>
      </c>
      <c r="I6" s="2">
        <f>SUMIFS(Planilha3!Q:Q,Planilha3!$A:$A,Planilha5!$A6,Planilha3!$I:$I,Planilha5!$B6)</f>
        <v>0</v>
      </c>
      <c r="J6" s="2">
        <f>SUMIFS(Planilha3!R:R,Planilha3!$A:$A,Planilha5!$A6,Planilha3!$I:$I,Planilha5!$B6)</f>
        <v>0</v>
      </c>
      <c r="K6" s="2">
        <f>SUMIFS(Planilha3!S:S,Planilha3!$A:$A,Planilha5!$A6,Planilha3!$I:$I,Planilha5!$B6)</f>
        <v>0</v>
      </c>
    </row>
    <row r="7" spans="1:11" x14ac:dyDescent="0.25">
      <c r="A7" s="14" t="s">
        <v>44</v>
      </c>
      <c r="B7" s="13" t="s">
        <v>27</v>
      </c>
      <c r="C7" s="2">
        <f>SUMIFS(Planilha3!$K:$K,Planilha3!$A:$A,Planilha5!$A7,Planilha3!$I:$I,Planilha5!$B7)</f>
        <v>0</v>
      </c>
      <c r="D7" s="2">
        <f>SUMIFS(Planilha3!L:L,Planilha3!$A:$A,Planilha5!$A7,Planilha3!$I:$I,Planilha5!$B7)</f>
        <v>0</v>
      </c>
      <c r="E7" s="2">
        <f>SUMIFS(Planilha3!M:M,Planilha3!$A:$A,Planilha5!$A7,Planilha3!$I:$I,Planilha5!$B7)</f>
        <v>0</v>
      </c>
      <c r="F7" s="2">
        <f>SUMIFS(Planilha3!N:N,Planilha3!$A:$A,Planilha5!$A7,Planilha3!$I:$I,Planilha5!$B7)</f>
        <v>0</v>
      </c>
      <c r="G7" s="2">
        <f>SUMIFS(Planilha3!O:O,Planilha3!$A:$A,Planilha5!$A7,Planilha3!$I:$I,Planilha5!$B7)</f>
        <v>0</v>
      </c>
      <c r="H7" s="2">
        <f>SUMIFS(Planilha3!P:P,Planilha3!$A:$A,Planilha5!$A7,Planilha3!$I:$I,Planilha5!$B7)</f>
        <v>0</v>
      </c>
      <c r="I7" s="2">
        <f>SUMIFS(Planilha3!Q:Q,Planilha3!$A:$A,Planilha5!$A7,Planilha3!$I:$I,Planilha5!$B7)</f>
        <v>0</v>
      </c>
      <c r="J7" s="2">
        <f>SUMIFS(Planilha3!R:R,Planilha3!$A:$A,Planilha5!$A7,Planilha3!$I:$I,Planilha5!$B7)</f>
        <v>0</v>
      </c>
      <c r="K7" s="2">
        <f>SUMIFS(Planilha3!S:S,Planilha3!$A:$A,Planilha5!$A7,Planilha3!$I:$I,Planilha5!$B7)</f>
        <v>0</v>
      </c>
    </row>
    <row r="8" spans="1:11" x14ac:dyDescent="0.25">
      <c r="A8" s="14" t="s">
        <v>44</v>
      </c>
      <c r="B8" s="13" t="s">
        <v>255</v>
      </c>
      <c r="C8" s="2">
        <f>SUMIFS(Planilha3!$K:$K,Planilha3!$A:$A,Planilha5!$A8,Planilha3!$I:$I,Planilha5!$B8)</f>
        <v>0</v>
      </c>
      <c r="D8" s="2">
        <f>SUMIFS(Planilha3!L:L,Planilha3!$A:$A,Planilha5!$A8,Planilha3!$I:$I,Planilha5!$B8)</f>
        <v>0</v>
      </c>
      <c r="E8" s="2">
        <f>SUMIFS(Planilha3!M:M,Planilha3!$A:$A,Planilha5!$A8,Planilha3!$I:$I,Planilha5!$B8)</f>
        <v>0</v>
      </c>
      <c r="F8" s="2">
        <f>SUMIFS(Planilha3!N:N,Planilha3!$A:$A,Planilha5!$A8,Planilha3!$I:$I,Planilha5!$B8)</f>
        <v>0</v>
      </c>
      <c r="G8" s="2">
        <f>SUMIFS(Planilha3!O:O,Planilha3!$A:$A,Planilha5!$A8,Planilha3!$I:$I,Planilha5!$B8)</f>
        <v>0</v>
      </c>
      <c r="H8" s="2">
        <f>SUMIFS(Planilha3!P:P,Planilha3!$A:$A,Planilha5!$A8,Planilha3!$I:$I,Planilha5!$B8)</f>
        <v>0</v>
      </c>
      <c r="I8" s="2">
        <f>SUMIFS(Planilha3!Q:Q,Planilha3!$A:$A,Planilha5!$A8,Planilha3!$I:$I,Planilha5!$B8)</f>
        <v>0</v>
      </c>
      <c r="J8" s="2">
        <f>SUMIFS(Planilha3!R:R,Planilha3!$A:$A,Planilha5!$A8,Planilha3!$I:$I,Planilha5!$B8)</f>
        <v>0</v>
      </c>
      <c r="K8" s="2">
        <f>SUMIFS(Planilha3!S:S,Planilha3!$A:$A,Planilha5!$A8,Planilha3!$I:$I,Planilha5!$B8)</f>
        <v>0</v>
      </c>
    </row>
    <row r="9" spans="1:11" x14ac:dyDescent="0.25">
      <c r="A9" s="14" t="s">
        <v>44</v>
      </c>
      <c r="B9" s="13" t="s">
        <v>19</v>
      </c>
      <c r="C9" s="2">
        <f>SUMIFS(Planilha3!$K:$K,Planilha3!$A:$A,Planilha5!$A9,Planilha3!$I:$I,Planilha5!$B9)</f>
        <v>0</v>
      </c>
      <c r="D9" s="2">
        <f>SUMIFS(Planilha3!L:L,Planilha3!$A:$A,Planilha5!$A9,Planilha3!$I:$I,Planilha5!$B9)</f>
        <v>0</v>
      </c>
      <c r="E9" s="2">
        <f>SUMIFS(Planilha3!M:M,Planilha3!$A:$A,Planilha5!$A9,Planilha3!$I:$I,Planilha5!$B9)</f>
        <v>0</v>
      </c>
      <c r="F9" s="2">
        <f>SUMIFS(Planilha3!N:N,Planilha3!$A:$A,Planilha5!$A9,Planilha3!$I:$I,Planilha5!$B9)</f>
        <v>0</v>
      </c>
      <c r="G9" s="2">
        <f>SUMIFS(Planilha3!O:O,Planilha3!$A:$A,Planilha5!$A9,Planilha3!$I:$I,Planilha5!$B9)</f>
        <v>0</v>
      </c>
      <c r="H9" s="2">
        <f>SUMIFS(Planilha3!P:P,Planilha3!$A:$A,Planilha5!$A9,Planilha3!$I:$I,Planilha5!$B9)</f>
        <v>0</v>
      </c>
      <c r="I9" s="2">
        <f>SUMIFS(Planilha3!Q:Q,Planilha3!$A:$A,Planilha5!$A9,Planilha3!$I:$I,Planilha5!$B9)</f>
        <v>0</v>
      </c>
      <c r="J9" s="2">
        <f>SUMIFS(Planilha3!R:R,Planilha3!$A:$A,Planilha5!$A9,Planilha3!$I:$I,Planilha5!$B9)</f>
        <v>0</v>
      </c>
      <c r="K9" s="2">
        <f>SUMIFS(Planilha3!S:S,Planilha3!$A:$A,Planilha5!$A9,Planilha3!$I:$I,Planilha5!$B9)</f>
        <v>0</v>
      </c>
    </row>
    <row r="10" spans="1:11" x14ac:dyDescent="0.25">
      <c r="A10" s="14" t="s">
        <v>44</v>
      </c>
      <c r="B10" s="13" t="s">
        <v>279</v>
      </c>
      <c r="C10" s="2">
        <f>SUMIFS(Planilha3!$K:$K,Planilha3!$A:$A,Planilha5!$A10,Planilha3!$I:$I,Planilha5!$B10)</f>
        <v>0</v>
      </c>
      <c r="D10" s="2">
        <f>SUMIFS(Planilha3!L:L,Planilha3!$A:$A,Planilha5!$A10,Planilha3!$I:$I,Planilha5!$B10)</f>
        <v>0</v>
      </c>
      <c r="E10" s="2">
        <f>SUMIFS(Planilha3!M:M,Planilha3!$A:$A,Planilha5!$A10,Planilha3!$I:$I,Planilha5!$B10)</f>
        <v>0</v>
      </c>
      <c r="F10" s="2">
        <f>SUMIFS(Planilha3!N:N,Planilha3!$A:$A,Planilha5!$A10,Planilha3!$I:$I,Planilha5!$B10)</f>
        <v>0</v>
      </c>
      <c r="G10" s="2">
        <f>SUMIFS(Planilha3!O:O,Planilha3!$A:$A,Planilha5!$A10,Planilha3!$I:$I,Planilha5!$B10)</f>
        <v>0</v>
      </c>
      <c r="H10" s="2">
        <f>SUMIFS(Planilha3!P:P,Planilha3!$A:$A,Planilha5!$A10,Planilha3!$I:$I,Planilha5!$B10)</f>
        <v>0</v>
      </c>
      <c r="I10" s="2">
        <f>SUMIFS(Planilha3!Q:Q,Planilha3!$A:$A,Planilha5!$A10,Planilha3!$I:$I,Planilha5!$B10)</f>
        <v>0</v>
      </c>
      <c r="J10" s="2">
        <f>SUMIFS(Planilha3!R:R,Planilha3!$A:$A,Planilha5!$A10,Planilha3!$I:$I,Planilha5!$B10)</f>
        <v>0</v>
      </c>
      <c r="K10" s="2">
        <f>SUMIFS(Planilha3!S:S,Planilha3!$A:$A,Planilha5!$A10,Planilha3!$I:$I,Planilha5!$B10)</f>
        <v>0</v>
      </c>
    </row>
    <row r="11" spans="1:11" x14ac:dyDescent="0.25">
      <c r="A11" s="14" t="s">
        <v>44</v>
      </c>
      <c r="B11" s="35" t="s">
        <v>25</v>
      </c>
      <c r="C11" s="2">
        <f>SUMIFS(Planilha3!$K:$K,Planilha3!$A:$A,Planilha5!$A11,Planilha3!$I:$I,Planilha5!$B11)</f>
        <v>0</v>
      </c>
      <c r="D11" s="2">
        <f>SUMIFS(Planilha3!L:L,Planilha3!$A:$A,Planilha5!$A11,Planilha3!$I:$I,Planilha5!$B11)</f>
        <v>0</v>
      </c>
      <c r="E11" s="2">
        <f>SUMIFS(Planilha3!M:M,Planilha3!$A:$A,Planilha5!$A11,Planilha3!$I:$I,Planilha5!$B11)</f>
        <v>0</v>
      </c>
      <c r="F11" s="2">
        <f>SUMIFS(Planilha3!N:N,Planilha3!$A:$A,Planilha5!$A11,Planilha3!$I:$I,Planilha5!$B11)</f>
        <v>0</v>
      </c>
      <c r="G11" s="2">
        <f>SUMIFS(Planilha3!O:O,Planilha3!$A:$A,Planilha5!$A11,Planilha3!$I:$I,Planilha5!$B11)</f>
        <v>0</v>
      </c>
      <c r="H11" s="2">
        <f>SUMIFS(Planilha3!P:P,Planilha3!$A:$A,Planilha5!$A11,Planilha3!$I:$I,Planilha5!$B11)</f>
        <v>0</v>
      </c>
      <c r="I11" s="2">
        <f>SUMIFS(Planilha3!Q:Q,Planilha3!$A:$A,Planilha5!$A11,Planilha3!$I:$I,Planilha5!$B11)</f>
        <v>0</v>
      </c>
      <c r="J11" s="2">
        <f>SUMIFS(Planilha3!R:R,Planilha3!$A:$A,Planilha5!$A11,Planilha3!$I:$I,Planilha5!$B11)</f>
        <v>0</v>
      </c>
      <c r="K11" s="2">
        <f>SUMIFS(Planilha3!S:S,Planilha3!$A:$A,Planilha5!$A11,Planilha3!$I:$I,Planilha5!$B11)</f>
        <v>0</v>
      </c>
    </row>
    <row r="12" spans="1:11" x14ac:dyDescent="0.25">
      <c r="A12" s="14" t="s">
        <v>44</v>
      </c>
      <c r="B12" s="35" t="s">
        <v>21</v>
      </c>
      <c r="C12" s="2">
        <f>SUMIFS(Planilha3!$K:$K,Planilha3!$A:$A,Planilha5!$A12,Planilha3!$I:$I,Planilha5!$B12)</f>
        <v>1</v>
      </c>
      <c r="D12" s="2">
        <f>SUMIFS(Planilha3!L:L,Planilha3!$A:$A,Planilha5!$A12,Planilha3!$I:$I,Planilha5!$B12)</f>
        <v>1</v>
      </c>
      <c r="E12" s="2">
        <f>SUMIFS(Planilha3!M:M,Planilha3!$A:$A,Planilha5!$A12,Planilha3!$I:$I,Planilha5!$B12)</f>
        <v>0</v>
      </c>
      <c r="F12" s="2">
        <f>SUMIFS(Planilha3!N:N,Planilha3!$A:$A,Planilha5!$A12,Planilha3!$I:$I,Planilha5!$B12)</f>
        <v>0</v>
      </c>
      <c r="G12" s="2">
        <f>SUMIFS(Planilha3!O:O,Planilha3!$A:$A,Planilha5!$A12,Planilha3!$I:$I,Planilha5!$B12)</f>
        <v>1</v>
      </c>
      <c r="H12" s="2">
        <f>SUMIFS(Planilha3!P:P,Planilha3!$A:$A,Planilha5!$A12,Planilha3!$I:$I,Planilha5!$B12)</f>
        <v>2</v>
      </c>
      <c r="I12" s="2">
        <f>SUMIFS(Planilha3!Q:Q,Planilha3!$A:$A,Planilha5!$A12,Planilha3!$I:$I,Planilha5!$B12)</f>
        <v>1</v>
      </c>
      <c r="J12" s="2">
        <f>SUMIFS(Planilha3!R:R,Planilha3!$A:$A,Planilha5!$A12,Planilha3!$I:$I,Planilha5!$B12)</f>
        <v>0</v>
      </c>
      <c r="K12" s="2">
        <f>SUMIFS(Planilha3!S:S,Planilha3!$A:$A,Planilha5!$A12,Planilha3!$I:$I,Planilha5!$B12)</f>
        <v>0</v>
      </c>
    </row>
    <row r="13" spans="1:11" x14ac:dyDescent="0.25">
      <c r="A13" s="14" t="s">
        <v>44</v>
      </c>
      <c r="B13" s="13" t="s">
        <v>329</v>
      </c>
      <c r="C13" s="2">
        <f>SUMIFS(Planilha3!$K:$K,Planilha3!$A:$A,Planilha5!$A13,Planilha3!$I:$I,Planilha5!$B13)</f>
        <v>0</v>
      </c>
      <c r="D13" s="2">
        <f>SUMIFS(Planilha3!L:L,Planilha3!$A:$A,Planilha5!$A13,Planilha3!$I:$I,Planilha5!$B13)</f>
        <v>0</v>
      </c>
      <c r="E13" s="2">
        <f>SUMIFS(Planilha3!M:M,Planilha3!$A:$A,Planilha5!$A13,Planilha3!$I:$I,Planilha5!$B13)</f>
        <v>0</v>
      </c>
      <c r="F13" s="2">
        <f>SUMIFS(Planilha3!N:N,Planilha3!$A:$A,Planilha5!$A13,Planilha3!$I:$I,Planilha5!$B13)</f>
        <v>0</v>
      </c>
      <c r="G13" s="2">
        <f>SUMIFS(Planilha3!O:O,Planilha3!$A:$A,Planilha5!$A13,Planilha3!$I:$I,Planilha5!$B13)</f>
        <v>0</v>
      </c>
      <c r="H13" s="2">
        <f>SUMIFS(Planilha3!P:P,Planilha3!$A:$A,Planilha5!$A13,Planilha3!$I:$I,Planilha5!$B13)</f>
        <v>0</v>
      </c>
      <c r="I13" s="2">
        <f>SUMIFS(Planilha3!Q:Q,Planilha3!$A:$A,Planilha5!$A13,Planilha3!$I:$I,Planilha5!$B13)</f>
        <v>0</v>
      </c>
      <c r="J13" s="2">
        <f>SUMIFS(Planilha3!R:R,Planilha3!$A:$A,Planilha5!$A13,Planilha3!$I:$I,Planilha5!$B13)</f>
        <v>0</v>
      </c>
      <c r="K13" s="2">
        <f>SUMIFS(Planilha3!S:S,Planilha3!$A:$A,Planilha5!$A13,Planilha3!$I:$I,Planilha5!$B13)</f>
        <v>0</v>
      </c>
    </row>
    <row r="14" spans="1:11" x14ac:dyDescent="0.25">
      <c r="A14" s="14" t="s">
        <v>44</v>
      </c>
      <c r="B14" s="13" t="s">
        <v>23</v>
      </c>
      <c r="C14" s="2">
        <f>SUMIFS(Planilha3!$K:$K,Planilha3!$A:$A,Planilha5!$A14,Planilha3!$I:$I,Planilha5!$B14)</f>
        <v>0</v>
      </c>
      <c r="D14" s="2">
        <f>SUMIFS(Planilha3!L:L,Planilha3!$A:$A,Planilha5!$A14,Planilha3!$I:$I,Planilha5!$B14)</f>
        <v>0</v>
      </c>
      <c r="E14" s="2">
        <f>SUMIFS(Planilha3!M:M,Planilha3!$A:$A,Planilha5!$A14,Planilha3!$I:$I,Planilha5!$B14)</f>
        <v>0</v>
      </c>
      <c r="F14" s="2">
        <f>SUMIFS(Planilha3!N:N,Planilha3!$A:$A,Planilha5!$A14,Planilha3!$I:$I,Planilha5!$B14)</f>
        <v>0</v>
      </c>
      <c r="G14" s="2">
        <f>SUMIFS(Planilha3!O:O,Planilha3!$A:$A,Planilha5!$A14,Planilha3!$I:$I,Planilha5!$B14)</f>
        <v>1</v>
      </c>
      <c r="H14" s="2">
        <f>SUMIFS(Planilha3!P:P,Planilha3!$A:$A,Planilha5!$A14,Planilha3!$I:$I,Planilha5!$B14)</f>
        <v>1</v>
      </c>
      <c r="I14" s="2">
        <f>SUMIFS(Planilha3!Q:Q,Planilha3!$A:$A,Planilha5!$A14,Planilha3!$I:$I,Planilha5!$B14)</f>
        <v>1</v>
      </c>
      <c r="J14" s="2">
        <f>SUMIFS(Planilha3!R:R,Planilha3!$A:$A,Planilha5!$A14,Planilha3!$I:$I,Planilha5!$B14)</f>
        <v>0</v>
      </c>
      <c r="K14" s="2">
        <f>SUMIFS(Planilha3!S:S,Planilha3!$A:$A,Planilha5!$A14,Planilha3!$I:$I,Planilha5!$B14)</f>
        <v>0</v>
      </c>
    </row>
    <row r="15" spans="1:11" x14ac:dyDescent="0.25">
      <c r="A15" s="14" t="s">
        <v>44</v>
      </c>
      <c r="B15" s="13" t="s">
        <v>434</v>
      </c>
      <c r="C15" s="2">
        <f>SUMIFS(Planilha3!$K:$K,Planilha3!$A:$A,Planilha5!$A15,Planilha3!$I:$I,Planilha5!$B15)</f>
        <v>0</v>
      </c>
      <c r="D15" s="2">
        <f>SUMIFS(Planilha3!L:L,Planilha3!$A:$A,Planilha5!$A15,Planilha3!$I:$I,Planilha5!$B15)</f>
        <v>0</v>
      </c>
      <c r="E15" s="2">
        <f>SUMIFS(Planilha3!M:M,Planilha3!$A:$A,Planilha5!$A15,Planilha3!$I:$I,Planilha5!$B15)</f>
        <v>0</v>
      </c>
      <c r="F15" s="2">
        <f>SUMIFS(Planilha3!N:N,Planilha3!$A:$A,Planilha5!$A15,Planilha3!$I:$I,Planilha5!$B15)</f>
        <v>0</v>
      </c>
      <c r="G15" s="2">
        <f>SUMIFS(Planilha3!O:O,Planilha3!$A:$A,Planilha5!$A15,Planilha3!$I:$I,Planilha5!$B15)</f>
        <v>0</v>
      </c>
      <c r="H15" s="2">
        <f>SUMIFS(Planilha3!P:P,Planilha3!$A:$A,Planilha5!$A15,Planilha3!$I:$I,Planilha5!$B15)</f>
        <v>0</v>
      </c>
      <c r="I15" s="2">
        <f>SUMIFS(Planilha3!Q:Q,Planilha3!$A:$A,Planilha5!$A15,Planilha3!$I:$I,Planilha5!$B15)</f>
        <v>0</v>
      </c>
      <c r="J15" s="2">
        <f>SUMIFS(Planilha3!R:R,Planilha3!$A:$A,Planilha5!$A15,Planilha3!$I:$I,Planilha5!$B15)</f>
        <v>0</v>
      </c>
      <c r="K15" s="2">
        <f>SUMIFS(Planilha3!S:S,Planilha3!$A:$A,Planilha5!$A15,Planilha3!$I:$I,Planilha5!$B15)</f>
        <v>0</v>
      </c>
    </row>
    <row r="16" spans="1:11" x14ac:dyDescent="0.25">
      <c r="A16" s="14" t="s">
        <v>44</v>
      </c>
      <c r="B16" s="13" t="s">
        <v>530</v>
      </c>
      <c r="C16" s="2">
        <f>SUMIFS(Planilha3!$K:$K,Planilha3!$A:$A,Planilha5!$A16,Planilha3!$I:$I,Planilha5!$B16)</f>
        <v>0</v>
      </c>
      <c r="D16" s="2">
        <f>SUMIFS(Planilha3!L:L,Planilha3!$A:$A,Planilha5!$A16,Planilha3!$I:$I,Planilha5!$B16)</f>
        <v>0</v>
      </c>
      <c r="E16" s="2">
        <f>SUMIFS(Planilha3!M:M,Planilha3!$A:$A,Planilha5!$A16,Planilha3!$I:$I,Planilha5!$B16)</f>
        <v>0</v>
      </c>
      <c r="F16" s="2">
        <f>SUMIFS(Planilha3!N:N,Planilha3!$A:$A,Planilha5!$A16,Planilha3!$I:$I,Planilha5!$B16)</f>
        <v>0</v>
      </c>
      <c r="G16" s="2">
        <f>SUMIFS(Planilha3!O:O,Planilha3!$A:$A,Planilha5!$A16,Planilha3!$I:$I,Planilha5!$B16)</f>
        <v>0</v>
      </c>
      <c r="H16" s="2">
        <f>SUMIFS(Planilha3!P:P,Planilha3!$A:$A,Planilha5!$A16,Planilha3!$I:$I,Planilha5!$B16)</f>
        <v>0</v>
      </c>
      <c r="I16" s="2">
        <f>SUMIFS(Planilha3!Q:Q,Planilha3!$A:$A,Planilha5!$A16,Planilha3!$I:$I,Planilha5!$B16)</f>
        <v>0</v>
      </c>
      <c r="J16" s="2">
        <f>SUMIFS(Planilha3!R:R,Planilha3!$A:$A,Planilha5!$A16,Planilha3!$I:$I,Planilha5!$B16)</f>
        <v>0</v>
      </c>
      <c r="K16" s="2">
        <f>SUMIFS(Planilha3!S:S,Planilha3!$A:$A,Planilha5!$A16,Planilha3!$I:$I,Planilha5!$B16)</f>
        <v>0</v>
      </c>
    </row>
    <row r="17" spans="1:11" x14ac:dyDescent="0.25">
      <c r="A17" s="14" t="s">
        <v>77</v>
      </c>
      <c r="B17" s="33" t="s">
        <v>225</v>
      </c>
      <c r="C17" s="2">
        <f>SUMIFS(Planilha3!$K:$K,Planilha3!$A:$A,Planilha5!$A17,Planilha3!$I:$I,Planilha5!$B17)</f>
        <v>0</v>
      </c>
      <c r="D17" s="2">
        <f>SUMIFS(Planilha3!L:L,Planilha3!$A:$A,Planilha5!$A17,Planilha3!$I:$I,Planilha5!$B17)</f>
        <v>0</v>
      </c>
      <c r="E17" s="2">
        <f>SUMIFS(Planilha3!M:M,Planilha3!$A:$A,Planilha5!$A17,Planilha3!$I:$I,Planilha5!$B17)</f>
        <v>0</v>
      </c>
      <c r="F17" s="2">
        <f>SUMIFS(Planilha3!N:N,Planilha3!$A:$A,Planilha5!$A17,Planilha3!$I:$I,Planilha5!$B17)</f>
        <v>0</v>
      </c>
      <c r="G17" s="2">
        <f>SUMIFS(Planilha3!O:O,Planilha3!$A:$A,Planilha5!$A17,Planilha3!$I:$I,Planilha5!$B17)</f>
        <v>0</v>
      </c>
      <c r="H17" s="2">
        <f>SUMIFS(Planilha3!P:P,Planilha3!$A:$A,Planilha5!$A17,Planilha3!$I:$I,Planilha5!$B17)</f>
        <v>0</v>
      </c>
      <c r="I17" s="2">
        <f>SUMIFS(Planilha3!Q:Q,Planilha3!$A:$A,Planilha5!$A17,Planilha3!$I:$I,Planilha5!$B17)</f>
        <v>0</v>
      </c>
      <c r="J17" s="2">
        <f>SUMIFS(Planilha3!R:R,Planilha3!$A:$A,Planilha5!$A17,Planilha3!$I:$I,Planilha5!$B17)</f>
        <v>0</v>
      </c>
      <c r="K17" s="2">
        <f>SUMIFS(Planilha3!S:S,Planilha3!$A:$A,Planilha5!$A17,Planilha3!$I:$I,Planilha5!$B17)</f>
        <v>0</v>
      </c>
    </row>
    <row r="18" spans="1:11" x14ac:dyDescent="0.25">
      <c r="A18" s="14" t="s">
        <v>77</v>
      </c>
      <c r="B18" s="13" t="s">
        <v>52</v>
      </c>
      <c r="C18" s="2">
        <f>SUMIFS(Planilha3!$K:$K,Planilha3!$A:$A,Planilha5!$A18,Planilha3!$I:$I,Planilha5!$B18)</f>
        <v>0</v>
      </c>
      <c r="D18" s="2">
        <f>SUMIFS(Planilha3!L:L,Planilha3!$A:$A,Planilha5!$A18,Planilha3!$I:$I,Planilha5!$B18)</f>
        <v>0</v>
      </c>
      <c r="E18" s="2">
        <f>SUMIFS(Planilha3!M:M,Planilha3!$A:$A,Planilha5!$A18,Planilha3!$I:$I,Planilha5!$B18)</f>
        <v>0</v>
      </c>
      <c r="F18" s="2">
        <f>SUMIFS(Planilha3!N:N,Planilha3!$A:$A,Planilha5!$A18,Planilha3!$I:$I,Planilha5!$B18)</f>
        <v>0</v>
      </c>
      <c r="G18" s="2">
        <f>SUMIFS(Planilha3!O:O,Planilha3!$A:$A,Planilha5!$A18,Planilha3!$I:$I,Planilha5!$B18)</f>
        <v>0</v>
      </c>
      <c r="H18" s="2">
        <f>SUMIFS(Planilha3!P:P,Planilha3!$A:$A,Planilha5!$A18,Planilha3!$I:$I,Planilha5!$B18)</f>
        <v>0</v>
      </c>
      <c r="I18" s="2">
        <f>SUMIFS(Planilha3!Q:Q,Planilha3!$A:$A,Planilha5!$A18,Planilha3!$I:$I,Planilha5!$B18)</f>
        <v>0</v>
      </c>
      <c r="J18" s="2">
        <f>SUMIFS(Planilha3!R:R,Planilha3!$A:$A,Planilha5!$A18,Planilha3!$I:$I,Planilha5!$B18)</f>
        <v>0</v>
      </c>
      <c r="K18" s="2">
        <f>SUMIFS(Planilha3!S:S,Planilha3!$A:$A,Planilha5!$A18,Planilha3!$I:$I,Planilha5!$B18)</f>
        <v>0</v>
      </c>
    </row>
    <row r="19" spans="1:11" x14ac:dyDescent="0.25">
      <c r="A19" s="14" t="s">
        <v>77</v>
      </c>
      <c r="B19" s="13" t="s">
        <v>16</v>
      </c>
      <c r="C19" s="2">
        <f>SUMIFS(Planilha3!$K:$K,Planilha3!$A:$A,Planilha5!$A19,Planilha3!$I:$I,Planilha5!$B19)</f>
        <v>3</v>
      </c>
      <c r="D19" s="2">
        <f>SUMIFS(Planilha3!L:L,Planilha3!$A:$A,Planilha5!$A19,Planilha3!$I:$I,Planilha5!$B19)</f>
        <v>1</v>
      </c>
      <c r="E19" s="2">
        <f>SUMIFS(Planilha3!M:M,Planilha3!$A:$A,Planilha5!$A19,Planilha3!$I:$I,Planilha5!$B19)</f>
        <v>2</v>
      </c>
      <c r="F19" s="2">
        <f>SUMIFS(Planilha3!N:N,Planilha3!$A:$A,Planilha5!$A19,Planilha3!$I:$I,Planilha5!$B19)</f>
        <v>3</v>
      </c>
      <c r="G19" s="2">
        <f>SUMIFS(Planilha3!O:O,Planilha3!$A:$A,Planilha5!$A19,Planilha3!$I:$I,Planilha5!$B19)</f>
        <v>2</v>
      </c>
      <c r="H19" s="2">
        <f>SUMIFS(Planilha3!P:P,Planilha3!$A:$A,Planilha5!$A19,Planilha3!$I:$I,Planilha5!$B19)</f>
        <v>1</v>
      </c>
      <c r="I19" s="2">
        <f>SUMIFS(Planilha3!Q:Q,Planilha3!$A:$A,Planilha5!$A19,Planilha3!$I:$I,Planilha5!$B19)</f>
        <v>1</v>
      </c>
      <c r="J19" s="2">
        <f>SUMIFS(Planilha3!R:R,Planilha3!$A:$A,Planilha5!$A19,Planilha3!$I:$I,Planilha5!$B19)</f>
        <v>1</v>
      </c>
      <c r="K19" s="2">
        <f>SUMIFS(Planilha3!S:S,Planilha3!$A:$A,Planilha5!$A19,Planilha3!$I:$I,Planilha5!$B19)</f>
        <v>3</v>
      </c>
    </row>
    <row r="20" spans="1:11" x14ac:dyDescent="0.25">
      <c r="A20" s="14" t="s">
        <v>77</v>
      </c>
      <c r="B20" s="33" t="s">
        <v>244</v>
      </c>
      <c r="C20" s="2">
        <f>SUMIFS(Planilha3!$K:$K,Planilha3!$A:$A,Planilha5!$A20,Planilha3!$I:$I,Planilha5!$B20)</f>
        <v>0</v>
      </c>
      <c r="D20" s="2">
        <f>SUMIFS(Planilha3!L:L,Planilha3!$A:$A,Planilha5!$A20,Planilha3!$I:$I,Planilha5!$B20)</f>
        <v>0</v>
      </c>
      <c r="E20" s="2">
        <f>SUMIFS(Planilha3!M:M,Planilha3!$A:$A,Planilha5!$A20,Planilha3!$I:$I,Planilha5!$B20)</f>
        <v>0</v>
      </c>
      <c r="F20" s="2">
        <f>SUMIFS(Planilha3!N:N,Planilha3!$A:$A,Planilha5!$A20,Planilha3!$I:$I,Planilha5!$B20)</f>
        <v>0</v>
      </c>
      <c r="G20" s="2">
        <f>SUMIFS(Planilha3!O:O,Planilha3!$A:$A,Planilha5!$A20,Planilha3!$I:$I,Planilha5!$B20)</f>
        <v>0</v>
      </c>
      <c r="H20" s="2">
        <f>SUMIFS(Planilha3!P:P,Planilha3!$A:$A,Planilha5!$A20,Planilha3!$I:$I,Planilha5!$B20)</f>
        <v>0</v>
      </c>
      <c r="I20" s="2">
        <f>SUMIFS(Planilha3!Q:Q,Planilha3!$A:$A,Planilha5!$A20,Planilha3!$I:$I,Planilha5!$B20)</f>
        <v>0</v>
      </c>
      <c r="J20" s="2">
        <f>SUMIFS(Planilha3!R:R,Planilha3!$A:$A,Planilha5!$A20,Planilha3!$I:$I,Planilha5!$B20)</f>
        <v>0</v>
      </c>
      <c r="K20" s="2">
        <f>SUMIFS(Planilha3!S:S,Planilha3!$A:$A,Planilha5!$A20,Planilha3!$I:$I,Planilha5!$B20)</f>
        <v>0</v>
      </c>
    </row>
    <row r="21" spans="1:11" x14ac:dyDescent="0.25">
      <c r="A21" s="14" t="s">
        <v>77</v>
      </c>
      <c r="B21" s="13" t="s">
        <v>27</v>
      </c>
      <c r="C21" s="2">
        <f>SUMIFS(Planilha3!$K:$K,Planilha3!$A:$A,Planilha5!$A21,Planilha3!$I:$I,Planilha5!$B21)</f>
        <v>5</v>
      </c>
      <c r="D21" s="2">
        <f>SUMIFS(Planilha3!L:L,Planilha3!$A:$A,Planilha5!$A21,Planilha3!$I:$I,Planilha5!$B21)</f>
        <v>7</v>
      </c>
      <c r="E21" s="2">
        <f>SUMIFS(Planilha3!M:M,Planilha3!$A:$A,Planilha5!$A21,Planilha3!$I:$I,Planilha5!$B21)</f>
        <v>5</v>
      </c>
      <c r="F21" s="2">
        <f>SUMIFS(Planilha3!N:N,Planilha3!$A:$A,Planilha5!$A21,Planilha3!$I:$I,Planilha5!$B21)</f>
        <v>0</v>
      </c>
      <c r="G21" s="2">
        <f>SUMIFS(Planilha3!O:O,Planilha3!$A:$A,Planilha5!$A21,Planilha3!$I:$I,Planilha5!$B21)</f>
        <v>0</v>
      </c>
      <c r="H21" s="2">
        <f>SUMIFS(Planilha3!P:P,Planilha3!$A:$A,Planilha5!$A21,Planilha3!$I:$I,Planilha5!$B21)</f>
        <v>0</v>
      </c>
      <c r="I21" s="2">
        <f>SUMIFS(Planilha3!Q:Q,Planilha3!$A:$A,Planilha5!$A21,Planilha3!$I:$I,Planilha5!$B21)</f>
        <v>0</v>
      </c>
      <c r="J21" s="2">
        <f>SUMIFS(Planilha3!R:R,Planilha3!$A:$A,Planilha5!$A21,Planilha3!$I:$I,Planilha5!$B21)</f>
        <v>2</v>
      </c>
      <c r="K21" s="2">
        <f>SUMIFS(Planilha3!S:S,Planilha3!$A:$A,Planilha5!$A21,Planilha3!$I:$I,Planilha5!$B21)</f>
        <v>2</v>
      </c>
    </row>
    <row r="22" spans="1:11" x14ac:dyDescent="0.25">
      <c r="A22" s="14" t="s">
        <v>77</v>
      </c>
      <c r="B22" s="13" t="s">
        <v>255</v>
      </c>
      <c r="C22" s="2">
        <f>SUMIFS(Planilha3!$K:$K,Planilha3!$A:$A,Planilha5!$A22,Planilha3!$I:$I,Planilha5!$B22)</f>
        <v>0</v>
      </c>
      <c r="D22" s="2">
        <f>SUMIFS(Planilha3!L:L,Planilha3!$A:$A,Planilha5!$A22,Planilha3!$I:$I,Planilha5!$B22)</f>
        <v>0</v>
      </c>
      <c r="E22" s="2">
        <f>SUMIFS(Planilha3!M:M,Planilha3!$A:$A,Planilha5!$A22,Planilha3!$I:$I,Planilha5!$B22)</f>
        <v>0</v>
      </c>
      <c r="F22" s="2">
        <f>SUMIFS(Planilha3!N:N,Planilha3!$A:$A,Planilha5!$A22,Planilha3!$I:$I,Planilha5!$B22)</f>
        <v>0</v>
      </c>
      <c r="G22" s="2">
        <f>SUMIFS(Planilha3!O:O,Planilha3!$A:$A,Planilha5!$A22,Planilha3!$I:$I,Planilha5!$B22)</f>
        <v>0</v>
      </c>
      <c r="H22" s="2">
        <f>SUMIFS(Planilha3!P:P,Planilha3!$A:$A,Planilha5!$A22,Planilha3!$I:$I,Planilha5!$B22)</f>
        <v>0</v>
      </c>
      <c r="I22" s="2">
        <f>SUMIFS(Planilha3!Q:Q,Planilha3!$A:$A,Planilha5!$A22,Planilha3!$I:$I,Planilha5!$B22)</f>
        <v>0</v>
      </c>
      <c r="J22" s="2">
        <f>SUMIFS(Planilha3!R:R,Planilha3!$A:$A,Planilha5!$A22,Planilha3!$I:$I,Planilha5!$B22)</f>
        <v>0</v>
      </c>
      <c r="K22" s="2">
        <f>SUMIFS(Planilha3!S:S,Planilha3!$A:$A,Planilha5!$A22,Planilha3!$I:$I,Planilha5!$B22)</f>
        <v>0</v>
      </c>
    </row>
    <row r="23" spans="1:11" x14ac:dyDescent="0.25">
      <c r="A23" s="14" t="s">
        <v>77</v>
      </c>
      <c r="B23" s="13" t="s">
        <v>19</v>
      </c>
      <c r="C23" s="2">
        <f>SUMIFS(Planilha3!$K:$K,Planilha3!$A:$A,Planilha5!$A23,Planilha3!$I:$I,Planilha5!$B23)</f>
        <v>3</v>
      </c>
      <c r="D23" s="2">
        <f>SUMIFS(Planilha3!L:L,Planilha3!$A:$A,Planilha5!$A23,Planilha3!$I:$I,Planilha5!$B23)</f>
        <v>1</v>
      </c>
      <c r="E23" s="2">
        <f>SUMIFS(Planilha3!M:M,Planilha3!$A:$A,Planilha5!$A23,Planilha3!$I:$I,Planilha5!$B23)</f>
        <v>0</v>
      </c>
      <c r="F23" s="2">
        <f>SUMIFS(Planilha3!N:N,Planilha3!$A:$A,Planilha5!$A23,Planilha3!$I:$I,Planilha5!$B23)</f>
        <v>0</v>
      </c>
      <c r="G23" s="2">
        <f>SUMIFS(Planilha3!O:O,Planilha3!$A:$A,Planilha5!$A23,Planilha3!$I:$I,Planilha5!$B23)</f>
        <v>0</v>
      </c>
      <c r="H23" s="2">
        <f>SUMIFS(Planilha3!P:P,Planilha3!$A:$A,Planilha5!$A23,Planilha3!$I:$I,Planilha5!$B23)</f>
        <v>0</v>
      </c>
      <c r="I23" s="2">
        <f>SUMIFS(Planilha3!Q:Q,Planilha3!$A:$A,Planilha5!$A23,Planilha3!$I:$I,Planilha5!$B23)</f>
        <v>0</v>
      </c>
      <c r="J23" s="2">
        <f>SUMIFS(Planilha3!R:R,Planilha3!$A:$A,Planilha5!$A23,Planilha3!$I:$I,Planilha5!$B23)</f>
        <v>0</v>
      </c>
      <c r="K23" s="2">
        <f>SUMIFS(Planilha3!S:S,Planilha3!$A:$A,Planilha5!$A23,Planilha3!$I:$I,Planilha5!$B23)</f>
        <v>1</v>
      </c>
    </row>
    <row r="24" spans="1:11" x14ac:dyDescent="0.25">
      <c r="A24" s="14" t="s">
        <v>77</v>
      </c>
      <c r="B24" s="13" t="s">
        <v>279</v>
      </c>
      <c r="C24" s="2">
        <f>SUMIFS(Planilha3!$K:$K,Planilha3!$A:$A,Planilha5!$A24,Planilha3!$I:$I,Planilha5!$B24)</f>
        <v>0</v>
      </c>
      <c r="D24" s="2">
        <f>SUMIFS(Planilha3!L:L,Planilha3!$A:$A,Planilha5!$A24,Planilha3!$I:$I,Planilha5!$B24)</f>
        <v>0</v>
      </c>
      <c r="E24" s="2">
        <f>SUMIFS(Planilha3!M:M,Planilha3!$A:$A,Planilha5!$A24,Planilha3!$I:$I,Planilha5!$B24)</f>
        <v>0</v>
      </c>
      <c r="F24" s="2">
        <f>SUMIFS(Planilha3!N:N,Planilha3!$A:$A,Planilha5!$A24,Planilha3!$I:$I,Planilha5!$B24)</f>
        <v>0</v>
      </c>
      <c r="G24" s="2">
        <f>SUMIFS(Planilha3!O:O,Planilha3!$A:$A,Planilha5!$A24,Planilha3!$I:$I,Planilha5!$B24)</f>
        <v>0</v>
      </c>
      <c r="H24" s="2">
        <f>SUMIFS(Planilha3!P:P,Planilha3!$A:$A,Planilha5!$A24,Planilha3!$I:$I,Planilha5!$B24)</f>
        <v>0</v>
      </c>
      <c r="I24" s="2">
        <f>SUMIFS(Planilha3!Q:Q,Planilha3!$A:$A,Planilha5!$A24,Planilha3!$I:$I,Planilha5!$B24)</f>
        <v>0</v>
      </c>
      <c r="J24" s="2">
        <f>SUMIFS(Planilha3!R:R,Planilha3!$A:$A,Planilha5!$A24,Planilha3!$I:$I,Planilha5!$B24)</f>
        <v>0</v>
      </c>
      <c r="K24" s="2">
        <f>SUMIFS(Planilha3!S:S,Planilha3!$A:$A,Planilha5!$A24,Planilha3!$I:$I,Planilha5!$B24)</f>
        <v>0</v>
      </c>
    </row>
    <row r="25" spans="1:11" x14ac:dyDescent="0.25">
      <c r="A25" s="14" t="s">
        <v>77</v>
      </c>
      <c r="B25" s="35" t="s">
        <v>25</v>
      </c>
      <c r="C25" s="2">
        <f>SUMIFS(Planilha3!$K:$K,Planilha3!$A:$A,Planilha5!$A25,Planilha3!$I:$I,Planilha5!$B25)</f>
        <v>1</v>
      </c>
      <c r="D25" s="2">
        <f>SUMIFS(Planilha3!L:L,Planilha3!$A:$A,Planilha5!$A25,Planilha3!$I:$I,Planilha5!$B25)</f>
        <v>2</v>
      </c>
      <c r="E25" s="2">
        <f>SUMIFS(Planilha3!M:M,Planilha3!$A:$A,Planilha5!$A25,Planilha3!$I:$I,Planilha5!$B25)</f>
        <v>1</v>
      </c>
      <c r="F25" s="2">
        <f>SUMIFS(Planilha3!N:N,Planilha3!$A:$A,Planilha5!$A25,Planilha3!$I:$I,Planilha5!$B25)</f>
        <v>1</v>
      </c>
      <c r="G25" s="2">
        <f>SUMIFS(Planilha3!O:O,Planilha3!$A:$A,Planilha5!$A25,Planilha3!$I:$I,Planilha5!$B25)</f>
        <v>0</v>
      </c>
      <c r="H25" s="2">
        <f>SUMIFS(Planilha3!P:P,Planilha3!$A:$A,Planilha5!$A25,Planilha3!$I:$I,Planilha5!$B25)</f>
        <v>0</v>
      </c>
      <c r="I25" s="2">
        <f>SUMIFS(Planilha3!Q:Q,Planilha3!$A:$A,Planilha5!$A25,Planilha3!$I:$I,Planilha5!$B25)</f>
        <v>0</v>
      </c>
      <c r="J25" s="2">
        <f>SUMIFS(Planilha3!R:R,Planilha3!$A:$A,Planilha5!$A25,Planilha3!$I:$I,Planilha5!$B25)</f>
        <v>0</v>
      </c>
      <c r="K25" s="2">
        <f>SUMIFS(Planilha3!S:S,Planilha3!$A:$A,Planilha5!$A25,Planilha3!$I:$I,Planilha5!$B25)</f>
        <v>0</v>
      </c>
    </row>
    <row r="26" spans="1:11" x14ac:dyDescent="0.25">
      <c r="A26" s="14" t="s">
        <v>77</v>
      </c>
      <c r="B26" s="35" t="s">
        <v>21</v>
      </c>
      <c r="C26" s="2">
        <f>SUMIFS(Planilha3!$K:$K,Planilha3!$A:$A,Planilha5!$A26,Planilha3!$I:$I,Planilha5!$B26)</f>
        <v>1</v>
      </c>
      <c r="D26" s="2">
        <f>SUMIFS(Planilha3!L:L,Planilha3!$A:$A,Planilha5!$A26,Planilha3!$I:$I,Planilha5!$B26)</f>
        <v>6</v>
      </c>
      <c r="E26" s="2">
        <f>SUMIFS(Planilha3!M:M,Planilha3!$A:$A,Planilha5!$A26,Planilha3!$I:$I,Planilha5!$B26)</f>
        <v>0</v>
      </c>
      <c r="F26" s="2">
        <f>SUMIFS(Planilha3!N:N,Planilha3!$A:$A,Planilha5!$A26,Planilha3!$I:$I,Planilha5!$B26)</f>
        <v>1</v>
      </c>
      <c r="G26" s="2">
        <f>SUMIFS(Planilha3!O:O,Planilha3!$A:$A,Planilha5!$A26,Planilha3!$I:$I,Planilha5!$B26)</f>
        <v>1</v>
      </c>
      <c r="H26" s="2">
        <f>SUMIFS(Planilha3!P:P,Planilha3!$A:$A,Planilha5!$A26,Planilha3!$I:$I,Planilha5!$B26)</f>
        <v>4</v>
      </c>
      <c r="I26" s="2">
        <f>SUMIFS(Planilha3!Q:Q,Planilha3!$A:$A,Planilha5!$A26,Planilha3!$I:$I,Planilha5!$B26)</f>
        <v>4</v>
      </c>
      <c r="J26" s="2">
        <f>SUMIFS(Planilha3!R:R,Planilha3!$A:$A,Planilha5!$A26,Planilha3!$I:$I,Planilha5!$B26)</f>
        <v>1</v>
      </c>
      <c r="K26" s="2">
        <f>SUMIFS(Planilha3!S:S,Planilha3!$A:$A,Planilha5!$A26,Planilha3!$I:$I,Planilha5!$B26)</f>
        <v>1</v>
      </c>
    </row>
    <row r="27" spans="1:11" x14ac:dyDescent="0.25">
      <c r="A27" s="14" t="s">
        <v>77</v>
      </c>
      <c r="B27" s="13" t="s">
        <v>329</v>
      </c>
      <c r="C27" s="2">
        <f>SUMIFS(Planilha3!$K:$K,Planilha3!$A:$A,Planilha5!$A27,Planilha3!$I:$I,Planilha5!$B27)</f>
        <v>0</v>
      </c>
      <c r="D27" s="2">
        <f>SUMIFS(Planilha3!L:L,Planilha3!$A:$A,Planilha5!$A27,Planilha3!$I:$I,Planilha5!$B27)</f>
        <v>1</v>
      </c>
      <c r="E27" s="2">
        <f>SUMIFS(Planilha3!M:M,Planilha3!$A:$A,Planilha5!$A27,Planilha3!$I:$I,Planilha5!$B27)</f>
        <v>1</v>
      </c>
      <c r="F27" s="2">
        <f>SUMIFS(Planilha3!N:N,Planilha3!$A:$A,Planilha5!$A27,Planilha3!$I:$I,Planilha5!$B27)</f>
        <v>0</v>
      </c>
      <c r="G27" s="2">
        <f>SUMIFS(Planilha3!O:O,Planilha3!$A:$A,Planilha5!$A27,Planilha3!$I:$I,Planilha5!$B27)</f>
        <v>0</v>
      </c>
      <c r="H27" s="2">
        <f>SUMIFS(Planilha3!P:P,Planilha3!$A:$A,Planilha5!$A27,Planilha3!$I:$I,Planilha5!$B27)</f>
        <v>0</v>
      </c>
      <c r="I27" s="2">
        <f>SUMIFS(Planilha3!Q:Q,Planilha3!$A:$A,Planilha5!$A27,Planilha3!$I:$I,Planilha5!$B27)</f>
        <v>0</v>
      </c>
      <c r="J27" s="2">
        <f>SUMIFS(Planilha3!R:R,Planilha3!$A:$A,Planilha5!$A27,Planilha3!$I:$I,Planilha5!$B27)</f>
        <v>0</v>
      </c>
      <c r="K27" s="2">
        <f>SUMIFS(Planilha3!S:S,Planilha3!$A:$A,Planilha5!$A27,Planilha3!$I:$I,Planilha5!$B27)</f>
        <v>0</v>
      </c>
    </row>
    <row r="28" spans="1:11" x14ac:dyDescent="0.25">
      <c r="A28" s="14" t="s">
        <v>77</v>
      </c>
      <c r="B28" s="13" t="s">
        <v>23</v>
      </c>
      <c r="C28" s="2">
        <f>SUMIFS(Planilha3!$K:$K,Planilha3!$A:$A,Planilha5!$A28,Planilha3!$I:$I,Planilha5!$B28)</f>
        <v>0</v>
      </c>
      <c r="D28" s="2">
        <f>SUMIFS(Planilha3!L:L,Planilha3!$A:$A,Planilha5!$A28,Planilha3!$I:$I,Planilha5!$B28)</f>
        <v>0</v>
      </c>
      <c r="E28" s="2">
        <f>SUMIFS(Planilha3!M:M,Planilha3!$A:$A,Planilha5!$A28,Planilha3!$I:$I,Planilha5!$B28)</f>
        <v>0</v>
      </c>
      <c r="F28" s="2">
        <f>SUMIFS(Planilha3!N:N,Planilha3!$A:$A,Planilha5!$A28,Planilha3!$I:$I,Planilha5!$B28)</f>
        <v>0</v>
      </c>
      <c r="G28" s="2">
        <f>SUMIFS(Planilha3!O:O,Planilha3!$A:$A,Planilha5!$A28,Planilha3!$I:$I,Planilha5!$B28)</f>
        <v>0</v>
      </c>
      <c r="H28" s="2">
        <f>SUMIFS(Planilha3!P:P,Planilha3!$A:$A,Planilha5!$A28,Planilha3!$I:$I,Planilha5!$B28)</f>
        <v>0</v>
      </c>
      <c r="I28" s="2">
        <f>SUMIFS(Planilha3!Q:Q,Planilha3!$A:$A,Planilha5!$A28,Planilha3!$I:$I,Planilha5!$B28)</f>
        <v>0</v>
      </c>
      <c r="J28" s="2">
        <f>SUMIFS(Planilha3!R:R,Planilha3!$A:$A,Planilha5!$A28,Planilha3!$I:$I,Planilha5!$B28)</f>
        <v>0</v>
      </c>
      <c r="K28" s="2">
        <f>SUMIFS(Planilha3!S:S,Planilha3!$A:$A,Planilha5!$A28,Planilha3!$I:$I,Planilha5!$B28)</f>
        <v>1</v>
      </c>
    </row>
    <row r="29" spans="1:11" x14ac:dyDescent="0.25">
      <c r="A29" s="14" t="s">
        <v>77</v>
      </c>
      <c r="B29" s="13" t="s">
        <v>434</v>
      </c>
      <c r="C29" s="2">
        <f>SUMIFS(Planilha3!$K:$K,Planilha3!$A:$A,Planilha5!$A29,Planilha3!$I:$I,Planilha5!$B29)</f>
        <v>0</v>
      </c>
      <c r="D29" s="2">
        <f>SUMIFS(Planilha3!L:L,Planilha3!$A:$A,Planilha5!$A29,Planilha3!$I:$I,Planilha5!$B29)</f>
        <v>0</v>
      </c>
      <c r="E29" s="2">
        <f>SUMIFS(Planilha3!M:M,Planilha3!$A:$A,Planilha5!$A29,Planilha3!$I:$I,Planilha5!$B29)</f>
        <v>0</v>
      </c>
      <c r="F29" s="2">
        <f>SUMIFS(Planilha3!N:N,Planilha3!$A:$A,Planilha5!$A29,Planilha3!$I:$I,Planilha5!$B29)</f>
        <v>0</v>
      </c>
      <c r="G29" s="2">
        <f>SUMIFS(Planilha3!O:O,Planilha3!$A:$A,Planilha5!$A29,Planilha3!$I:$I,Planilha5!$B29)</f>
        <v>0</v>
      </c>
      <c r="H29" s="2">
        <f>SUMIFS(Planilha3!P:P,Planilha3!$A:$A,Planilha5!$A29,Planilha3!$I:$I,Planilha5!$B29)</f>
        <v>0</v>
      </c>
      <c r="I29" s="2">
        <f>SUMIFS(Planilha3!Q:Q,Planilha3!$A:$A,Planilha5!$A29,Planilha3!$I:$I,Planilha5!$B29)</f>
        <v>0</v>
      </c>
      <c r="J29" s="2">
        <f>SUMIFS(Planilha3!R:R,Planilha3!$A:$A,Planilha5!$A29,Planilha3!$I:$I,Planilha5!$B29)</f>
        <v>0</v>
      </c>
      <c r="K29" s="2">
        <f>SUMIFS(Planilha3!S:S,Planilha3!$A:$A,Planilha5!$A29,Planilha3!$I:$I,Planilha5!$B29)</f>
        <v>0</v>
      </c>
    </row>
    <row r="30" spans="1:11" x14ac:dyDescent="0.25">
      <c r="A30" s="14" t="s">
        <v>77</v>
      </c>
      <c r="B30" s="13" t="s">
        <v>530</v>
      </c>
      <c r="C30" s="2">
        <f>SUMIFS(Planilha3!$K:$K,Planilha3!$A:$A,Planilha5!$A30,Planilha3!$I:$I,Planilha5!$B30)</f>
        <v>0</v>
      </c>
      <c r="D30" s="2">
        <f>SUMIFS(Planilha3!L:L,Planilha3!$A:$A,Planilha5!$A30,Planilha3!$I:$I,Planilha5!$B30)</f>
        <v>0</v>
      </c>
      <c r="E30" s="2">
        <f>SUMIFS(Planilha3!M:M,Planilha3!$A:$A,Planilha5!$A30,Planilha3!$I:$I,Planilha5!$B30)</f>
        <v>0</v>
      </c>
      <c r="F30" s="2">
        <f>SUMIFS(Planilha3!N:N,Planilha3!$A:$A,Planilha5!$A30,Planilha3!$I:$I,Planilha5!$B30)</f>
        <v>0</v>
      </c>
      <c r="G30" s="2">
        <f>SUMIFS(Planilha3!O:O,Planilha3!$A:$A,Planilha5!$A30,Planilha3!$I:$I,Planilha5!$B30)</f>
        <v>0</v>
      </c>
      <c r="H30" s="2">
        <f>SUMIFS(Planilha3!P:P,Planilha3!$A:$A,Planilha5!$A30,Planilha3!$I:$I,Planilha5!$B30)</f>
        <v>0</v>
      </c>
      <c r="I30" s="2">
        <f>SUMIFS(Planilha3!Q:Q,Planilha3!$A:$A,Planilha5!$A30,Planilha3!$I:$I,Planilha5!$B30)</f>
        <v>0</v>
      </c>
      <c r="J30" s="2">
        <f>SUMIFS(Planilha3!R:R,Planilha3!$A:$A,Planilha5!$A30,Planilha3!$I:$I,Planilha5!$B30)</f>
        <v>0</v>
      </c>
      <c r="K30" s="2">
        <f>SUMIFS(Planilha3!S:S,Planilha3!$A:$A,Planilha5!$A30,Planilha3!$I:$I,Planilha5!$B30)</f>
        <v>0</v>
      </c>
    </row>
    <row r="31" spans="1:11" x14ac:dyDescent="0.25">
      <c r="A31" s="14" t="s">
        <v>78</v>
      </c>
      <c r="B31" s="33" t="s">
        <v>225</v>
      </c>
      <c r="C31" s="2">
        <f>SUMIFS(Planilha3!$K:$K,Planilha3!$A:$A,Planilha5!$A31,Planilha3!$I:$I,Planilha5!$B31)</f>
        <v>0</v>
      </c>
      <c r="D31" s="2">
        <f>SUMIFS(Planilha3!L:L,Planilha3!$A:$A,Planilha5!$A31,Planilha3!$I:$I,Planilha5!$B31)</f>
        <v>0</v>
      </c>
      <c r="E31" s="2">
        <f>SUMIFS(Planilha3!M:M,Planilha3!$A:$A,Planilha5!$A31,Planilha3!$I:$I,Planilha5!$B31)</f>
        <v>0</v>
      </c>
      <c r="F31" s="2">
        <f>SUMIFS(Planilha3!N:N,Planilha3!$A:$A,Planilha5!$A31,Planilha3!$I:$I,Planilha5!$B31)</f>
        <v>0</v>
      </c>
      <c r="G31" s="2">
        <f>SUMIFS(Planilha3!O:O,Planilha3!$A:$A,Planilha5!$A31,Planilha3!$I:$I,Planilha5!$B31)</f>
        <v>0</v>
      </c>
      <c r="H31" s="2">
        <f>SUMIFS(Planilha3!P:P,Planilha3!$A:$A,Planilha5!$A31,Planilha3!$I:$I,Planilha5!$B31)</f>
        <v>0</v>
      </c>
      <c r="I31" s="2">
        <f>SUMIFS(Planilha3!Q:Q,Planilha3!$A:$A,Planilha5!$A31,Planilha3!$I:$I,Planilha5!$B31)</f>
        <v>0</v>
      </c>
      <c r="J31" s="2">
        <f>SUMIFS(Planilha3!R:R,Planilha3!$A:$A,Planilha5!$A31,Planilha3!$I:$I,Planilha5!$B31)</f>
        <v>0</v>
      </c>
      <c r="K31" s="2">
        <f>SUMIFS(Planilha3!S:S,Planilha3!$A:$A,Planilha5!$A31,Planilha3!$I:$I,Planilha5!$B31)</f>
        <v>0</v>
      </c>
    </row>
    <row r="32" spans="1:11" x14ac:dyDescent="0.25">
      <c r="A32" s="14" t="s">
        <v>78</v>
      </c>
      <c r="B32" s="13" t="s">
        <v>52</v>
      </c>
      <c r="C32" s="2">
        <f>SUMIFS(Planilha3!$K:$K,Planilha3!$A:$A,Planilha5!$A32,Planilha3!$I:$I,Planilha5!$B32)</f>
        <v>0</v>
      </c>
      <c r="D32" s="2">
        <f>SUMIFS(Planilha3!L:L,Planilha3!$A:$A,Planilha5!$A32,Planilha3!$I:$I,Planilha5!$B32)</f>
        <v>0</v>
      </c>
      <c r="E32" s="2">
        <f>SUMIFS(Planilha3!M:M,Planilha3!$A:$A,Planilha5!$A32,Planilha3!$I:$I,Planilha5!$B32)</f>
        <v>0</v>
      </c>
      <c r="F32" s="2">
        <f>SUMIFS(Planilha3!N:N,Planilha3!$A:$A,Planilha5!$A32,Planilha3!$I:$I,Planilha5!$B32)</f>
        <v>0</v>
      </c>
      <c r="G32" s="2">
        <f>SUMIFS(Planilha3!O:O,Planilha3!$A:$A,Planilha5!$A32,Planilha3!$I:$I,Planilha5!$B32)</f>
        <v>0</v>
      </c>
      <c r="H32" s="2">
        <f>SUMIFS(Planilha3!P:P,Planilha3!$A:$A,Planilha5!$A32,Planilha3!$I:$I,Planilha5!$B32)</f>
        <v>0</v>
      </c>
      <c r="I32" s="2">
        <f>SUMIFS(Planilha3!Q:Q,Planilha3!$A:$A,Planilha5!$A32,Planilha3!$I:$I,Planilha5!$B32)</f>
        <v>0</v>
      </c>
      <c r="J32" s="2">
        <f>SUMIFS(Planilha3!R:R,Planilha3!$A:$A,Planilha5!$A32,Planilha3!$I:$I,Planilha5!$B32)</f>
        <v>0</v>
      </c>
      <c r="K32" s="2">
        <f>SUMIFS(Planilha3!S:S,Planilha3!$A:$A,Planilha5!$A32,Planilha3!$I:$I,Planilha5!$B32)</f>
        <v>0</v>
      </c>
    </row>
    <row r="33" spans="1:11" x14ac:dyDescent="0.25">
      <c r="A33" s="14" t="s">
        <v>78</v>
      </c>
      <c r="B33" s="13" t="s">
        <v>16</v>
      </c>
      <c r="C33" s="2">
        <f>SUMIFS(Planilha3!$K:$K,Planilha3!$A:$A,Planilha5!$A33,Planilha3!$I:$I,Planilha5!$B33)</f>
        <v>0</v>
      </c>
      <c r="D33" s="2">
        <f>SUMIFS(Planilha3!L:L,Planilha3!$A:$A,Planilha5!$A33,Planilha3!$I:$I,Planilha5!$B33)</f>
        <v>2</v>
      </c>
      <c r="E33" s="2">
        <f>SUMIFS(Planilha3!M:M,Planilha3!$A:$A,Planilha5!$A33,Planilha3!$I:$I,Planilha5!$B33)</f>
        <v>2</v>
      </c>
      <c r="F33" s="2">
        <f>SUMIFS(Planilha3!N:N,Planilha3!$A:$A,Planilha5!$A33,Planilha3!$I:$I,Planilha5!$B33)</f>
        <v>2</v>
      </c>
      <c r="G33" s="2">
        <f>SUMIFS(Planilha3!O:O,Planilha3!$A:$A,Planilha5!$A33,Planilha3!$I:$I,Planilha5!$B33)</f>
        <v>3</v>
      </c>
      <c r="H33" s="2">
        <f>SUMIFS(Planilha3!P:P,Planilha3!$A:$A,Planilha5!$A33,Planilha3!$I:$I,Planilha5!$B33)</f>
        <v>4</v>
      </c>
      <c r="I33" s="2">
        <f>SUMIFS(Planilha3!Q:Q,Planilha3!$A:$A,Planilha5!$A33,Planilha3!$I:$I,Planilha5!$B33)</f>
        <v>5</v>
      </c>
      <c r="J33" s="2">
        <f>SUMIFS(Planilha3!R:R,Planilha3!$A:$A,Planilha5!$A33,Planilha3!$I:$I,Planilha5!$B33)</f>
        <v>3</v>
      </c>
      <c r="K33" s="2">
        <f>SUMIFS(Planilha3!S:S,Planilha3!$A:$A,Planilha5!$A33,Planilha3!$I:$I,Planilha5!$B33)</f>
        <v>3</v>
      </c>
    </row>
    <row r="34" spans="1:11" x14ac:dyDescent="0.25">
      <c r="A34" s="14" t="s">
        <v>78</v>
      </c>
      <c r="B34" s="33" t="s">
        <v>244</v>
      </c>
      <c r="C34" s="2">
        <f>SUMIFS(Planilha3!$K:$K,Planilha3!$A:$A,Planilha5!$A34,Planilha3!$I:$I,Planilha5!$B34)</f>
        <v>0</v>
      </c>
      <c r="D34" s="2">
        <f>SUMIFS(Planilha3!L:L,Planilha3!$A:$A,Planilha5!$A34,Planilha3!$I:$I,Planilha5!$B34)</f>
        <v>0</v>
      </c>
      <c r="E34" s="2">
        <f>SUMIFS(Planilha3!M:M,Planilha3!$A:$A,Planilha5!$A34,Planilha3!$I:$I,Planilha5!$B34)</f>
        <v>0</v>
      </c>
      <c r="F34" s="2">
        <f>SUMIFS(Planilha3!N:N,Planilha3!$A:$A,Planilha5!$A34,Planilha3!$I:$I,Planilha5!$B34)</f>
        <v>0</v>
      </c>
      <c r="G34" s="2">
        <f>SUMIFS(Planilha3!O:O,Planilha3!$A:$A,Planilha5!$A34,Planilha3!$I:$I,Planilha5!$B34)</f>
        <v>0</v>
      </c>
      <c r="H34" s="2">
        <f>SUMIFS(Planilha3!P:P,Planilha3!$A:$A,Planilha5!$A34,Planilha3!$I:$I,Planilha5!$B34)</f>
        <v>0</v>
      </c>
      <c r="I34" s="2">
        <f>SUMIFS(Planilha3!Q:Q,Planilha3!$A:$A,Planilha5!$A34,Planilha3!$I:$I,Planilha5!$B34)</f>
        <v>0</v>
      </c>
      <c r="J34" s="2">
        <f>SUMIFS(Planilha3!R:R,Planilha3!$A:$A,Planilha5!$A34,Planilha3!$I:$I,Planilha5!$B34)</f>
        <v>0</v>
      </c>
      <c r="K34" s="2">
        <f>SUMIFS(Planilha3!S:S,Planilha3!$A:$A,Planilha5!$A34,Planilha3!$I:$I,Planilha5!$B34)</f>
        <v>0</v>
      </c>
    </row>
    <row r="35" spans="1:11" x14ac:dyDescent="0.25">
      <c r="A35" s="14" t="s">
        <v>78</v>
      </c>
      <c r="B35" s="13" t="s">
        <v>27</v>
      </c>
      <c r="C35" s="2">
        <f>SUMIFS(Planilha3!$K:$K,Planilha3!$A:$A,Planilha5!$A35,Planilha3!$I:$I,Planilha5!$B35)</f>
        <v>1</v>
      </c>
      <c r="D35" s="2">
        <f>SUMIFS(Planilha3!L:L,Planilha3!$A:$A,Planilha5!$A35,Planilha3!$I:$I,Planilha5!$B35)</f>
        <v>2</v>
      </c>
      <c r="E35" s="2">
        <f>SUMIFS(Planilha3!M:M,Planilha3!$A:$A,Planilha5!$A35,Planilha3!$I:$I,Planilha5!$B35)</f>
        <v>2</v>
      </c>
      <c r="F35" s="2">
        <f>SUMIFS(Planilha3!N:N,Planilha3!$A:$A,Planilha5!$A35,Planilha3!$I:$I,Planilha5!$B35)</f>
        <v>3</v>
      </c>
      <c r="G35" s="2">
        <f>SUMIFS(Planilha3!O:O,Planilha3!$A:$A,Planilha5!$A35,Planilha3!$I:$I,Planilha5!$B35)</f>
        <v>2</v>
      </c>
      <c r="H35" s="2">
        <f>SUMIFS(Planilha3!P:P,Planilha3!$A:$A,Planilha5!$A35,Planilha3!$I:$I,Planilha5!$B35)</f>
        <v>4</v>
      </c>
      <c r="I35" s="2">
        <f>SUMIFS(Planilha3!Q:Q,Planilha3!$A:$A,Planilha5!$A35,Planilha3!$I:$I,Planilha5!$B35)</f>
        <v>5</v>
      </c>
      <c r="J35" s="2">
        <f>SUMIFS(Planilha3!R:R,Planilha3!$A:$A,Planilha5!$A35,Planilha3!$I:$I,Planilha5!$B35)</f>
        <v>4</v>
      </c>
      <c r="K35" s="2">
        <f>SUMIFS(Planilha3!S:S,Planilha3!$A:$A,Planilha5!$A35,Planilha3!$I:$I,Planilha5!$B35)</f>
        <v>0</v>
      </c>
    </row>
    <row r="36" spans="1:11" x14ac:dyDescent="0.25">
      <c r="A36" s="14" t="s">
        <v>78</v>
      </c>
      <c r="B36" s="13" t="s">
        <v>255</v>
      </c>
      <c r="C36" s="2">
        <f>SUMIFS(Planilha3!$K:$K,Planilha3!$A:$A,Planilha5!$A36,Planilha3!$I:$I,Planilha5!$B36)</f>
        <v>0</v>
      </c>
      <c r="D36" s="2">
        <f>SUMIFS(Planilha3!L:L,Planilha3!$A:$A,Planilha5!$A36,Planilha3!$I:$I,Planilha5!$B36)</f>
        <v>0</v>
      </c>
      <c r="E36" s="2">
        <f>SUMIFS(Planilha3!M:M,Planilha3!$A:$A,Planilha5!$A36,Planilha3!$I:$I,Planilha5!$B36)</f>
        <v>0</v>
      </c>
      <c r="F36" s="2">
        <f>SUMIFS(Planilha3!N:N,Planilha3!$A:$A,Planilha5!$A36,Planilha3!$I:$I,Planilha5!$B36)</f>
        <v>0</v>
      </c>
      <c r="G36" s="2">
        <f>SUMIFS(Planilha3!O:O,Planilha3!$A:$A,Planilha5!$A36,Planilha3!$I:$I,Planilha5!$B36)</f>
        <v>0</v>
      </c>
      <c r="H36" s="2">
        <f>SUMIFS(Planilha3!P:P,Planilha3!$A:$A,Planilha5!$A36,Planilha3!$I:$I,Planilha5!$B36)</f>
        <v>0</v>
      </c>
      <c r="I36" s="2">
        <f>SUMIFS(Planilha3!Q:Q,Planilha3!$A:$A,Planilha5!$A36,Planilha3!$I:$I,Planilha5!$B36)</f>
        <v>0</v>
      </c>
      <c r="J36" s="2">
        <f>SUMIFS(Planilha3!R:R,Planilha3!$A:$A,Planilha5!$A36,Planilha3!$I:$I,Planilha5!$B36)</f>
        <v>2</v>
      </c>
      <c r="K36" s="2">
        <f>SUMIFS(Planilha3!S:S,Planilha3!$A:$A,Planilha5!$A36,Planilha3!$I:$I,Planilha5!$B36)</f>
        <v>0</v>
      </c>
    </row>
    <row r="37" spans="1:11" x14ac:dyDescent="0.25">
      <c r="A37" s="14" t="s">
        <v>78</v>
      </c>
      <c r="B37" s="13" t="s">
        <v>19</v>
      </c>
      <c r="C37" s="2">
        <f>SUMIFS(Planilha3!$K:$K,Planilha3!$A:$A,Planilha5!$A37,Planilha3!$I:$I,Planilha5!$B37)</f>
        <v>0</v>
      </c>
      <c r="D37" s="2">
        <f>SUMIFS(Planilha3!L:L,Planilha3!$A:$A,Planilha5!$A37,Planilha3!$I:$I,Planilha5!$B37)</f>
        <v>1</v>
      </c>
      <c r="E37" s="2">
        <f>SUMIFS(Planilha3!M:M,Planilha3!$A:$A,Planilha5!$A37,Planilha3!$I:$I,Planilha5!$B37)</f>
        <v>4</v>
      </c>
      <c r="F37" s="2">
        <f>SUMIFS(Planilha3!N:N,Planilha3!$A:$A,Planilha5!$A37,Planilha3!$I:$I,Planilha5!$B37)</f>
        <v>4</v>
      </c>
      <c r="G37" s="2">
        <f>SUMIFS(Planilha3!O:O,Planilha3!$A:$A,Planilha5!$A37,Planilha3!$I:$I,Planilha5!$B37)</f>
        <v>2</v>
      </c>
      <c r="H37" s="2">
        <f>SUMIFS(Planilha3!P:P,Planilha3!$A:$A,Planilha5!$A37,Planilha3!$I:$I,Planilha5!$B37)</f>
        <v>1</v>
      </c>
      <c r="I37" s="2">
        <f>SUMIFS(Planilha3!Q:Q,Planilha3!$A:$A,Planilha5!$A37,Planilha3!$I:$I,Planilha5!$B37)</f>
        <v>1</v>
      </c>
      <c r="J37" s="2">
        <f>SUMIFS(Planilha3!R:R,Planilha3!$A:$A,Planilha5!$A37,Planilha3!$I:$I,Planilha5!$B37)</f>
        <v>0</v>
      </c>
      <c r="K37" s="2">
        <f>SUMIFS(Planilha3!S:S,Planilha3!$A:$A,Planilha5!$A37,Planilha3!$I:$I,Planilha5!$B37)</f>
        <v>0</v>
      </c>
    </row>
    <row r="38" spans="1:11" x14ac:dyDescent="0.25">
      <c r="A38" s="14" t="s">
        <v>78</v>
      </c>
      <c r="B38" s="13" t="s">
        <v>279</v>
      </c>
      <c r="C38" s="2">
        <f>SUMIFS(Planilha3!$K:$K,Planilha3!$A:$A,Planilha5!$A38,Planilha3!$I:$I,Planilha5!$B38)</f>
        <v>0</v>
      </c>
      <c r="D38" s="2">
        <f>SUMIFS(Planilha3!L:L,Planilha3!$A:$A,Planilha5!$A38,Planilha3!$I:$I,Planilha5!$B38)</f>
        <v>0</v>
      </c>
      <c r="E38" s="2">
        <f>SUMIFS(Planilha3!M:M,Planilha3!$A:$A,Planilha5!$A38,Planilha3!$I:$I,Planilha5!$B38)</f>
        <v>0</v>
      </c>
      <c r="F38" s="2">
        <f>SUMIFS(Planilha3!N:N,Planilha3!$A:$A,Planilha5!$A38,Planilha3!$I:$I,Planilha5!$B38)</f>
        <v>0</v>
      </c>
      <c r="G38" s="2">
        <f>SUMIFS(Planilha3!O:O,Planilha3!$A:$A,Planilha5!$A38,Planilha3!$I:$I,Planilha5!$B38)</f>
        <v>0</v>
      </c>
      <c r="H38" s="2">
        <f>SUMIFS(Planilha3!P:P,Planilha3!$A:$A,Planilha5!$A38,Planilha3!$I:$I,Planilha5!$B38)</f>
        <v>0</v>
      </c>
      <c r="I38" s="2">
        <f>SUMIFS(Planilha3!Q:Q,Planilha3!$A:$A,Planilha5!$A38,Planilha3!$I:$I,Planilha5!$B38)</f>
        <v>0</v>
      </c>
      <c r="J38" s="2">
        <f>SUMIFS(Planilha3!R:R,Planilha3!$A:$A,Planilha5!$A38,Planilha3!$I:$I,Planilha5!$B38)</f>
        <v>0</v>
      </c>
      <c r="K38" s="2">
        <f>SUMIFS(Planilha3!S:S,Planilha3!$A:$A,Planilha5!$A38,Planilha3!$I:$I,Planilha5!$B38)</f>
        <v>0</v>
      </c>
    </row>
    <row r="39" spans="1:11" x14ac:dyDescent="0.25">
      <c r="A39" s="14" t="s">
        <v>78</v>
      </c>
      <c r="B39" s="35" t="s">
        <v>25</v>
      </c>
      <c r="C39" s="2">
        <f>SUMIFS(Planilha3!$K:$K,Planilha3!$A:$A,Planilha5!$A39,Planilha3!$I:$I,Planilha5!$B39)</f>
        <v>1</v>
      </c>
      <c r="D39" s="2">
        <f>SUMIFS(Planilha3!L:L,Planilha3!$A:$A,Planilha5!$A39,Planilha3!$I:$I,Planilha5!$B39)</f>
        <v>0</v>
      </c>
      <c r="E39" s="2">
        <f>SUMIFS(Planilha3!M:M,Planilha3!$A:$A,Planilha5!$A39,Planilha3!$I:$I,Planilha5!$B39)</f>
        <v>0</v>
      </c>
      <c r="F39" s="2">
        <f>SUMIFS(Planilha3!N:N,Planilha3!$A:$A,Planilha5!$A39,Planilha3!$I:$I,Planilha5!$B39)</f>
        <v>0</v>
      </c>
      <c r="G39" s="2">
        <f>SUMIFS(Planilha3!O:O,Planilha3!$A:$A,Planilha5!$A39,Planilha3!$I:$I,Planilha5!$B39)</f>
        <v>0</v>
      </c>
      <c r="H39" s="2">
        <f>SUMIFS(Planilha3!P:P,Planilha3!$A:$A,Planilha5!$A39,Planilha3!$I:$I,Planilha5!$B39)</f>
        <v>0</v>
      </c>
      <c r="I39" s="2">
        <f>SUMIFS(Planilha3!Q:Q,Planilha3!$A:$A,Planilha5!$A39,Planilha3!$I:$I,Planilha5!$B39)</f>
        <v>1</v>
      </c>
      <c r="J39" s="2">
        <f>SUMIFS(Planilha3!R:R,Planilha3!$A:$A,Planilha5!$A39,Planilha3!$I:$I,Planilha5!$B39)</f>
        <v>1</v>
      </c>
      <c r="K39" s="2">
        <f>SUMIFS(Planilha3!S:S,Planilha3!$A:$A,Planilha5!$A39,Planilha3!$I:$I,Planilha5!$B39)</f>
        <v>1</v>
      </c>
    </row>
    <row r="40" spans="1:11" x14ac:dyDescent="0.25">
      <c r="A40" s="14" t="s">
        <v>78</v>
      </c>
      <c r="B40" s="35" t="s">
        <v>21</v>
      </c>
      <c r="C40" s="2">
        <f>SUMIFS(Planilha3!$K:$K,Planilha3!$A:$A,Planilha5!$A40,Planilha3!$I:$I,Planilha5!$B40)</f>
        <v>0</v>
      </c>
      <c r="D40" s="2">
        <f>SUMIFS(Planilha3!L:L,Planilha3!$A:$A,Planilha5!$A40,Planilha3!$I:$I,Planilha5!$B40)</f>
        <v>2</v>
      </c>
      <c r="E40" s="2">
        <f>SUMIFS(Planilha3!M:M,Planilha3!$A:$A,Planilha5!$A40,Planilha3!$I:$I,Planilha5!$B40)</f>
        <v>1</v>
      </c>
      <c r="F40" s="2">
        <f>SUMIFS(Planilha3!N:N,Planilha3!$A:$A,Planilha5!$A40,Planilha3!$I:$I,Planilha5!$B40)</f>
        <v>3</v>
      </c>
      <c r="G40" s="2">
        <f>SUMIFS(Planilha3!O:O,Planilha3!$A:$A,Planilha5!$A40,Planilha3!$I:$I,Planilha5!$B40)</f>
        <v>6</v>
      </c>
      <c r="H40" s="2">
        <f>SUMIFS(Planilha3!P:P,Planilha3!$A:$A,Planilha5!$A40,Planilha3!$I:$I,Planilha5!$B40)</f>
        <v>3</v>
      </c>
      <c r="I40" s="2">
        <f>SUMIFS(Planilha3!Q:Q,Planilha3!$A:$A,Planilha5!$A40,Planilha3!$I:$I,Planilha5!$B40)</f>
        <v>2</v>
      </c>
      <c r="J40" s="2">
        <f>SUMIFS(Planilha3!R:R,Planilha3!$A:$A,Planilha5!$A40,Planilha3!$I:$I,Planilha5!$B40)</f>
        <v>0</v>
      </c>
      <c r="K40" s="2">
        <f>SUMIFS(Planilha3!S:S,Planilha3!$A:$A,Planilha5!$A40,Planilha3!$I:$I,Planilha5!$B40)</f>
        <v>0</v>
      </c>
    </row>
    <row r="41" spans="1:11" x14ac:dyDescent="0.25">
      <c r="A41" s="14" t="s">
        <v>78</v>
      </c>
      <c r="B41" s="13" t="s">
        <v>329</v>
      </c>
      <c r="C41" s="2">
        <f>SUMIFS(Planilha3!$K:$K,Planilha3!$A:$A,Planilha5!$A41,Planilha3!$I:$I,Planilha5!$B41)</f>
        <v>0</v>
      </c>
      <c r="D41" s="2">
        <f>SUMIFS(Planilha3!L:L,Planilha3!$A:$A,Planilha5!$A41,Planilha3!$I:$I,Planilha5!$B41)</f>
        <v>0</v>
      </c>
      <c r="E41" s="2">
        <f>SUMIFS(Planilha3!M:M,Planilha3!$A:$A,Planilha5!$A41,Planilha3!$I:$I,Planilha5!$B41)</f>
        <v>0</v>
      </c>
      <c r="F41" s="2">
        <f>SUMIFS(Planilha3!N:N,Planilha3!$A:$A,Planilha5!$A41,Planilha3!$I:$I,Planilha5!$B41)</f>
        <v>0</v>
      </c>
      <c r="G41" s="2">
        <f>SUMIFS(Planilha3!O:O,Planilha3!$A:$A,Planilha5!$A41,Planilha3!$I:$I,Planilha5!$B41)</f>
        <v>0</v>
      </c>
      <c r="H41" s="2">
        <f>SUMIFS(Planilha3!P:P,Planilha3!$A:$A,Planilha5!$A41,Planilha3!$I:$I,Planilha5!$B41)</f>
        <v>0</v>
      </c>
      <c r="I41" s="2">
        <f>SUMIFS(Planilha3!Q:Q,Planilha3!$A:$A,Planilha5!$A41,Planilha3!$I:$I,Planilha5!$B41)</f>
        <v>0</v>
      </c>
      <c r="J41" s="2">
        <f>SUMIFS(Planilha3!R:R,Planilha3!$A:$A,Planilha5!$A41,Planilha3!$I:$I,Planilha5!$B41)</f>
        <v>0</v>
      </c>
      <c r="K41" s="2">
        <f>SUMIFS(Planilha3!S:S,Planilha3!$A:$A,Planilha5!$A41,Planilha3!$I:$I,Planilha5!$B41)</f>
        <v>0</v>
      </c>
    </row>
    <row r="42" spans="1:11" x14ac:dyDescent="0.25">
      <c r="A42" s="14" t="s">
        <v>78</v>
      </c>
      <c r="B42" s="13" t="s">
        <v>23</v>
      </c>
      <c r="C42" s="2">
        <f>SUMIFS(Planilha3!$K:$K,Planilha3!$A:$A,Planilha5!$A42,Planilha3!$I:$I,Planilha5!$B42)</f>
        <v>0</v>
      </c>
      <c r="D42" s="2">
        <f>SUMIFS(Planilha3!L:L,Planilha3!$A:$A,Planilha5!$A42,Planilha3!$I:$I,Planilha5!$B42)</f>
        <v>0</v>
      </c>
      <c r="E42" s="2">
        <f>SUMIFS(Planilha3!M:M,Planilha3!$A:$A,Planilha5!$A42,Planilha3!$I:$I,Planilha5!$B42)</f>
        <v>0</v>
      </c>
      <c r="F42" s="2">
        <f>SUMIFS(Planilha3!N:N,Planilha3!$A:$A,Planilha5!$A42,Planilha3!$I:$I,Planilha5!$B42)</f>
        <v>0</v>
      </c>
      <c r="G42" s="2">
        <f>SUMIFS(Planilha3!O:O,Planilha3!$A:$A,Planilha5!$A42,Planilha3!$I:$I,Planilha5!$B42)</f>
        <v>0</v>
      </c>
      <c r="H42" s="2">
        <f>SUMIFS(Planilha3!P:P,Planilha3!$A:$A,Planilha5!$A42,Planilha3!$I:$I,Planilha5!$B42)</f>
        <v>1</v>
      </c>
      <c r="I42" s="2">
        <f>SUMIFS(Planilha3!Q:Q,Planilha3!$A:$A,Planilha5!$A42,Planilha3!$I:$I,Planilha5!$B42)</f>
        <v>1</v>
      </c>
      <c r="J42" s="2">
        <f>SUMIFS(Planilha3!R:R,Planilha3!$A:$A,Planilha5!$A42,Planilha3!$I:$I,Planilha5!$B42)</f>
        <v>1</v>
      </c>
      <c r="K42" s="2">
        <f>SUMIFS(Planilha3!S:S,Planilha3!$A:$A,Planilha5!$A42,Planilha3!$I:$I,Planilha5!$B42)</f>
        <v>0</v>
      </c>
    </row>
    <row r="43" spans="1:11" x14ac:dyDescent="0.25">
      <c r="A43" s="14" t="s">
        <v>78</v>
      </c>
      <c r="B43" s="13" t="s">
        <v>434</v>
      </c>
      <c r="C43" s="2">
        <f>SUMIFS(Planilha3!$K:$K,Planilha3!$A:$A,Planilha5!$A43,Planilha3!$I:$I,Planilha5!$B43)</f>
        <v>0</v>
      </c>
      <c r="D43" s="2">
        <f>SUMIFS(Planilha3!L:L,Planilha3!$A:$A,Planilha5!$A43,Planilha3!$I:$I,Planilha5!$B43)</f>
        <v>0</v>
      </c>
      <c r="E43" s="2">
        <f>SUMIFS(Planilha3!M:M,Planilha3!$A:$A,Planilha5!$A43,Planilha3!$I:$I,Planilha5!$B43)</f>
        <v>1</v>
      </c>
      <c r="F43" s="2">
        <f>SUMIFS(Planilha3!N:N,Planilha3!$A:$A,Planilha5!$A43,Planilha3!$I:$I,Planilha5!$B43)</f>
        <v>1</v>
      </c>
      <c r="G43" s="2">
        <f>SUMIFS(Planilha3!O:O,Planilha3!$A:$A,Planilha5!$A43,Planilha3!$I:$I,Planilha5!$B43)</f>
        <v>1</v>
      </c>
      <c r="H43" s="2">
        <f>SUMIFS(Planilha3!P:P,Planilha3!$A:$A,Planilha5!$A43,Planilha3!$I:$I,Planilha5!$B43)</f>
        <v>1</v>
      </c>
      <c r="I43" s="2">
        <f>SUMIFS(Planilha3!Q:Q,Planilha3!$A:$A,Planilha5!$A43,Planilha3!$I:$I,Planilha5!$B43)</f>
        <v>2</v>
      </c>
      <c r="J43" s="2">
        <f>SUMIFS(Planilha3!R:R,Planilha3!$A:$A,Planilha5!$A43,Planilha3!$I:$I,Planilha5!$B43)</f>
        <v>2</v>
      </c>
      <c r="K43" s="2">
        <f>SUMIFS(Planilha3!S:S,Planilha3!$A:$A,Planilha5!$A43,Planilha3!$I:$I,Planilha5!$B43)</f>
        <v>0</v>
      </c>
    </row>
    <row r="44" spans="1:11" x14ac:dyDescent="0.25">
      <c r="A44" s="14" t="s">
        <v>78</v>
      </c>
      <c r="B44" s="13" t="s">
        <v>530</v>
      </c>
      <c r="C44" s="2">
        <f>SUMIFS(Planilha3!$K:$K,Planilha3!$A:$A,Planilha5!$A44,Planilha3!$I:$I,Planilha5!$B44)</f>
        <v>0</v>
      </c>
      <c r="D44" s="2">
        <f>SUMIFS(Planilha3!L:L,Planilha3!$A:$A,Planilha5!$A44,Planilha3!$I:$I,Planilha5!$B44)</f>
        <v>0</v>
      </c>
      <c r="E44" s="2">
        <f>SUMIFS(Planilha3!M:M,Planilha3!$A:$A,Planilha5!$A44,Planilha3!$I:$I,Planilha5!$B44)</f>
        <v>0</v>
      </c>
      <c r="F44" s="2">
        <f>SUMIFS(Planilha3!N:N,Planilha3!$A:$A,Planilha5!$A44,Planilha3!$I:$I,Planilha5!$B44)</f>
        <v>0</v>
      </c>
      <c r="G44" s="2">
        <f>SUMIFS(Planilha3!O:O,Planilha3!$A:$A,Planilha5!$A44,Planilha3!$I:$I,Planilha5!$B44)</f>
        <v>0</v>
      </c>
      <c r="H44" s="2">
        <f>SUMIFS(Planilha3!P:P,Planilha3!$A:$A,Planilha5!$A44,Planilha3!$I:$I,Planilha5!$B44)</f>
        <v>0</v>
      </c>
      <c r="I44" s="2">
        <f>SUMIFS(Planilha3!Q:Q,Planilha3!$A:$A,Planilha5!$A44,Planilha3!$I:$I,Planilha5!$B44)</f>
        <v>0</v>
      </c>
      <c r="J44" s="2">
        <f>SUMIFS(Planilha3!R:R,Planilha3!$A:$A,Planilha5!$A44,Planilha3!$I:$I,Planilha5!$B44)</f>
        <v>1</v>
      </c>
      <c r="K44" s="2">
        <f>SUMIFS(Planilha3!S:S,Planilha3!$A:$A,Planilha5!$A44,Planilha3!$I:$I,Planilha5!$B44)</f>
        <v>1</v>
      </c>
    </row>
    <row r="45" spans="1:11" x14ac:dyDescent="0.25">
      <c r="A45" s="14" t="s">
        <v>79</v>
      </c>
      <c r="B45" s="33" t="s">
        <v>225</v>
      </c>
      <c r="C45" s="2">
        <f>SUMIFS(Planilha3!$K:$K,Planilha3!$A:$A,Planilha5!$A45,Planilha3!$I:$I,Planilha5!$B45)</f>
        <v>0</v>
      </c>
      <c r="D45" s="2">
        <f>SUMIFS(Planilha3!L:L,Planilha3!$A:$A,Planilha5!$A45,Planilha3!$I:$I,Planilha5!$B45)</f>
        <v>0</v>
      </c>
      <c r="E45" s="2">
        <f>SUMIFS(Planilha3!M:M,Planilha3!$A:$A,Planilha5!$A45,Planilha3!$I:$I,Planilha5!$B45)</f>
        <v>0</v>
      </c>
      <c r="F45" s="2">
        <f>SUMIFS(Planilha3!N:N,Planilha3!$A:$A,Planilha5!$A45,Planilha3!$I:$I,Planilha5!$B45)</f>
        <v>0</v>
      </c>
      <c r="G45" s="2">
        <f>SUMIFS(Planilha3!O:O,Planilha3!$A:$A,Planilha5!$A45,Planilha3!$I:$I,Planilha5!$B45)</f>
        <v>0</v>
      </c>
      <c r="H45" s="2">
        <f>SUMIFS(Planilha3!P:P,Planilha3!$A:$A,Planilha5!$A45,Planilha3!$I:$I,Planilha5!$B45)</f>
        <v>0</v>
      </c>
      <c r="I45" s="2">
        <f>SUMIFS(Planilha3!Q:Q,Planilha3!$A:$A,Planilha5!$A45,Planilha3!$I:$I,Planilha5!$B45)</f>
        <v>0</v>
      </c>
      <c r="J45" s="2">
        <f>SUMIFS(Planilha3!R:R,Planilha3!$A:$A,Planilha5!$A45,Planilha3!$I:$I,Planilha5!$B45)</f>
        <v>0</v>
      </c>
      <c r="K45" s="2">
        <f>SUMIFS(Planilha3!S:S,Planilha3!$A:$A,Planilha5!$A45,Planilha3!$I:$I,Planilha5!$B45)</f>
        <v>0</v>
      </c>
    </row>
    <row r="46" spans="1:11" x14ac:dyDescent="0.25">
      <c r="A46" s="14" t="s">
        <v>79</v>
      </c>
      <c r="B46" s="13" t="s">
        <v>52</v>
      </c>
      <c r="C46" s="2">
        <f>SUMIFS(Planilha3!$K:$K,Planilha3!$A:$A,Planilha5!$A46,Planilha3!$I:$I,Planilha5!$B46)</f>
        <v>0</v>
      </c>
      <c r="D46" s="2">
        <f>SUMIFS(Planilha3!L:L,Planilha3!$A:$A,Planilha5!$A46,Planilha3!$I:$I,Planilha5!$B46)</f>
        <v>0</v>
      </c>
      <c r="E46" s="2">
        <f>SUMIFS(Planilha3!M:M,Planilha3!$A:$A,Planilha5!$A46,Planilha3!$I:$I,Planilha5!$B46)</f>
        <v>0</v>
      </c>
      <c r="F46" s="2">
        <f>SUMIFS(Planilha3!N:N,Planilha3!$A:$A,Planilha5!$A46,Planilha3!$I:$I,Planilha5!$B46)</f>
        <v>0</v>
      </c>
      <c r="G46" s="2">
        <f>SUMIFS(Planilha3!O:O,Planilha3!$A:$A,Planilha5!$A46,Planilha3!$I:$I,Planilha5!$B46)</f>
        <v>0</v>
      </c>
      <c r="H46" s="2">
        <f>SUMIFS(Planilha3!P:P,Planilha3!$A:$A,Planilha5!$A46,Planilha3!$I:$I,Planilha5!$B46)</f>
        <v>0</v>
      </c>
      <c r="I46" s="2">
        <f>SUMIFS(Planilha3!Q:Q,Planilha3!$A:$A,Planilha5!$A46,Planilha3!$I:$I,Planilha5!$B46)</f>
        <v>0</v>
      </c>
      <c r="J46" s="2">
        <f>SUMIFS(Planilha3!R:R,Planilha3!$A:$A,Planilha5!$A46,Planilha3!$I:$I,Planilha5!$B46)</f>
        <v>0</v>
      </c>
      <c r="K46" s="2">
        <f>SUMIFS(Planilha3!S:S,Planilha3!$A:$A,Planilha5!$A46,Planilha3!$I:$I,Planilha5!$B46)</f>
        <v>0</v>
      </c>
    </row>
    <row r="47" spans="1:11" x14ac:dyDescent="0.25">
      <c r="A47" s="14" t="s">
        <v>79</v>
      </c>
      <c r="B47" s="13" t="s">
        <v>16</v>
      </c>
      <c r="C47" s="2">
        <f>SUMIFS(Planilha3!$K:$K,Planilha3!$A:$A,Planilha5!$A47,Planilha3!$I:$I,Planilha5!$B47)</f>
        <v>1</v>
      </c>
      <c r="D47" s="2">
        <f>SUMIFS(Planilha3!L:L,Planilha3!$A:$A,Planilha5!$A47,Planilha3!$I:$I,Planilha5!$B47)</f>
        <v>0</v>
      </c>
      <c r="E47" s="2">
        <f>SUMIFS(Planilha3!M:M,Planilha3!$A:$A,Planilha5!$A47,Planilha3!$I:$I,Planilha5!$B47)</f>
        <v>0</v>
      </c>
      <c r="F47" s="2">
        <f>SUMIFS(Planilha3!N:N,Planilha3!$A:$A,Planilha5!$A47,Planilha3!$I:$I,Planilha5!$B47)</f>
        <v>1</v>
      </c>
      <c r="G47" s="2">
        <f>SUMIFS(Planilha3!O:O,Planilha3!$A:$A,Planilha5!$A47,Planilha3!$I:$I,Planilha5!$B47)</f>
        <v>1</v>
      </c>
      <c r="H47" s="2">
        <f>SUMIFS(Planilha3!P:P,Planilha3!$A:$A,Planilha5!$A47,Planilha3!$I:$I,Planilha5!$B47)</f>
        <v>0</v>
      </c>
      <c r="I47" s="2">
        <f>SUMIFS(Planilha3!Q:Q,Planilha3!$A:$A,Planilha5!$A47,Planilha3!$I:$I,Planilha5!$B47)</f>
        <v>0</v>
      </c>
      <c r="J47" s="2">
        <f>SUMIFS(Planilha3!R:R,Planilha3!$A:$A,Planilha5!$A47,Planilha3!$I:$I,Planilha5!$B47)</f>
        <v>0</v>
      </c>
      <c r="K47" s="2">
        <f>SUMIFS(Planilha3!S:S,Planilha3!$A:$A,Planilha5!$A47,Planilha3!$I:$I,Planilha5!$B47)</f>
        <v>0</v>
      </c>
    </row>
    <row r="48" spans="1:11" x14ac:dyDescent="0.25">
      <c r="A48" s="14" t="s">
        <v>79</v>
      </c>
      <c r="B48" s="33" t="s">
        <v>244</v>
      </c>
      <c r="C48" s="2">
        <f>SUMIFS(Planilha3!$K:$K,Planilha3!$A:$A,Planilha5!$A48,Planilha3!$I:$I,Planilha5!$B48)</f>
        <v>0</v>
      </c>
      <c r="D48" s="2">
        <f>SUMIFS(Planilha3!L:L,Planilha3!$A:$A,Planilha5!$A48,Planilha3!$I:$I,Planilha5!$B48)</f>
        <v>0</v>
      </c>
      <c r="E48" s="2">
        <f>SUMIFS(Planilha3!M:M,Planilha3!$A:$A,Planilha5!$A48,Planilha3!$I:$I,Planilha5!$B48)</f>
        <v>0</v>
      </c>
      <c r="F48" s="2">
        <f>SUMIFS(Planilha3!N:N,Planilha3!$A:$A,Planilha5!$A48,Planilha3!$I:$I,Planilha5!$B48)</f>
        <v>0</v>
      </c>
      <c r="G48" s="2">
        <f>SUMIFS(Planilha3!O:O,Planilha3!$A:$A,Planilha5!$A48,Planilha3!$I:$I,Planilha5!$B48)</f>
        <v>0</v>
      </c>
      <c r="H48" s="2">
        <f>SUMIFS(Planilha3!P:P,Planilha3!$A:$A,Planilha5!$A48,Planilha3!$I:$I,Planilha5!$B48)</f>
        <v>0</v>
      </c>
      <c r="I48" s="2">
        <f>SUMIFS(Planilha3!Q:Q,Planilha3!$A:$A,Planilha5!$A48,Planilha3!$I:$I,Planilha5!$B48)</f>
        <v>0</v>
      </c>
      <c r="J48" s="2">
        <f>SUMIFS(Planilha3!R:R,Planilha3!$A:$A,Planilha5!$A48,Planilha3!$I:$I,Planilha5!$B48)</f>
        <v>0</v>
      </c>
      <c r="K48" s="2">
        <f>SUMIFS(Planilha3!S:S,Planilha3!$A:$A,Planilha5!$A48,Planilha3!$I:$I,Planilha5!$B48)</f>
        <v>0</v>
      </c>
    </row>
    <row r="49" spans="1:11" x14ac:dyDescent="0.25">
      <c r="A49" s="14" t="s">
        <v>79</v>
      </c>
      <c r="B49" s="13" t="s">
        <v>27</v>
      </c>
      <c r="C49" s="2">
        <f>SUMIFS(Planilha3!$K:$K,Planilha3!$A:$A,Planilha5!$A49,Planilha3!$I:$I,Planilha5!$B49)</f>
        <v>1</v>
      </c>
      <c r="D49" s="2">
        <f>SUMIFS(Planilha3!L:L,Planilha3!$A:$A,Planilha5!$A49,Planilha3!$I:$I,Planilha5!$B49)</f>
        <v>2</v>
      </c>
      <c r="E49" s="2">
        <f>SUMIFS(Planilha3!M:M,Planilha3!$A:$A,Planilha5!$A49,Planilha3!$I:$I,Planilha5!$B49)</f>
        <v>2</v>
      </c>
      <c r="F49" s="2">
        <f>SUMIFS(Planilha3!N:N,Planilha3!$A:$A,Planilha5!$A49,Planilha3!$I:$I,Planilha5!$B49)</f>
        <v>2</v>
      </c>
      <c r="G49" s="2">
        <f>SUMIFS(Planilha3!O:O,Planilha3!$A:$A,Planilha5!$A49,Planilha3!$I:$I,Planilha5!$B49)</f>
        <v>1</v>
      </c>
      <c r="H49" s="2">
        <f>SUMIFS(Planilha3!P:P,Planilha3!$A:$A,Planilha5!$A49,Planilha3!$I:$I,Planilha5!$B49)</f>
        <v>1</v>
      </c>
      <c r="I49" s="2">
        <f>SUMIFS(Planilha3!Q:Q,Planilha3!$A:$A,Planilha5!$A49,Planilha3!$I:$I,Planilha5!$B49)</f>
        <v>0</v>
      </c>
      <c r="J49" s="2">
        <f>SUMIFS(Planilha3!R:R,Planilha3!$A:$A,Planilha5!$A49,Planilha3!$I:$I,Planilha5!$B49)</f>
        <v>0</v>
      </c>
      <c r="K49" s="2">
        <f>SUMIFS(Planilha3!S:S,Planilha3!$A:$A,Planilha5!$A49,Planilha3!$I:$I,Planilha5!$B49)</f>
        <v>0</v>
      </c>
    </row>
    <row r="50" spans="1:11" x14ac:dyDescent="0.25">
      <c r="A50" s="14" t="s">
        <v>79</v>
      </c>
      <c r="B50" s="13" t="s">
        <v>255</v>
      </c>
      <c r="C50" s="2">
        <f>SUMIFS(Planilha3!$K:$K,Planilha3!$A:$A,Planilha5!$A50,Planilha3!$I:$I,Planilha5!$B50)</f>
        <v>0</v>
      </c>
      <c r="D50" s="2">
        <f>SUMIFS(Planilha3!L:L,Planilha3!$A:$A,Planilha5!$A50,Planilha3!$I:$I,Planilha5!$B50)</f>
        <v>0</v>
      </c>
      <c r="E50" s="2">
        <f>SUMIFS(Planilha3!M:M,Planilha3!$A:$A,Planilha5!$A50,Planilha3!$I:$I,Planilha5!$B50)</f>
        <v>0</v>
      </c>
      <c r="F50" s="2">
        <f>SUMIFS(Planilha3!N:N,Planilha3!$A:$A,Planilha5!$A50,Planilha3!$I:$I,Planilha5!$B50)</f>
        <v>0</v>
      </c>
      <c r="G50" s="2">
        <f>SUMIFS(Planilha3!O:O,Planilha3!$A:$A,Planilha5!$A50,Planilha3!$I:$I,Planilha5!$B50)</f>
        <v>0</v>
      </c>
      <c r="H50" s="2">
        <f>SUMIFS(Planilha3!P:P,Planilha3!$A:$A,Planilha5!$A50,Planilha3!$I:$I,Planilha5!$B50)</f>
        <v>0</v>
      </c>
      <c r="I50" s="2">
        <f>SUMIFS(Planilha3!Q:Q,Planilha3!$A:$A,Planilha5!$A50,Planilha3!$I:$I,Planilha5!$B50)</f>
        <v>0</v>
      </c>
      <c r="J50" s="2">
        <f>SUMIFS(Planilha3!R:R,Planilha3!$A:$A,Planilha5!$A50,Planilha3!$I:$I,Planilha5!$B50)</f>
        <v>0</v>
      </c>
      <c r="K50" s="2">
        <f>SUMIFS(Planilha3!S:S,Planilha3!$A:$A,Planilha5!$A50,Planilha3!$I:$I,Planilha5!$B50)</f>
        <v>0</v>
      </c>
    </row>
    <row r="51" spans="1:11" x14ac:dyDescent="0.25">
      <c r="A51" s="14" t="s">
        <v>79</v>
      </c>
      <c r="B51" s="13" t="s">
        <v>19</v>
      </c>
      <c r="C51" s="2">
        <f>SUMIFS(Planilha3!$K:$K,Planilha3!$A:$A,Planilha5!$A51,Planilha3!$I:$I,Planilha5!$B51)</f>
        <v>0</v>
      </c>
      <c r="D51" s="2">
        <f>SUMIFS(Planilha3!L:L,Planilha3!$A:$A,Planilha5!$A51,Planilha3!$I:$I,Planilha5!$B51)</f>
        <v>0</v>
      </c>
      <c r="E51" s="2">
        <f>SUMIFS(Planilha3!M:M,Planilha3!$A:$A,Planilha5!$A51,Planilha3!$I:$I,Planilha5!$B51)</f>
        <v>0</v>
      </c>
      <c r="F51" s="2">
        <f>SUMIFS(Planilha3!N:N,Planilha3!$A:$A,Planilha5!$A51,Planilha3!$I:$I,Planilha5!$B51)</f>
        <v>0</v>
      </c>
      <c r="G51" s="2">
        <f>SUMIFS(Planilha3!O:O,Planilha3!$A:$A,Planilha5!$A51,Planilha3!$I:$I,Planilha5!$B51)</f>
        <v>0</v>
      </c>
      <c r="H51" s="2">
        <f>SUMIFS(Planilha3!P:P,Planilha3!$A:$A,Planilha5!$A51,Planilha3!$I:$I,Planilha5!$B51)</f>
        <v>0</v>
      </c>
      <c r="I51" s="2">
        <f>SUMIFS(Planilha3!Q:Q,Planilha3!$A:$A,Planilha5!$A51,Planilha3!$I:$I,Planilha5!$B51)</f>
        <v>0</v>
      </c>
      <c r="J51" s="2">
        <f>SUMIFS(Planilha3!R:R,Planilha3!$A:$A,Planilha5!$A51,Planilha3!$I:$I,Planilha5!$B51)</f>
        <v>0</v>
      </c>
      <c r="K51" s="2">
        <f>SUMIFS(Planilha3!S:S,Planilha3!$A:$A,Planilha5!$A51,Planilha3!$I:$I,Planilha5!$B51)</f>
        <v>0</v>
      </c>
    </row>
    <row r="52" spans="1:11" x14ac:dyDescent="0.25">
      <c r="A52" s="14" t="s">
        <v>79</v>
      </c>
      <c r="B52" s="13" t="s">
        <v>279</v>
      </c>
      <c r="C52" s="2">
        <f>SUMIFS(Planilha3!$K:$K,Planilha3!$A:$A,Planilha5!$A52,Planilha3!$I:$I,Planilha5!$B52)</f>
        <v>0</v>
      </c>
      <c r="D52" s="2">
        <f>SUMIFS(Planilha3!L:L,Planilha3!$A:$A,Planilha5!$A52,Planilha3!$I:$I,Planilha5!$B52)</f>
        <v>0</v>
      </c>
      <c r="E52" s="2">
        <f>SUMIFS(Planilha3!M:M,Planilha3!$A:$A,Planilha5!$A52,Planilha3!$I:$I,Planilha5!$B52)</f>
        <v>0</v>
      </c>
      <c r="F52" s="2">
        <f>SUMIFS(Planilha3!N:N,Planilha3!$A:$A,Planilha5!$A52,Planilha3!$I:$I,Planilha5!$B52)</f>
        <v>0</v>
      </c>
      <c r="G52" s="2">
        <f>SUMIFS(Planilha3!O:O,Planilha3!$A:$A,Planilha5!$A52,Planilha3!$I:$I,Planilha5!$B52)</f>
        <v>0</v>
      </c>
      <c r="H52" s="2">
        <f>SUMIFS(Planilha3!P:P,Planilha3!$A:$A,Planilha5!$A52,Planilha3!$I:$I,Planilha5!$B52)</f>
        <v>0</v>
      </c>
      <c r="I52" s="2">
        <f>SUMIFS(Planilha3!Q:Q,Planilha3!$A:$A,Planilha5!$A52,Planilha3!$I:$I,Planilha5!$B52)</f>
        <v>0</v>
      </c>
      <c r="J52" s="2">
        <f>SUMIFS(Planilha3!R:R,Planilha3!$A:$A,Planilha5!$A52,Planilha3!$I:$I,Planilha5!$B52)</f>
        <v>0</v>
      </c>
      <c r="K52" s="2">
        <f>SUMIFS(Planilha3!S:S,Planilha3!$A:$A,Planilha5!$A52,Planilha3!$I:$I,Planilha5!$B52)</f>
        <v>0</v>
      </c>
    </row>
    <row r="53" spans="1:11" x14ac:dyDescent="0.25">
      <c r="A53" s="14" t="s">
        <v>79</v>
      </c>
      <c r="B53" s="35" t="s">
        <v>25</v>
      </c>
      <c r="C53" s="2">
        <f>SUMIFS(Planilha3!$K:$K,Planilha3!$A:$A,Planilha5!$A53,Planilha3!$I:$I,Planilha5!$B53)</f>
        <v>0</v>
      </c>
      <c r="D53" s="2">
        <f>SUMIFS(Planilha3!L:L,Planilha3!$A:$A,Planilha5!$A53,Planilha3!$I:$I,Planilha5!$B53)</f>
        <v>0</v>
      </c>
      <c r="E53" s="2">
        <f>SUMIFS(Planilha3!M:M,Planilha3!$A:$A,Planilha5!$A53,Planilha3!$I:$I,Planilha5!$B53)</f>
        <v>0</v>
      </c>
      <c r="F53" s="2">
        <f>SUMIFS(Planilha3!N:N,Planilha3!$A:$A,Planilha5!$A53,Planilha3!$I:$I,Planilha5!$B53)</f>
        <v>0</v>
      </c>
      <c r="G53" s="2">
        <f>SUMIFS(Planilha3!O:O,Planilha3!$A:$A,Planilha5!$A53,Planilha3!$I:$I,Planilha5!$B53)</f>
        <v>0</v>
      </c>
      <c r="H53" s="2">
        <f>SUMIFS(Planilha3!P:P,Planilha3!$A:$A,Planilha5!$A53,Planilha3!$I:$I,Planilha5!$B53)</f>
        <v>0</v>
      </c>
      <c r="I53" s="2">
        <f>SUMIFS(Planilha3!Q:Q,Planilha3!$A:$A,Planilha5!$A53,Planilha3!$I:$I,Planilha5!$B53)</f>
        <v>0</v>
      </c>
      <c r="J53" s="2">
        <f>SUMIFS(Planilha3!R:R,Planilha3!$A:$A,Planilha5!$A53,Planilha3!$I:$I,Planilha5!$B53)</f>
        <v>0</v>
      </c>
      <c r="K53" s="2">
        <f>SUMIFS(Planilha3!S:S,Planilha3!$A:$A,Planilha5!$A53,Planilha3!$I:$I,Planilha5!$B53)</f>
        <v>0</v>
      </c>
    </row>
    <row r="54" spans="1:11" x14ac:dyDescent="0.25">
      <c r="A54" s="14" t="s">
        <v>79</v>
      </c>
      <c r="B54" s="35" t="s">
        <v>21</v>
      </c>
      <c r="C54" s="2">
        <f>SUMIFS(Planilha3!$K:$K,Planilha3!$A:$A,Planilha5!$A54,Planilha3!$I:$I,Planilha5!$B54)</f>
        <v>0</v>
      </c>
      <c r="D54" s="2">
        <f>SUMIFS(Planilha3!L:L,Planilha3!$A:$A,Planilha5!$A54,Planilha3!$I:$I,Planilha5!$B54)</f>
        <v>0</v>
      </c>
      <c r="E54" s="2">
        <f>SUMIFS(Planilha3!M:M,Planilha3!$A:$A,Planilha5!$A54,Planilha3!$I:$I,Planilha5!$B54)</f>
        <v>0</v>
      </c>
      <c r="F54" s="2">
        <f>SUMIFS(Planilha3!N:N,Planilha3!$A:$A,Planilha5!$A54,Planilha3!$I:$I,Planilha5!$B54)</f>
        <v>0</v>
      </c>
      <c r="G54" s="2">
        <f>SUMIFS(Planilha3!O:O,Planilha3!$A:$A,Planilha5!$A54,Planilha3!$I:$I,Planilha5!$B54)</f>
        <v>0</v>
      </c>
      <c r="H54" s="2">
        <f>SUMIFS(Planilha3!P:P,Planilha3!$A:$A,Planilha5!$A54,Planilha3!$I:$I,Planilha5!$B54)</f>
        <v>1</v>
      </c>
      <c r="I54" s="2">
        <f>SUMIFS(Planilha3!Q:Q,Planilha3!$A:$A,Planilha5!$A54,Planilha3!$I:$I,Planilha5!$B54)</f>
        <v>1</v>
      </c>
      <c r="J54" s="2">
        <f>SUMIFS(Planilha3!R:R,Planilha3!$A:$A,Planilha5!$A54,Planilha3!$I:$I,Planilha5!$B54)</f>
        <v>0</v>
      </c>
      <c r="K54" s="2">
        <f>SUMIFS(Planilha3!S:S,Planilha3!$A:$A,Planilha5!$A54,Planilha3!$I:$I,Planilha5!$B54)</f>
        <v>0</v>
      </c>
    </row>
    <row r="55" spans="1:11" x14ac:dyDescent="0.25">
      <c r="A55" s="14" t="s">
        <v>79</v>
      </c>
      <c r="B55" s="13" t="s">
        <v>329</v>
      </c>
      <c r="C55" s="2">
        <f>SUMIFS(Planilha3!$K:$K,Planilha3!$A:$A,Planilha5!$A55,Planilha3!$I:$I,Planilha5!$B55)</f>
        <v>0</v>
      </c>
      <c r="D55" s="2">
        <f>SUMIFS(Planilha3!L:L,Planilha3!$A:$A,Planilha5!$A55,Planilha3!$I:$I,Planilha5!$B55)</f>
        <v>0</v>
      </c>
      <c r="E55" s="2">
        <f>SUMIFS(Planilha3!M:M,Planilha3!$A:$A,Planilha5!$A55,Planilha3!$I:$I,Planilha5!$B55)</f>
        <v>0</v>
      </c>
      <c r="F55" s="2">
        <f>SUMIFS(Planilha3!N:N,Planilha3!$A:$A,Planilha5!$A55,Planilha3!$I:$I,Planilha5!$B55)</f>
        <v>0</v>
      </c>
      <c r="G55" s="2">
        <f>SUMIFS(Planilha3!O:O,Planilha3!$A:$A,Planilha5!$A55,Planilha3!$I:$I,Planilha5!$B55)</f>
        <v>0</v>
      </c>
      <c r="H55" s="2">
        <f>SUMIFS(Planilha3!P:P,Planilha3!$A:$A,Planilha5!$A55,Planilha3!$I:$I,Planilha5!$B55)</f>
        <v>0</v>
      </c>
      <c r="I55" s="2">
        <f>SUMIFS(Planilha3!Q:Q,Planilha3!$A:$A,Planilha5!$A55,Planilha3!$I:$I,Planilha5!$B55)</f>
        <v>0</v>
      </c>
      <c r="J55" s="2">
        <f>SUMIFS(Planilha3!R:R,Planilha3!$A:$A,Planilha5!$A55,Planilha3!$I:$I,Planilha5!$B55)</f>
        <v>0</v>
      </c>
      <c r="K55" s="2">
        <f>SUMIFS(Planilha3!S:S,Planilha3!$A:$A,Planilha5!$A55,Planilha3!$I:$I,Planilha5!$B55)</f>
        <v>0</v>
      </c>
    </row>
    <row r="56" spans="1:11" x14ac:dyDescent="0.25">
      <c r="A56" s="14" t="s">
        <v>79</v>
      </c>
      <c r="B56" s="13" t="s">
        <v>23</v>
      </c>
      <c r="C56" s="2">
        <f>SUMIFS(Planilha3!$K:$K,Planilha3!$A:$A,Planilha5!$A56,Planilha3!$I:$I,Planilha5!$B56)</f>
        <v>0</v>
      </c>
      <c r="D56" s="2">
        <f>SUMIFS(Planilha3!L:L,Planilha3!$A:$A,Planilha5!$A56,Planilha3!$I:$I,Planilha5!$B56)</f>
        <v>0</v>
      </c>
      <c r="E56" s="2">
        <f>SUMIFS(Planilha3!M:M,Planilha3!$A:$A,Planilha5!$A56,Planilha3!$I:$I,Planilha5!$B56)</f>
        <v>0</v>
      </c>
      <c r="F56" s="2">
        <f>SUMIFS(Planilha3!N:N,Planilha3!$A:$A,Planilha5!$A56,Planilha3!$I:$I,Planilha5!$B56)</f>
        <v>0</v>
      </c>
      <c r="G56" s="2">
        <f>SUMIFS(Planilha3!O:O,Planilha3!$A:$A,Planilha5!$A56,Planilha3!$I:$I,Planilha5!$B56)</f>
        <v>0</v>
      </c>
      <c r="H56" s="2">
        <f>SUMIFS(Planilha3!P:P,Planilha3!$A:$A,Planilha5!$A56,Planilha3!$I:$I,Planilha5!$B56)</f>
        <v>0</v>
      </c>
      <c r="I56" s="2">
        <f>SUMIFS(Planilha3!Q:Q,Planilha3!$A:$A,Planilha5!$A56,Planilha3!$I:$I,Planilha5!$B56)</f>
        <v>0</v>
      </c>
      <c r="J56" s="2">
        <f>SUMIFS(Planilha3!R:R,Planilha3!$A:$A,Planilha5!$A56,Planilha3!$I:$I,Planilha5!$B56)</f>
        <v>0</v>
      </c>
      <c r="K56" s="2">
        <f>SUMIFS(Planilha3!S:S,Planilha3!$A:$A,Planilha5!$A56,Planilha3!$I:$I,Planilha5!$B56)</f>
        <v>0</v>
      </c>
    </row>
    <row r="57" spans="1:11" x14ac:dyDescent="0.25">
      <c r="A57" s="14" t="s">
        <v>79</v>
      </c>
      <c r="B57" s="13" t="s">
        <v>434</v>
      </c>
      <c r="C57" s="2">
        <f>SUMIFS(Planilha3!$K:$K,Planilha3!$A:$A,Planilha5!$A57,Planilha3!$I:$I,Planilha5!$B57)</f>
        <v>0</v>
      </c>
      <c r="D57" s="2">
        <f>SUMIFS(Planilha3!L:L,Planilha3!$A:$A,Planilha5!$A57,Planilha3!$I:$I,Planilha5!$B57)</f>
        <v>0</v>
      </c>
      <c r="E57" s="2">
        <f>SUMIFS(Planilha3!M:M,Planilha3!$A:$A,Planilha5!$A57,Planilha3!$I:$I,Planilha5!$B57)</f>
        <v>0</v>
      </c>
      <c r="F57" s="2">
        <f>SUMIFS(Planilha3!N:N,Planilha3!$A:$A,Planilha5!$A57,Planilha3!$I:$I,Planilha5!$B57)</f>
        <v>0</v>
      </c>
      <c r="G57" s="2">
        <f>SUMIFS(Planilha3!O:O,Planilha3!$A:$A,Planilha5!$A57,Planilha3!$I:$I,Planilha5!$B57)</f>
        <v>0</v>
      </c>
      <c r="H57" s="2">
        <f>SUMIFS(Planilha3!P:P,Planilha3!$A:$A,Planilha5!$A57,Planilha3!$I:$I,Planilha5!$B57)</f>
        <v>0</v>
      </c>
      <c r="I57" s="2">
        <f>SUMIFS(Planilha3!Q:Q,Planilha3!$A:$A,Planilha5!$A57,Planilha3!$I:$I,Planilha5!$B57)</f>
        <v>0</v>
      </c>
      <c r="J57" s="2">
        <f>SUMIFS(Planilha3!R:R,Planilha3!$A:$A,Planilha5!$A57,Planilha3!$I:$I,Planilha5!$B57)</f>
        <v>0</v>
      </c>
      <c r="K57" s="2">
        <f>SUMIFS(Planilha3!S:S,Planilha3!$A:$A,Planilha5!$A57,Planilha3!$I:$I,Planilha5!$B57)</f>
        <v>0</v>
      </c>
    </row>
    <row r="58" spans="1:11" x14ac:dyDescent="0.25">
      <c r="A58" s="14" t="s">
        <v>79</v>
      </c>
      <c r="B58" s="13" t="s">
        <v>530</v>
      </c>
      <c r="C58" s="2">
        <f>SUMIFS(Planilha3!$K:$K,Planilha3!$A:$A,Planilha5!$A58,Planilha3!$I:$I,Planilha5!$B58)</f>
        <v>0</v>
      </c>
      <c r="D58" s="2">
        <f>SUMIFS(Planilha3!L:L,Planilha3!$A:$A,Planilha5!$A58,Planilha3!$I:$I,Planilha5!$B58)</f>
        <v>0</v>
      </c>
      <c r="E58" s="2">
        <f>SUMIFS(Planilha3!M:M,Planilha3!$A:$A,Planilha5!$A58,Planilha3!$I:$I,Planilha5!$B58)</f>
        <v>0</v>
      </c>
      <c r="F58" s="2">
        <f>SUMIFS(Planilha3!N:N,Planilha3!$A:$A,Planilha5!$A58,Planilha3!$I:$I,Planilha5!$B58)</f>
        <v>0</v>
      </c>
      <c r="G58" s="2">
        <f>SUMIFS(Planilha3!O:O,Planilha3!$A:$A,Planilha5!$A58,Planilha3!$I:$I,Planilha5!$B58)</f>
        <v>0</v>
      </c>
      <c r="H58" s="2">
        <f>SUMIFS(Planilha3!P:P,Planilha3!$A:$A,Planilha5!$A58,Planilha3!$I:$I,Planilha5!$B58)</f>
        <v>0</v>
      </c>
      <c r="I58" s="2">
        <f>SUMIFS(Planilha3!Q:Q,Planilha3!$A:$A,Planilha5!$A58,Planilha3!$I:$I,Planilha5!$B58)</f>
        <v>0</v>
      </c>
      <c r="J58" s="2">
        <f>SUMIFS(Planilha3!R:R,Planilha3!$A:$A,Planilha5!$A58,Planilha3!$I:$I,Planilha5!$B58)</f>
        <v>0</v>
      </c>
      <c r="K58" s="2">
        <f>SUMIFS(Planilha3!S:S,Planilha3!$A:$A,Planilha5!$A58,Planilha3!$I:$I,Planilha5!$B58)</f>
        <v>0</v>
      </c>
    </row>
  </sheetData>
  <pageMargins left="0.511811024" right="0.511811024" top="0.78740157499999996" bottom="0.78740157499999996" header="0.31496062000000002" footer="0.3149606200000000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3D46DE-B8FA-4E47-A806-EB728E2F3736}">
  <sheetPr codeName="Planilha11"/>
  <dimension ref="A1:J18"/>
  <sheetViews>
    <sheetView showGridLines="0" workbookViewId="0">
      <selection activeCell="G27" sqref="G27"/>
    </sheetView>
  </sheetViews>
  <sheetFormatPr defaultRowHeight="15" x14ac:dyDescent="0.25"/>
  <cols>
    <col min="1" max="1" width="19" bestFit="1" customWidth="1"/>
    <col min="2" max="3" width="14.7109375" bestFit="1" customWidth="1"/>
    <col min="4" max="4" width="15.7109375" bestFit="1" customWidth="1"/>
    <col min="5" max="5" width="15.28515625" bestFit="1" customWidth="1"/>
    <col min="6" max="6" width="15.42578125" bestFit="1" customWidth="1"/>
    <col min="7" max="7" width="15" bestFit="1" customWidth="1"/>
    <col min="8" max="8" width="14.42578125" bestFit="1" customWidth="1"/>
    <col min="9" max="9" width="15.28515625" bestFit="1" customWidth="1"/>
    <col min="10" max="10" width="14.7109375" bestFit="1" customWidth="1"/>
  </cols>
  <sheetData>
    <row r="1" spans="1:10" x14ac:dyDescent="0.25">
      <c r="A1" s="4" t="s">
        <v>34</v>
      </c>
      <c r="B1" t="s">
        <v>873</v>
      </c>
    </row>
    <row r="3" spans="1:10" x14ac:dyDescent="0.25">
      <c r="A3" s="4" t="s">
        <v>72</v>
      </c>
      <c r="B3" t="s">
        <v>874</v>
      </c>
      <c r="C3" t="s">
        <v>875</v>
      </c>
      <c r="D3" t="s">
        <v>876</v>
      </c>
      <c r="E3" t="s">
        <v>877</v>
      </c>
      <c r="F3" t="s">
        <v>878</v>
      </c>
      <c r="G3" t="s">
        <v>879</v>
      </c>
      <c r="H3" t="s">
        <v>880</v>
      </c>
      <c r="I3" t="s">
        <v>881</v>
      </c>
      <c r="J3" t="s">
        <v>882</v>
      </c>
    </row>
    <row r="4" spans="1:10" x14ac:dyDescent="0.25">
      <c r="A4" s="24" t="s">
        <v>21</v>
      </c>
      <c r="B4">
        <v>2</v>
      </c>
      <c r="C4">
        <v>9</v>
      </c>
      <c r="D4">
        <v>1</v>
      </c>
      <c r="E4">
        <v>4</v>
      </c>
      <c r="F4">
        <v>8</v>
      </c>
      <c r="G4">
        <v>10</v>
      </c>
      <c r="H4">
        <v>8</v>
      </c>
      <c r="I4">
        <v>1</v>
      </c>
      <c r="J4">
        <v>1</v>
      </c>
    </row>
    <row r="5" spans="1:10" x14ac:dyDescent="0.25">
      <c r="A5" s="24" t="s">
        <v>329</v>
      </c>
      <c r="B5">
        <v>0</v>
      </c>
      <c r="C5">
        <v>1</v>
      </c>
      <c r="D5">
        <v>1</v>
      </c>
      <c r="E5">
        <v>0</v>
      </c>
      <c r="F5">
        <v>0</v>
      </c>
      <c r="G5">
        <v>0</v>
      </c>
      <c r="H5">
        <v>0</v>
      </c>
      <c r="I5">
        <v>0</v>
      </c>
      <c r="J5">
        <v>0</v>
      </c>
    </row>
    <row r="6" spans="1:10" x14ac:dyDescent="0.25">
      <c r="A6" s="24" t="s">
        <v>27</v>
      </c>
      <c r="B6">
        <v>7</v>
      </c>
      <c r="C6">
        <v>11</v>
      </c>
      <c r="D6">
        <v>9</v>
      </c>
      <c r="E6">
        <v>5</v>
      </c>
      <c r="F6">
        <v>3</v>
      </c>
      <c r="G6">
        <v>5</v>
      </c>
      <c r="H6">
        <v>5</v>
      </c>
      <c r="I6">
        <v>6</v>
      </c>
      <c r="J6">
        <v>2</v>
      </c>
    </row>
    <row r="7" spans="1:10" x14ac:dyDescent="0.25">
      <c r="A7" s="24" t="s">
        <v>16</v>
      </c>
      <c r="B7">
        <v>6</v>
      </c>
      <c r="C7">
        <v>5</v>
      </c>
      <c r="D7">
        <v>6</v>
      </c>
      <c r="E7">
        <v>8</v>
      </c>
      <c r="F7">
        <v>7</v>
      </c>
      <c r="G7">
        <v>5</v>
      </c>
      <c r="H7">
        <v>6</v>
      </c>
      <c r="I7">
        <v>4</v>
      </c>
      <c r="J7">
        <v>6</v>
      </c>
    </row>
    <row r="8" spans="1:10" x14ac:dyDescent="0.25">
      <c r="A8" s="24" t="s">
        <v>434</v>
      </c>
      <c r="B8">
        <v>0</v>
      </c>
      <c r="C8">
        <v>0</v>
      </c>
      <c r="D8">
        <v>1</v>
      </c>
      <c r="E8">
        <v>1</v>
      </c>
      <c r="F8">
        <v>1</v>
      </c>
      <c r="G8">
        <v>1</v>
      </c>
      <c r="H8">
        <v>2</v>
      </c>
      <c r="I8">
        <v>2</v>
      </c>
      <c r="J8">
        <v>0</v>
      </c>
    </row>
    <row r="9" spans="1:10" x14ac:dyDescent="0.25">
      <c r="A9" s="24" t="s">
        <v>530</v>
      </c>
      <c r="B9">
        <v>0</v>
      </c>
      <c r="C9">
        <v>0</v>
      </c>
      <c r="D9">
        <v>0</v>
      </c>
      <c r="E9">
        <v>0</v>
      </c>
      <c r="F9">
        <v>0</v>
      </c>
      <c r="G9">
        <v>0</v>
      </c>
      <c r="H9">
        <v>0</v>
      </c>
      <c r="I9">
        <v>1</v>
      </c>
      <c r="J9">
        <v>1</v>
      </c>
    </row>
    <row r="10" spans="1:10" x14ac:dyDescent="0.25">
      <c r="A10" s="24" t="s">
        <v>23</v>
      </c>
      <c r="B10">
        <v>0</v>
      </c>
      <c r="C10">
        <v>0</v>
      </c>
      <c r="D10">
        <v>0</v>
      </c>
      <c r="E10">
        <v>0</v>
      </c>
      <c r="F10">
        <v>1</v>
      </c>
      <c r="G10">
        <v>2</v>
      </c>
      <c r="H10">
        <v>2</v>
      </c>
      <c r="I10">
        <v>1</v>
      </c>
      <c r="J10">
        <v>1</v>
      </c>
    </row>
    <row r="11" spans="1:10" x14ac:dyDescent="0.25">
      <c r="A11" s="24" t="s">
        <v>244</v>
      </c>
      <c r="B11">
        <v>0</v>
      </c>
      <c r="C11">
        <v>0</v>
      </c>
      <c r="D11">
        <v>0</v>
      </c>
      <c r="E11">
        <v>0</v>
      </c>
      <c r="F11">
        <v>0</v>
      </c>
      <c r="G11">
        <v>0</v>
      </c>
      <c r="H11">
        <v>0</v>
      </c>
      <c r="I11">
        <v>0</v>
      </c>
      <c r="J11">
        <v>0</v>
      </c>
    </row>
    <row r="12" spans="1:10" x14ac:dyDescent="0.25">
      <c r="A12" s="24" t="s">
        <v>52</v>
      </c>
      <c r="B12">
        <v>0</v>
      </c>
      <c r="C12">
        <v>0</v>
      </c>
      <c r="D12">
        <v>0</v>
      </c>
      <c r="E12">
        <v>0</v>
      </c>
      <c r="F12">
        <v>0</v>
      </c>
      <c r="G12">
        <v>0</v>
      </c>
      <c r="H12">
        <v>0</v>
      </c>
      <c r="I12">
        <v>0</v>
      </c>
      <c r="J12">
        <v>0</v>
      </c>
    </row>
    <row r="13" spans="1:10" x14ac:dyDescent="0.25">
      <c r="A13" s="24" t="s">
        <v>19</v>
      </c>
      <c r="B13">
        <v>3</v>
      </c>
      <c r="C13">
        <v>2</v>
      </c>
      <c r="D13">
        <v>4</v>
      </c>
      <c r="E13">
        <v>4</v>
      </c>
      <c r="F13">
        <v>2</v>
      </c>
      <c r="G13">
        <v>1</v>
      </c>
      <c r="H13">
        <v>1</v>
      </c>
      <c r="I13">
        <v>0</v>
      </c>
      <c r="J13">
        <v>1</v>
      </c>
    </row>
    <row r="14" spans="1:10" x14ac:dyDescent="0.25">
      <c r="A14" s="24" t="s">
        <v>255</v>
      </c>
      <c r="B14">
        <v>0</v>
      </c>
      <c r="C14">
        <v>0</v>
      </c>
      <c r="D14">
        <v>0</v>
      </c>
      <c r="E14">
        <v>0</v>
      </c>
      <c r="F14">
        <v>0</v>
      </c>
      <c r="G14">
        <v>0</v>
      </c>
      <c r="H14">
        <v>0</v>
      </c>
      <c r="I14">
        <v>2</v>
      </c>
      <c r="J14">
        <v>0</v>
      </c>
    </row>
    <row r="15" spans="1:10" x14ac:dyDescent="0.25">
      <c r="A15" s="24" t="s">
        <v>279</v>
      </c>
      <c r="B15">
        <v>0</v>
      </c>
      <c r="C15">
        <v>0</v>
      </c>
      <c r="D15">
        <v>0</v>
      </c>
      <c r="E15">
        <v>0</v>
      </c>
      <c r="F15">
        <v>0</v>
      </c>
      <c r="G15">
        <v>0</v>
      </c>
      <c r="H15">
        <v>0</v>
      </c>
      <c r="I15">
        <v>0</v>
      </c>
      <c r="J15">
        <v>0</v>
      </c>
    </row>
    <row r="16" spans="1:10" x14ac:dyDescent="0.25">
      <c r="A16" s="24" t="s">
        <v>225</v>
      </c>
      <c r="B16">
        <v>0</v>
      </c>
      <c r="C16">
        <v>0</v>
      </c>
      <c r="D16">
        <v>0</v>
      </c>
      <c r="E16">
        <v>0</v>
      </c>
      <c r="F16">
        <v>0</v>
      </c>
      <c r="G16">
        <v>0</v>
      </c>
      <c r="H16">
        <v>0</v>
      </c>
      <c r="I16">
        <v>0</v>
      </c>
      <c r="J16">
        <v>0</v>
      </c>
    </row>
    <row r="17" spans="1:10" x14ac:dyDescent="0.25">
      <c r="A17" s="24" t="s">
        <v>25</v>
      </c>
      <c r="B17">
        <v>2</v>
      </c>
      <c r="C17">
        <v>2</v>
      </c>
      <c r="D17">
        <v>1</v>
      </c>
      <c r="E17">
        <v>1</v>
      </c>
      <c r="F17">
        <v>0</v>
      </c>
      <c r="G17">
        <v>0</v>
      </c>
      <c r="H17">
        <v>1</v>
      </c>
      <c r="I17">
        <v>1</v>
      </c>
      <c r="J17">
        <v>1</v>
      </c>
    </row>
    <row r="18" spans="1:10" x14ac:dyDescent="0.25">
      <c r="A18" s="24" t="s">
        <v>73</v>
      </c>
      <c r="B18">
        <v>20</v>
      </c>
      <c r="C18">
        <v>30</v>
      </c>
      <c r="D18">
        <v>23</v>
      </c>
      <c r="E18">
        <v>23</v>
      </c>
      <c r="F18">
        <v>22</v>
      </c>
      <c r="G18">
        <v>24</v>
      </c>
      <c r="H18">
        <v>25</v>
      </c>
      <c r="I18">
        <v>18</v>
      </c>
      <c r="J18">
        <v>13</v>
      </c>
    </row>
  </sheetData>
  <pageMargins left="0.511811024" right="0.511811024" top="0.78740157499999996" bottom="0.78740157499999996" header="0.31496062000000002" footer="0.3149606200000000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cf18fc9e-c64a-4d00-aaf0-4af758343311">
      <Terms xmlns="http://schemas.microsoft.com/office/infopath/2007/PartnerControls"/>
    </lcf76f155ced4ddcb4097134ff3c332f>
    <TaxCatchAll xmlns="a8c181e9-dab1-4a6d-8bd7-d320797874a0"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7D6E47FB16A7D440B3AFFCF960692C51" ma:contentTypeVersion="14" ma:contentTypeDescription="Create a new document." ma:contentTypeScope="" ma:versionID="692d3b386c8ccb6812c25662888b61de">
  <xsd:schema xmlns:xsd="http://www.w3.org/2001/XMLSchema" xmlns:xs="http://www.w3.org/2001/XMLSchema" xmlns:p="http://schemas.microsoft.com/office/2006/metadata/properties" xmlns:ns2="cf18fc9e-c64a-4d00-aaf0-4af758343311" xmlns:ns3="a8c181e9-dab1-4a6d-8bd7-d320797874a0" targetNamespace="http://schemas.microsoft.com/office/2006/metadata/properties" ma:root="true" ma:fieldsID="267bca14fab9465c5b439d9cb794d146" ns2:_="" ns3:_="">
    <xsd:import namespace="cf18fc9e-c64a-4d00-aaf0-4af758343311"/>
    <xsd:import namespace="a8c181e9-dab1-4a6d-8bd7-d320797874a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element ref="ns2:MediaServiceOCR"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f18fc9e-c64a-4d00-aaf0-4af75834331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2eddfdf2-6e4d-406f-8de6-687bb8b3aa25" ma:termSetId="09814cd3-568e-fe90-9814-8d621ff8fb84" ma:anchorId="fba54fb3-c3e1-fe81-a776-ca4b69148c4d" ma:open="true" ma:isKeyword="false">
      <xsd:complexType>
        <xsd:sequence>
          <xsd:element ref="pc:Terms" minOccurs="0" maxOccurs="1"/>
        </xsd:sequence>
      </xsd:complexType>
    </xsd:element>
    <xsd:element name="MediaServiceBillingMetadata" ma:index="18" nillable="true" ma:displayName="MediaServiceBillingMetadata" ma:hidden="true" ma:internalName="MediaServiceBillingMetadata" ma:readOnly="true">
      <xsd:simpleType>
        <xsd:restriction base="dms:Note"/>
      </xsd:simpleType>
    </xsd:element>
    <xsd:element name="MediaServiceOCR" ma:index="19" nillable="true" ma:displayName="Extracted Text" ma:internalName="MediaServiceOCR" ma:readOnly="true">
      <xsd:simpleType>
        <xsd:restriction base="dms:Note">
          <xsd:maxLength value="255"/>
        </xsd:restriction>
      </xsd:simpleType>
    </xsd:element>
    <xsd:element name="MediaLengthInSeconds" ma:index="20" nillable="true" ma:displayName="MediaLengthInSeconds" ma:hidden="true" ma:internalName="MediaLengthInSeconds" ma:readOnly="true">
      <xsd:simpleType>
        <xsd:restriction base="dms:Unknown"/>
      </xsd:simpleType>
    </xsd:element>
    <xsd:element name="MediaServiceLocation" ma:index="21" nillable="true" ma:displayName="Location" ma:descrip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a8c181e9-dab1-4a6d-8bd7-d320797874a0"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4085130d-2554-476f-baac-2b431b9e6ba5}" ma:internalName="TaxCatchAll" ma:showField="CatchAllData" ma:web="ba6f5f73-422e-47b4-81ed-a47ff4bcc1c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118B4E4-7211-4C1E-840D-1D587B386397}">
  <ds:schemaRefs>
    <ds:schemaRef ds:uri="http://schemas.microsoft.com/sharepoint/v3/contenttype/forms"/>
  </ds:schemaRefs>
</ds:datastoreItem>
</file>

<file path=customXml/itemProps2.xml><?xml version="1.0" encoding="utf-8"?>
<ds:datastoreItem xmlns:ds="http://schemas.openxmlformats.org/officeDocument/2006/customXml" ds:itemID="{348BED34-C552-424C-B925-1D0A4D989188}">
  <ds:schemaRefs>
    <ds:schemaRef ds:uri="http://schemas.microsoft.com/office/2006/metadata/properties"/>
    <ds:schemaRef ds:uri="http://schemas.microsoft.com/office/infopath/2007/PartnerControls"/>
    <ds:schemaRef ds:uri="cf18fc9e-c64a-4d00-aaf0-4af758343311"/>
    <ds:schemaRef ds:uri="a8c181e9-dab1-4a6d-8bd7-d320797874a0"/>
  </ds:schemaRefs>
</ds:datastoreItem>
</file>

<file path=customXml/itemProps3.xml><?xml version="1.0" encoding="utf-8"?>
<ds:datastoreItem xmlns:ds="http://schemas.openxmlformats.org/officeDocument/2006/customXml" ds:itemID="{16097D93-21B2-4CEB-B4D1-480207DCF69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f18fc9e-c64a-4d00-aaf0-4af758343311"/>
    <ds:schemaRef ds:uri="a8c181e9-dab1-4a6d-8bd7-d320797874a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5bfa934c-bca9-44c5-90a4-d9a36cfe12c0}" enabled="0" method="" siteId="{5bfa934c-bca9-44c5-90a4-d9a36cfe12c0}"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Planilhas</vt:lpstr>
      </vt:variant>
      <vt:variant>
        <vt:i4>18</vt:i4>
      </vt:variant>
      <vt:variant>
        <vt:lpstr>Intervalos Nomeados</vt:lpstr>
      </vt:variant>
      <vt:variant>
        <vt:i4>1</vt:i4>
      </vt:variant>
    </vt:vector>
  </HeadingPairs>
  <TitlesOfParts>
    <vt:vector size="19" baseType="lpstr">
      <vt:lpstr>Relatório Executivo</vt:lpstr>
      <vt:lpstr>Dashboard</vt:lpstr>
      <vt:lpstr>Dashboard_Essentia</vt:lpstr>
      <vt:lpstr>Horas DTs</vt:lpstr>
      <vt:lpstr>Disp. YTD</vt:lpstr>
      <vt:lpstr>WTGs paradas</vt:lpstr>
      <vt:lpstr>Historic</vt:lpstr>
      <vt:lpstr>Fonte de Dados - Essentia</vt:lpstr>
      <vt:lpstr>Planilha4</vt:lpstr>
      <vt:lpstr>Dashboard_Auren</vt:lpstr>
      <vt:lpstr>Fonte de Dados - Auren</vt:lpstr>
      <vt:lpstr>Planilha4 - Auren</vt:lpstr>
      <vt:lpstr>Historic - Auren</vt:lpstr>
      <vt:lpstr>Dashboard_V02 (2)</vt:lpstr>
      <vt:lpstr>YTD Hours</vt:lpstr>
      <vt:lpstr>Planilha3</vt:lpstr>
      <vt:lpstr>Planilha5</vt:lpstr>
      <vt:lpstr>Planilha8</vt:lpstr>
      <vt:lpstr>'Relatório Executivo'!Area_de_impressao</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Rodrigues, Victor</dc:creator>
  <cp:keywords/>
  <dc:description/>
  <cp:lastModifiedBy>Cantarelli, Gustavo</cp:lastModifiedBy>
  <cp:revision/>
  <dcterms:created xsi:type="dcterms:W3CDTF">2024-11-13T20:32:30Z</dcterms:created>
  <dcterms:modified xsi:type="dcterms:W3CDTF">2026-09-28T12:25:11Z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0x0101007D6E47FB16A7D440B3AFFCF960692C51</vt:lpwstr>
  </property>
  <property fmtid="{D5CDD505-2E9C-101B-9397-08002B2CF9AE}" pid="3" name="MediaServiceImageTags">
    <vt:lpwstr/>
  </property>
</Properties>
</file>